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nada\Team_Perie Dropbox\Alessandro Donada\Alessandro\FAMILY project\Incucyte global analysis\CB\GT\"/>
    </mc:Choice>
  </mc:AlternateContent>
  <xr:revisionPtr revIDLastSave="0" documentId="13_ncr:1_{886BC37A-47C9-4FBC-9CCF-BA29938AD208}" xr6:coauthVersionLast="47" xr6:coauthVersionMax="47" xr10:uidLastSave="{00000000-0000-0000-0000-000000000000}"/>
  <bookViews>
    <workbookView xWindow="-120" yWindow="-120" windowWidth="29040" windowHeight="15840" xr2:uid="{D810A6AC-27D6-654F-BF3E-60FB8C6798D7}"/>
  </bookViews>
  <sheets>
    <sheet name="Incucyte" sheetId="1" r:id="rId1"/>
    <sheet name="Incucyte (2)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1" i="2" l="1"/>
  <c r="P141" i="2"/>
  <c r="Q141" i="2" s="1"/>
  <c r="O142" i="2"/>
  <c r="P142" i="2"/>
  <c r="Q142" i="2" s="1"/>
  <c r="O143" i="2"/>
  <c r="P143" i="2"/>
  <c r="O144" i="2"/>
  <c r="P144" i="2"/>
  <c r="R144" i="2" s="1"/>
  <c r="Q144" i="2"/>
  <c r="O145" i="2"/>
  <c r="P145" i="2"/>
  <c r="Q145" i="2"/>
  <c r="R145" i="2"/>
  <c r="O146" i="2"/>
  <c r="P146" i="2"/>
  <c r="Q146" i="2"/>
  <c r="R146" i="2"/>
  <c r="T146" i="2" s="1"/>
  <c r="S146" i="2"/>
  <c r="O147" i="2"/>
  <c r="P147" i="2"/>
  <c r="Q147" i="2"/>
  <c r="R147" i="2"/>
  <c r="S147" i="2"/>
  <c r="T147" i="2"/>
  <c r="O148" i="2"/>
  <c r="P148" i="2"/>
  <c r="Q148" i="2"/>
  <c r="R148" i="2"/>
  <c r="S148" i="2"/>
  <c r="T148" i="2"/>
  <c r="V148" i="2" s="1"/>
  <c r="U148" i="2"/>
  <c r="O149" i="2"/>
  <c r="P149" i="2"/>
  <c r="Q149" i="2"/>
  <c r="R149" i="2"/>
  <c r="S149" i="2"/>
  <c r="T149" i="2"/>
  <c r="W149" i="2" s="1"/>
  <c r="X149" i="2" s="1"/>
  <c r="Y149" i="2" s="1"/>
  <c r="U149" i="2"/>
  <c r="V149" i="2"/>
  <c r="O150" i="2"/>
  <c r="P150" i="2"/>
  <c r="Q150" i="2"/>
  <c r="R150" i="2"/>
  <c r="S150" i="2"/>
  <c r="T150" i="2"/>
  <c r="U150" i="2" s="1"/>
  <c r="V150" i="2"/>
  <c r="W150" i="2"/>
  <c r="X150" i="2" s="1"/>
  <c r="Y150" i="2" s="1"/>
  <c r="O151" i="2"/>
  <c r="P151" i="2"/>
  <c r="Q151" i="2"/>
  <c r="R151" i="2"/>
  <c r="S151" i="2"/>
  <c r="T151" i="2"/>
  <c r="U151" i="2"/>
  <c r="V151" i="2"/>
  <c r="W151" i="2"/>
  <c r="X151" i="2"/>
  <c r="Y151" i="2" s="1"/>
  <c r="O152" i="2"/>
  <c r="P152" i="2"/>
  <c r="Q152" i="2" s="1"/>
  <c r="R152" i="2"/>
  <c r="S152" i="2"/>
  <c r="T152" i="2"/>
  <c r="U152" i="2"/>
  <c r="V152" i="2"/>
  <c r="W152" i="2"/>
  <c r="X152" i="2"/>
  <c r="Y152" i="2"/>
  <c r="O153" i="2"/>
  <c r="P153" i="2"/>
  <c r="Q153" i="2"/>
  <c r="R153" i="2"/>
  <c r="S153" i="2"/>
  <c r="T153" i="2"/>
  <c r="U153" i="2"/>
  <c r="V153" i="2"/>
  <c r="W153" i="2"/>
  <c r="X153" i="2" s="1"/>
  <c r="Y153" i="2" s="1"/>
  <c r="O154" i="2"/>
  <c r="P154" i="2"/>
  <c r="Q154" i="2" s="1"/>
  <c r="R154" i="2"/>
  <c r="S154" i="2" s="1"/>
  <c r="T154" i="2"/>
  <c r="U154" i="2"/>
  <c r="V154" i="2"/>
  <c r="W154" i="2"/>
  <c r="X154" i="2"/>
  <c r="Y154" i="2" s="1"/>
  <c r="AM154" i="2" s="1"/>
  <c r="O155" i="2"/>
  <c r="P155" i="2"/>
  <c r="O156" i="2"/>
  <c r="P156" i="2"/>
  <c r="R156" i="2" s="1"/>
  <c r="Q156" i="2"/>
  <c r="O157" i="2"/>
  <c r="P157" i="2"/>
  <c r="Q157" i="2"/>
  <c r="R157" i="2"/>
  <c r="O158" i="2"/>
  <c r="P158" i="2"/>
  <c r="Q158" i="2" s="1"/>
  <c r="R158" i="2"/>
  <c r="T158" i="2" s="1"/>
  <c r="S158" i="2"/>
  <c r="O159" i="2"/>
  <c r="P159" i="2"/>
  <c r="Q159" i="2"/>
  <c r="R159" i="2"/>
  <c r="S159" i="2"/>
  <c r="T159" i="2"/>
  <c r="O160" i="2"/>
  <c r="P160" i="2"/>
  <c r="Q160" i="2"/>
  <c r="R160" i="2"/>
  <c r="S160" i="2" s="1"/>
  <c r="T160" i="2"/>
  <c r="V160" i="2" s="1"/>
  <c r="AJ160" i="2" s="1"/>
  <c r="U160" i="2"/>
  <c r="O161" i="2"/>
  <c r="P161" i="2"/>
  <c r="Q161" i="2"/>
  <c r="R161" i="2"/>
  <c r="S161" i="2"/>
  <c r="T161" i="2"/>
  <c r="W161" i="2" s="1"/>
  <c r="X161" i="2" s="1"/>
  <c r="Y161" i="2" s="1"/>
  <c r="U161" i="2"/>
  <c r="V161" i="2"/>
  <c r="O162" i="2"/>
  <c r="P162" i="2"/>
  <c r="Q162" i="2" s="1"/>
  <c r="R162" i="2"/>
  <c r="S162" i="2"/>
  <c r="T162" i="2"/>
  <c r="U162" i="2" s="1"/>
  <c r="V162" i="2"/>
  <c r="W162" i="2"/>
  <c r="X162" i="2" s="1"/>
  <c r="Y162" i="2" s="1"/>
  <c r="O163" i="2"/>
  <c r="P163" i="2"/>
  <c r="Q163" i="2"/>
  <c r="R163" i="2"/>
  <c r="S163" i="2"/>
  <c r="T163" i="2"/>
  <c r="U163" i="2"/>
  <c r="V163" i="2"/>
  <c r="W163" i="2"/>
  <c r="X163" i="2"/>
  <c r="Y163" i="2" s="1"/>
  <c r="O164" i="2"/>
  <c r="P164" i="2"/>
  <c r="Q164" i="2" s="1"/>
  <c r="R164" i="2"/>
  <c r="S164" i="2" s="1"/>
  <c r="T164" i="2"/>
  <c r="U164" i="2"/>
  <c r="V164" i="2"/>
  <c r="W164" i="2"/>
  <c r="X164" i="2"/>
  <c r="Y164" i="2"/>
  <c r="O165" i="2"/>
  <c r="P165" i="2"/>
  <c r="Q165" i="2" s="1"/>
  <c r="O166" i="2"/>
  <c r="P166" i="2"/>
  <c r="Q166" i="2" s="1"/>
  <c r="O167" i="2"/>
  <c r="P167" i="2"/>
  <c r="O168" i="2"/>
  <c r="P168" i="2"/>
  <c r="R168" i="2" s="1"/>
  <c r="Q168" i="2"/>
  <c r="O169" i="2"/>
  <c r="P169" i="2"/>
  <c r="Q169" i="2"/>
  <c r="R169" i="2"/>
  <c r="O170" i="2"/>
  <c r="P170" i="2"/>
  <c r="Q170" i="2" s="1"/>
  <c r="R170" i="2"/>
  <c r="T170" i="2" s="1"/>
  <c r="S170" i="2"/>
  <c r="O171" i="2"/>
  <c r="P171" i="2"/>
  <c r="Q171" i="2"/>
  <c r="R171" i="2"/>
  <c r="S171" i="2"/>
  <c r="T171" i="2"/>
  <c r="O172" i="2"/>
  <c r="P172" i="2"/>
  <c r="Q172" i="2"/>
  <c r="R172" i="2"/>
  <c r="S172" i="2" s="1"/>
  <c r="O173" i="2"/>
  <c r="P173" i="2"/>
  <c r="Q173" i="2"/>
  <c r="R173" i="2"/>
  <c r="S173" i="2"/>
  <c r="T173" i="2"/>
  <c r="W173" i="2" s="1"/>
  <c r="X173" i="2" s="1"/>
  <c r="Y173" i="2" s="1"/>
  <c r="U173" i="2"/>
  <c r="V173" i="2"/>
  <c r="O174" i="2"/>
  <c r="P174" i="2"/>
  <c r="Q174" i="2" s="1"/>
  <c r="R174" i="2"/>
  <c r="S174" i="2"/>
  <c r="T174" i="2"/>
  <c r="U174" i="2" s="1"/>
  <c r="W174" i="2"/>
  <c r="X174" i="2" s="1"/>
  <c r="Y174" i="2" s="1"/>
  <c r="O175" i="2"/>
  <c r="P175" i="2"/>
  <c r="Q175" i="2"/>
  <c r="R175" i="2"/>
  <c r="S175" i="2"/>
  <c r="T175" i="2"/>
  <c r="U175" i="2"/>
  <c r="V175" i="2"/>
  <c r="W175" i="2"/>
  <c r="X175" i="2"/>
  <c r="Y175" i="2" s="1"/>
  <c r="O176" i="2"/>
  <c r="P176" i="2"/>
  <c r="Q176" i="2" s="1"/>
  <c r="R176" i="2"/>
  <c r="S176" i="2" s="1"/>
  <c r="T176" i="2"/>
  <c r="U176" i="2"/>
  <c r="V176" i="2"/>
  <c r="W176" i="2"/>
  <c r="X176" i="2"/>
  <c r="Y176" i="2"/>
  <c r="AM176" i="2" s="1"/>
  <c r="O177" i="2"/>
  <c r="P177" i="2"/>
  <c r="Q177" i="2" s="1"/>
  <c r="O178" i="2"/>
  <c r="P178" i="2"/>
  <c r="Q178" i="2" s="1"/>
  <c r="O179" i="2"/>
  <c r="P179" i="2"/>
  <c r="O180" i="2"/>
  <c r="P180" i="2"/>
  <c r="R180" i="2" s="1"/>
  <c r="Q180" i="2"/>
  <c r="O181" i="2"/>
  <c r="P181" i="2"/>
  <c r="Q181" i="2"/>
  <c r="R181" i="2"/>
  <c r="O182" i="2"/>
  <c r="P182" i="2"/>
  <c r="Q182" i="2" s="1"/>
  <c r="R182" i="2"/>
  <c r="T182" i="2" s="1"/>
  <c r="S182" i="2"/>
  <c r="O183" i="2"/>
  <c r="P183" i="2"/>
  <c r="Q183" i="2"/>
  <c r="R183" i="2"/>
  <c r="S183" i="2"/>
  <c r="T183" i="2"/>
  <c r="O184" i="2"/>
  <c r="P184" i="2"/>
  <c r="Q184" i="2"/>
  <c r="R184" i="2"/>
  <c r="S184" i="2" s="1"/>
  <c r="T184" i="2"/>
  <c r="V184" i="2" s="1"/>
  <c r="U184" i="2"/>
  <c r="O185" i="2"/>
  <c r="P185" i="2"/>
  <c r="Q185" i="2"/>
  <c r="R185" i="2"/>
  <c r="S185" i="2"/>
  <c r="T185" i="2"/>
  <c r="W185" i="2" s="1"/>
  <c r="X185" i="2" s="1"/>
  <c r="Y185" i="2" s="1"/>
  <c r="U185" i="2"/>
  <c r="V185" i="2"/>
  <c r="O186" i="2"/>
  <c r="P186" i="2"/>
  <c r="Q186" i="2" s="1"/>
  <c r="R186" i="2"/>
  <c r="S186" i="2"/>
  <c r="T186" i="2"/>
  <c r="U186" i="2" s="1"/>
  <c r="V186" i="2"/>
  <c r="W186" i="2"/>
  <c r="X186" i="2" s="1"/>
  <c r="Y186" i="2" s="1"/>
  <c r="O187" i="2"/>
  <c r="P187" i="2"/>
  <c r="Q187" i="2" s="1"/>
  <c r="O188" i="2"/>
  <c r="P188" i="2"/>
  <c r="Q188" i="2" s="1"/>
  <c r="O189" i="2"/>
  <c r="P189" i="2"/>
  <c r="Q189" i="2"/>
  <c r="R189" i="2"/>
  <c r="S189" i="2" s="1"/>
  <c r="O190" i="2"/>
  <c r="P190" i="2"/>
  <c r="Q190" i="2" s="1"/>
  <c r="R190" i="2"/>
  <c r="S190" i="2" s="1"/>
  <c r="O191" i="2"/>
  <c r="P191" i="2"/>
  <c r="O192" i="2"/>
  <c r="P192" i="2"/>
  <c r="R192" i="2" s="1"/>
  <c r="Q192" i="2"/>
  <c r="O193" i="2"/>
  <c r="P193" i="2"/>
  <c r="Q193" i="2"/>
  <c r="R193" i="2"/>
  <c r="O194" i="2"/>
  <c r="P194" i="2"/>
  <c r="Q194" i="2" s="1"/>
  <c r="R194" i="2"/>
  <c r="T194" i="2" s="1"/>
  <c r="S194" i="2"/>
  <c r="O195" i="2"/>
  <c r="P195" i="2"/>
  <c r="Q195" i="2"/>
  <c r="R195" i="2"/>
  <c r="S195" i="2"/>
  <c r="T195" i="2"/>
  <c r="O196" i="2"/>
  <c r="P196" i="2"/>
  <c r="Q196" i="2"/>
  <c r="R196" i="2"/>
  <c r="S196" i="2" s="1"/>
  <c r="T196" i="2"/>
  <c r="V196" i="2" s="1"/>
  <c r="U196" i="2"/>
  <c r="O197" i="2"/>
  <c r="P197" i="2"/>
  <c r="Q197" i="2"/>
  <c r="R197" i="2"/>
  <c r="S197" i="2"/>
  <c r="T197" i="2"/>
  <c r="W197" i="2" s="1"/>
  <c r="X197" i="2" s="1"/>
  <c r="Y197" i="2" s="1"/>
  <c r="U197" i="2"/>
  <c r="V197" i="2"/>
  <c r="O198" i="2"/>
  <c r="P198" i="2"/>
  <c r="Q198" i="2" s="1"/>
  <c r="R198" i="2"/>
  <c r="S198" i="2"/>
  <c r="T198" i="2"/>
  <c r="U198" i="2" s="1"/>
  <c r="V198" i="2"/>
  <c r="W198" i="2"/>
  <c r="X198" i="2" s="1"/>
  <c r="Y198" i="2" s="1"/>
  <c r="O199" i="2"/>
  <c r="P199" i="2"/>
  <c r="Q199" i="2" s="1"/>
  <c r="O200" i="2"/>
  <c r="P200" i="2"/>
  <c r="Q200" i="2" s="1"/>
  <c r="O201" i="2"/>
  <c r="P201" i="2"/>
  <c r="Q201" i="2"/>
  <c r="R201" i="2"/>
  <c r="S201" i="2" s="1"/>
  <c r="O202" i="2"/>
  <c r="P202" i="2"/>
  <c r="Q202" i="2"/>
  <c r="R202" i="2"/>
  <c r="S202" i="2" s="1"/>
  <c r="O203" i="2"/>
  <c r="P203" i="2"/>
  <c r="O204" i="2"/>
  <c r="P204" i="2"/>
  <c r="R204" i="2" s="1"/>
  <c r="Q204" i="2"/>
  <c r="O205" i="2"/>
  <c r="P205" i="2"/>
  <c r="Q205" i="2"/>
  <c r="R205" i="2"/>
  <c r="O206" i="2"/>
  <c r="P206" i="2"/>
  <c r="Q206" i="2" s="1"/>
  <c r="R206" i="2"/>
  <c r="T206" i="2" s="1"/>
  <c r="S206" i="2"/>
  <c r="O207" i="2"/>
  <c r="P207" i="2"/>
  <c r="Q207" i="2"/>
  <c r="R207" i="2"/>
  <c r="S207" i="2"/>
  <c r="T207" i="2"/>
  <c r="O208" i="2"/>
  <c r="P208" i="2"/>
  <c r="Q208" i="2"/>
  <c r="R208" i="2"/>
  <c r="S208" i="2" s="1"/>
  <c r="T208" i="2"/>
  <c r="U208" i="2" s="1"/>
  <c r="O209" i="2"/>
  <c r="P209" i="2"/>
  <c r="Q209" i="2"/>
  <c r="R209" i="2"/>
  <c r="S209" i="2"/>
  <c r="T209" i="2"/>
  <c r="W209" i="2" s="1"/>
  <c r="X209" i="2" s="1"/>
  <c r="Y209" i="2" s="1"/>
  <c r="U209" i="2"/>
  <c r="V209" i="2"/>
  <c r="O210" i="2"/>
  <c r="P210" i="2"/>
  <c r="Q210" i="2" s="1"/>
  <c r="R210" i="2"/>
  <c r="S210" i="2"/>
  <c r="T210" i="2"/>
  <c r="U210" i="2" s="1"/>
  <c r="W210" i="2"/>
  <c r="X210" i="2" s="1"/>
  <c r="Y210" i="2" s="1"/>
  <c r="O211" i="2"/>
  <c r="P211" i="2"/>
  <c r="Q211" i="2" s="1"/>
  <c r="O212" i="2"/>
  <c r="P212" i="2"/>
  <c r="Q212" i="2" s="1"/>
  <c r="O213" i="2"/>
  <c r="P213" i="2"/>
  <c r="Q213" i="2" s="1"/>
  <c r="O214" i="2"/>
  <c r="P214" i="2"/>
  <c r="Q214" i="2"/>
  <c r="R214" i="2"/>
  <c r="S214" i="2" s="1"/>
  <c r="O215" i="2"/>
  <c r="P215" i="2"/>
  <c r="O216" i="2"/>
  <c r="P216" i="2"/>
  <c r="R216" i="2" s="1"/>
  <c r="O217" i="2"/>
  <c r="P217" i="2"/>
  <c r="Q217" i="2"/>
  <c r="R217" i="2"/>
  <c r="O218" i="2"/>
  <c r="P218" i="2"/>
  <c r="Q218" i="2" s="1"/>
  <c r="R218" i="2"/>
  <c r="T218" i="2" s="1"/>
  <c r="O219" i="2"/>
  <c r="P219" i="2"/>
  <c r="Q219" i="2"/>
  <c r="R219" i="2"/>
  <c r="S219" i="2"/>
  <c r="T219" i="2"/>
  <c r="O220" i="2"/>
  <c r="P220" i="2"/>
  <c r="Q220" i="2"/>
  <c r="R220" i="2"/>
  <c r="S220" i="2" s="1"/>
  <c r="T220" i="2"/>
  <c r="U220" i="2" s="1"/>
  <c r="O221" i="2"/>
  <c r="P221" i="2"/>
  <c r="Q221" i="2"/>
  <c r="R221" i="2"/>
  <c r="S221" i="2"/>
  <c r="T221" i="2"/>
  <c r="W221" i="2" s="1"/>
  <c r="X221" i="2" s="1"/>
  <c r="Y221" i="2" s="1"/>
  <c r="U221" i="2"/>
  <c r="V221" i="2"/>
  <c r="O222" i="2"/>
  <c r="P222" i="2"/>
  <c r="Q222" i="2" s="1"/>
  <c r="R222" i="2"/>
  <c r="S222" i="2"/>
  <c r="T222" i="2"/>
  <c r="U222" i="2" s="1"/>
  <c r="W222" i="2"/>
  <c r="X222" i="2" s="1"/>
  <c r="Y222" i="2" s="1"/>
  <c r="O223" i="2"/>
  <c r="P223" i="2"/>
  <c r="Q223" i="2" s="1"/>
  <c r="O224" i="2"/>
  <c r="P224" i="2"/>
  <c r="Q224" i="2"/>
  <c r="R224" i="2"/>
  <c r="S224" i="2" s="1"/>
  <c r="T224" i="2"/>
  <c r="U224" i="2"/>
  <c r="V224" i="2"/>
  <c r="W224" i="2"/>
  <c r="X224" i="2"/>
  <c r="Y224" i="2" s="1"/>
  <c r="O225" i="2"/>
  <c r="P225" i="2"/>
  <c r="Q225" i="2"/>
  <c r="R225" i="2"/>
  <c r="S225" i="2" s="1"/>
  <c r="O226" i="2"/>
  <c r="P226" i="2"/>
  <c r="Q226" i="2" s="1"/>
  <c r="R226" i="2"/>
  <c r="S226" i="2" s="1"/>
  <c r="O227" i="2"/>
  <c r="P227" i="2"/>
  <c r="O228" i="2"/>
  <c r="P228" i="2"/>
  <c r="R228" i="2" s="1"/>
  <c r="O229" i="2"/>
  <c r="P229" i="2"/>
  <c r="Q229" i="2"/>
  <c r="R229" i="2"/>
  <c r="O230" i="2"/>
  <c r="P230" i="2"/>
  <c r="Q230" i="2"/>
  <c r="R230" i="2"/>
  <c r="O231" i="2"/>
  <c r="P231" i="2"/>
  <c r="Q231" i="2"/>
  <c r="R231" i="2"/>
  <c r="S231" i="2" s="1"/>
  <c r="T231" i="2"/>
  <c r="O232" i="2"/>
  <c r="P232" i="2"/>
  <c r="Q232" i="2"/>
  <c r="R232" i="2"/>
  <c r="T232" i="2" s="1"/>
  <c r="S232" i="2"/>
  <c r="O233" i="2"/>
  <c r="P233" i="2"/>
  <c r="Q233" i="2"/>
  <c r="R233" i="2"/>
  <c r="S233" i="2"/>
  <c r="T233" i="2"/>
  <c r="W233" i="2" s="1"/>
  <c r="X233" i="2" s="1"/>
  <c r="Y233" i="2" s="1"/>
  <c r="U233" i="2"/>
  <c r="V233" i="2"/>
  <c r="O234" i="2"/>
  <c r="P234" i="2"/>
  <c r="Q234" i="2" s="1"/>
  <c r="R234" i="2"/>
  <c r="S234" i="2"/>
  <c r="T234" i="2"/>
  <c r="U234" i="2" s="1"/>
  <c r="V234" i="2"/>
  <c r="W234" i="2"/>
  <c r="X234" i="2" s="1"/>
  <c r="Y234" i="2" s="1"/>
  <c r="O235" i="2"/>
  <c r="P235" i="2"/>
  <c r="Q235" i="2" s="1"/>
  <c r="O236" i="2"/>
  <c r="P236" i="2"/>
  <c r="R236" i="2" s="1"/>
  <c r="Q236" i="2"/>
  <c r="O237" i="2"/>
  <c r="P237" i="2"/>
  <c r="Q237" i="2"/>
  <c r="R237" i="2"/>
  <c r="S237" i="2" s="1"/>
  <c r="O238" i="2"/>
  <c r="P238" i="2"/>
  <c r="Q238" i="2"/>
  <c r="R238" i="2"/>
  <c r="S238" i="2" s="1"/>
  <c r="O239" i="2"/>
  <c r="P239" i="2"/>
  <c r="O240" i="2"/>
  <c r="P240" i="2"/>
  <c r="R240" i="2" s="1"/>
  <c r="Q240" i="2"/>
  <c r="O241" i="2"/>
  <c r="P241" i="2"/>
  <c r="Q241" i="2"/>
  <c r="R241" i="2"/>
  <c r="O242" i="2"/>
  <c r="P242" i="2"/>
  <c r="Q242" i="2"/>
  <c r="R242" i="2"/>
  <c r="AF242" i="2" s="1"/>
  <c r="O243" i="2"/>
  <c r="P243" i="2"/>
  <c r="Q243" i="2" s="1"/>
  <c r="R243" i="2"/>
  <c r="S243" i="2"/>
  <c r="T243" i="2"/>
  <c r="O244" i="2"/>
  <c r="P244" i="2"/>
  <c r="Q244" i="2"/>
  <c r="R244" i="2"/>
  <c r="T244" i="2" s="1"/>
  <c r="S244" i="2"/>
  <c r="O245" i="2"/>
  <c r="P245" i="2"/>
  <c r="Q245" i="2"/>
  <c r="R245" i="2"/>
  <c r="S245" i="2"/>
  <c r="T245" i="2"/>
  <c r="W245" i="2" s="1"/>
  <c r="X245" i="2" s="1"/>
  <c r="Y245" i="2" s="1"/>
  <c r="U245" i="2"/>
  <c r="V245" i="2"/>
  <c r="O246" i="2"/>
  <c r="P246" i="2"/>
  <c r="Q246" i="2" s="1"/>
  <c r="R246" i="2"/>
  <c r="S246" i="2"/>
  <c r="T246" i="2"/>
  <c r="U246" i="2" s="1"/>
  <c r="V246" i="2"/>
  <c r="W246" i="2"/>
  <c r="X246" i="2" s="1"/>
  <c r="Y246" i="2" s="1"/>
  <c r="O247" i="2"/>
  <c r="P247" i="2"/>
  <c r="Q247" i="2" s="1"/>
  <c r="O248" i="2"/>
  <c r="P248" i="2"/>
  <c r="Q248" i="2" s="1"/>
  <c r="O249" i="2"/>
  <c r="P249" i="2"/>
  <c r="Q249" i="2" s="1"/>
  <c r="O250" i="2"/>
  <c r="P250" i="2"/>
  <c r="Q250" i="2"/>
  <c r="R250" i="2"/>
  <c r="S250" i="2" s="1"/>
  <c r="O251" i="2"/>
  <c r="P251" i="2"/>
  <c r="Q251" i="2" s="1"/>
  <c r="R251" i="2"/>
  <c r="S251" i="2" s="1"/>
  <c r="T251" i="2"/>
  <c r="W251" i="2"/>
  <c r="X251" i="2"/>
  <c r="Y251" i="2"/>
  <c r="O252" i="2"/>
  <c r="P252" i="2"/>
  <c r="R252" i="2" s="1"/>
  <c r="T252" i="2" s="1"/>
  <c r="Q252" i="2"/>
  <c r="S252" i="2"/>
  <c r="O253" i="2"/>
  <c r="P253" i="2"/>
  <c r="Q253" i="2"/>
  <c r="R253" i="2"/>
  <c r="S253" i="2" s="1"/>
  <c r="O254" i="2"/>
  <c r="P254" i="2"/>
  <c r="Q254" i="2"/>
  <c r="R254" i="2"/>
  <c r="T254" i="2" s="1"/>
  <c r="S254" i="2"/>
  <c r="U254" i="2"/>
  <c r="V254" i="2"/>
  <c r="W254" i="2"/>
  <c r="X254" i="2"/>
  <c r="Y254" i="2" s="1"/>
  <c r="O255" i="2"/>
  <c r="P255" i="2"/>
  <c r="Q255" i="2"/>
  <c r="R255" i="2"/>
  <c r="S255" i="2" s="1"/>
  <c r="T255" i="2"/>
  <c r="U255" i="2"/>
  <c r="V255" i="2"/>
  <c r="W255" i="2"/>
  <c r="X255" i="2"/>
  <c r="Y255" i="2" s="1"/>
  <c r="O256" i="2"/>
  <c r="P256" i="2"/>
  <c r="O257" i="2"/>
  <c r="P257" i="2"/>
  <c r="R257" i="2" s="1"/>
  <c r="Q257" i="2"/>
  <c r="O258" i="2"/>
  <c r="P258" i="2"/>
  <c r="Q258" i="2"/>
  <c r="R258" i="2"/>
  <c r="O259" i="2"/>
  <c r="P259" i="2"/>
  <c r="Q259" i="2" s="1"/>
  <c r="R259" i="2"/>
  <c r="T259" i="2" s="1"/>
  <c r="S259" i="2"/>
  <c r="O260" i="2"/>
  <c r="P260" i="2"/>
  <c r="Q260" i="2"/>
  <c r="R260" i="2"/>
  <c r="S260" i="2"/>
  <c r="T260" i="2"/>
  <c r="O261" i="2"/>
  <c r="P261" i="2"/>
  <c r="Q261" i="2"/>
  <c r="R261" i="2"/>
  <c r="S261" i="2" s="1"/>
  <c r="T261" i="2"/>
  <c r="V261" i="2" s="1"/>
  <c r="AJ261" i="2" s="1"/>
  <c r="U261" i="2"/>
  <c r="O262" i="2"/>
  <c r="P262" i="2"/>
  <c r="Q262" i="2"/>
  <c r="R262" i="2"/>
  <c r="S262" i="2"/>
  <c r="T262" i="2"/>
  <c r="W262" i="2" s="1"/>
  <c r="X262" i="2" s="1"/>
  <c r="Y262" i="2" s="1"/>
  <c r="U262" i="2"/>
  <c r="V262" i="2"/>
  <c r="O263" i="2"/>
  <c r="P263" i="2"/>
  <c r="Q263" i="2"/>
  <c r="R263" i="2"/>
  <c r="S263" i="2"/>
  <c r="T263" i="2"/>
  <c r="U263" i="2" s="1"/>
  <c r="V263" i="2"/>
  <c r="W263" i="2"/>
  <c r="X263" i="2" s="1"/>
  <c r="Y263" i="2" s="1"/>
  <c r="O264" i="2"/>
  <c r="P264" i="2"/>
  <c r="Q264" i="2"/>
  <c r="R264" i="2"/>
  <c r="S264" i="2"/>
  <c r="T264" i="2"/>
  <c r="U264" i="2"/>
  <c r="V264" i="2"/>
  <c r="W264" i="2"/>
  <c r="X264" i="2"/>
  <c r="Y264" i="2" s="1"/>
  <c r="O265" i="2"/>
  <c r="P265" i="2"/>
  <c r="Q265" i="2" s="1"/>
  <c r="R265" i="2"/>
  <c r="S265" i="2"/>
  <c r="T265" i="2"/>
  <c r="U265" i="2"/>
  <c r="V265" i="2"/>
  <c r="W265" i="2"/>
  <c r="X265" i="2"/>
  <c r="Y265" i="2"/>
  <c r="O266" i="2"/>
  <c r="P266" i="2"/>
  <c r="Q266" i="2"/>
  <c r="R266" i="2"/>
  <c r="S266" i="2"/>
  <c r="T266" i="2"/>
  <c r="U266" i="2"/>
  <c r="V266" i="2"/>
  <c r="W266" i="2"/>
  <c r="X266" i="2" s="1"/>
  <c r="Y266" i="2" s="1"/>
  <c r="O267" i="2"/>
  <c r="P267" i="2"/>
  <c r="Q267" i="2"/>
  <c r="R267" i="2"/>
  <c r="S267" i="2" s="1"/>
  <c r="T267" i="2"/>
  <c r="U267" i="2"/>
  <c r="V267" i="2"/>
  <c r="W267" i="2"/>
  <c r="X267" i="2"/>
  <c r="Y267" i="2" s="1"/>
  <c r="O268" i="2"/>
  <c r="P268" i="2"/>
  <c r="O269" i="2"/>
  <c r="P269" i="2"/>
  <c r="R269" i="2" s="1"/>
  <c r="Q269" i="2"/>
  <c r="AE269" i="2" s="1"/>
  <c r="O270" i="2"/>
  <c r="P270" i="2"/>
  <c r="Q270" i="2"/>
  <c r="R270" i="2"/>
  <c r="O271" i="2"/>
  <c r="P271" i="2"/>
  <c r="Q271" i="2" s="1"/>
  <c r="R271" i="2"/>
  <c r="T271" i="2" s="1"/>
  <c r="S271" i="2"/>
  <c r="O272" i="2"/>
  <c r="P272" i="2"/>
  <c r="Q272" i="2"/>
  <c r="R272" i="2"/>
  <c r="S272" i="2"/>
  <c r="T272" i="2"/>
  <c r="O273" i="2"/>
  <c r="P273" i="2"/>
  <c r="Q273" i="2"/>
  <c r="R273" i="2"/>
  <c r="S273" i="2" s="1"/>
  <c r="T273" i="2"/>
  <c r="V273" i="2" s="1"/>
  <c r="U273" i="2"/>
  <c r="O274" i="2"/>
  <c r="P274" i="2"/>
  <c r="Q274" i="2"/>
  <c r="R274" i="2"/>
  <c r="S274" i="2"/>
  <c r="T274" i="2"/>
  <c r="W274" i="2" s="1"/>
  <c r="X274" i="2" s="1"/>
  <c r="Y274" i="2" s="1"/>
  <c r="U274" i="2"/>
  <c r="V274" i="2"/>
  <c r="O275" i="2"/>
  <c r="P275" i="2"/>
  <c r="Q275" i="2"/>
  <c r="R275" i="2"/>
  <c r="S275" i="2"/>
  <c r="T275" i="2"/>
  <c r="U275" i="2" s="1"/>
  <c r="V275" i="2"/>
  <c r="W275" i="2"/>
  <c r="X275" i="2" s="1"/>
  <c r="Y275" i="2" s="1"/>
  <c r="AM275" i="2" s="1"/>
  <c r="O276" i="2"/>
  <c r="P276" i="2"/>
  <c r="Q276" i="2"/>
  <c r="R276" i="2"/>
  <c r="S276" i="2"/>
  <c r="T276" i="2"/>
  <c r="U276" i="2"/>
  <c r="V276" i="2"/>
  <c r="W276" i="2"/>
  <c r="X276" i="2"/>
  <c r="Y276" i="2" s="1"/>
  <c r="O277" i="2"/>
  <c r="P277" i="2"/>
  <c r="Q277" i="2"/>
  <c r="R277" i="2"/>
  <c r="S277" i="2" s="1"/>
  <c r="T277" i="2"/>
  <c r="U277" i="2"/>
  <c r="V277" i="2"/>
  <c r="W277" i="2"/>
  <c r="X277" i="2"/>
  <c r="Y277" i="2"/>
  <c r="O278" i="2"/>
  <c r="P278" i="2"/>
  <c r="Q278" i="2"/>
  <c r="R278" i="2"/>
  <c r="S278" i="2"/>
  <c r="T278" i="2"/>
  <c r="U278" i="2"/>
  <c r="V278" i="2"/>
  <c r="W278" i="2"/>
  <c r="X278" i="2" s="1"/>
  <c r="Y278" i="2" s="1"/>
  <c r="O279" i="2"/>
  <c r="P279" i="2"/>
  <c r="Q279" i="2" s="1"/>
  <c r="R279" i="2"/>
  <c r="S279" i="2"/>
  <c r="T279" i="2"/>
  <c r="U279" i="2" s="1"/>
  <c r="V279" i="2"/>
  <c r="W279" i="2"/>
  <c r="X279" i="2"/>
  <c r="Y279" i="2" s="1"/>
  <c r="O280" i="2"/>
  <c r="P280" i="2"/>
  <c r="O281" i="2"/>
  <c r="P281" i="2"/>
  <c r="R281" i="2" s="1"/>
  <c r="Q281" i="2"/>
  <c r="O282" i="2"/>
  <c r="P282" i="2"/>
  <c r="Q282" i="2"/>
  <c r="R282" i="2"/>
  <c r="O283" i="2"/>
  <c r="P283" i="2"/>
  <c r="Q283" i="2" s="1"/>
  <c r="R283" i="2"/>
  <c r="T283" i="2" s="1"/>
  <c r="S283" i="2"/>
  <c r="O284" i="2"/>
  <c r="P284" i="2"/>
  <c r="Q284" i="2"/>
  <c r="R284" i="2"/>
  <c r="S284" i="2"/>
  <c r="T284" i="2"/>
  <c r="O285" i="2"/>
  <c r="P285" i="2"/>
  <c r="Q285" i="2"/>
  <c r="R285" i="2"/>
  <c r="S285" i="2" s="1"/>
  <c r="T285" i="2"/>
  <c r="V285" i="2" s="1"/>
  <c r="U285" i="2"/>
  <c r="O286" i="2"/>
  <c r="P286" i="2"/>
  <c r="Q286" i="2"/>
  <c r="R286" i="2"/>
  <c r="S286" i="2"/>
  <c r="T286" i="2"/>
  <c r="W286" i="2" s="1"/>
  <c r="X286" i="2" s="1"/>
  <c r="Y286" i="2" s="1"/>
  <c r="U286" i="2"/>
  <c r="V286" i="2"/>
  <c r="O287" i="2"/>
  <c r="P287" i="2"/>
  <c r="Q287" i="2" s="1"/>
  <c r="AE287" i="2" s="1"/>
  <c r="R287" i="2"/>
  <c r="S287" i="2"/>
  <c r="T287" i="2"/>
  <c r="U287" i="2" s="1"/>
  <c r="V287" i="2"/>
  <c r="W287" i="2"/>
  <c r="X287" i="2" s="1"/>
  <c r="Y287" i="2" s="1"/>
  <c r="O288" i="2"/>
  <c r="P288" i="2"/>
  <c r="Q288" i="2"/>
  <c r="R288" i="2"/>
  <c r="S288" i="2"/>
  <c r="T288" i="2"/>
  <c r="U288" i="2"/>
  <c r="V288" i="2"/>
  <c r="W288" i="2"/>
  <c r="X288" i="2"/>
  <c r="Y288" i="2" s="1"/>
  <c r="O289" i="2"/>
  <c r="P289" i="2"/>
  <c r="Q289" i="2"/>
  <c r="R289" i="2"/>
  <c r="S289" i="2" s="1"/>
  <c r="T289" i="2"/>
  <c r="U289" i="2"/>
  <c r="V289" i="2"/>
  <c r="W289" i="2"/>
  <c r="X289" i="2"/>
  <c r="Y289" i="2"/>
  <c r="O290" i="2"/>
  <c r="P290" i="2"/>
  <c r="Q290" i="2"/>
  <c r="R290" i="2"/>
  <c r="S290" i="2"/>
  <c r="T290" i="2"/>
  <c r="U290" i="2"/>
  <c r="V290" i="2"/>
  <c r="W290" i="2"/>
  <c r="X290" i="2" s="1"/>
  <c r="Y290" i="2" s="1"/>
  <c r="O291" i="2"/>
  <c r="P291" i="2"/>
  <c r="Q291" i="2" s="1"/>
  <c r="AE291" i="2" s="1"/>
  <c r="R291" i="2"/>
  <c r="S291" i="2" s="1"/>
  <c r="T291" i="2"/>
  <c r="U291" i="2" s="1"/>
  <c r="V291" i="2"/>
  <c r="W291" i="2"/>
  <c r="X291" i="2"/>
  <c r="Y291" i="2" s="1"/>
  <c r="O292" i="2"/>
  <c r="P292" i="2"/>
  <c r="O293" i="2"/>
  <c r="P293" i="2"/>
  <c r="R293" i="2" s="1"/>
  <c r="Q293" i="2"/>
  <c r="O294" i="2"/>
  <c r="P294" i="2"/>
  <c r="Q294" i="2"/>
  <c r="R294" i="2"/>
  <c r="O295" i="2"/>
  <c r="P295" i="2"/>
  <c r="Q295" i="2" s="1"/>
  <c r="R295" i="2"/>
  <c r="T295" i="2" s="1"/>
  <c r="S295" i="2"/>
  <c r="O296" i="2"/>
  <c r="P296" i="2"/>
  <c r="Q296" i="2"/>
  <c r="R296" i="2"/>
  <c r="S296" i="2"/>
  <c r="T296" i="2"/>
  <c r="O297" i="2"/>
  <c r="P297" i="2"/>
  <c r="Q297" i="2"/>
  <c r="R297" i="2"/>
  <c r="S297" i="2" s="1"/>
  <c r="T297" i="2"/>
  <c r="V297" i="2" s="1"/>
  <c r="U297" i="2"/>
  <c r="O298" i="2"/>
  <c r="P298" i="2"/>
  <c r="Q298" i="2"/>
  <c r="R298" i="2"/>
  <c r="S298" i="2"/>
  <c r="T298" i="2"/>
  <c r="W298" i="2" s="1"/>
  <c r="X298" i="2" s="1"/>
  <c r="Y298" i="2" s="1"/>
  <c r="U298" i="2"/>
  <c r="V298" i="2"/>
  <c r="O299" i="2"/>
  <c r="P299" i="2"/>
  <c r="Q299" i="2" s="1"/>
  <c r="R299" i="2"/>
  <c r="S299" i="2"/>
  <c r="T299" i="2"/>
  <c r="U299" i="2" s="1"/>
  <c r="V299" i="2"/>
  <c r="W299" i="2"/>
  <c r="X299" i="2" s="1"/>
  <c r="Y299" i="2" s="1"/>
  <c r="O300" i="2"/>
  <c r="P300" i="2"/>
  <c r="Q300" i="2"/>
  <c r="R300" i="2"/>
  <c r="S300" i="2"/>
  <c r="T300" i="2"/>
  <c r="U300" i="2"/>
  <c r="V300" i="2"/>
  <c r="W300" i="2"/>
  <c r="X300" i="2"/>
  <c r="Y300" i="2" s="1"/>
  <c r="O301" i="2"/>
  <c r="P301" i="2"/>
  <c r="Q301" i="2" s="1"/>
  <c r="R301" i="2"/>
  <c r="S301" i="2" s="1"/>
  <c r="T301" i="2"/>
  <c r="U301" i="2"/>
  <c r="V301" i="2"/>
  <c r="W301" i="2"/>
  <c r="X301" i="2"/>
  <c r="Y301" i="2"/>
  <c r="O302" i="2"/>
  <c r="P302" i="2"/>
  <c r="Q302" i="2"/>
  <c r="R302" i="2"/>
  <c r="S302" i="2"/>
  <c r="T302" i="2"/>
  <c r="U302" i="2"/>
  <c r="V302" i="2"/>
  <c r="W302" i="2"/>
  <c r="X302" i="2" s="1"/>
  <c r="Y302" i="2" s="1"/>
  <c r="O303" i="2"/>
  <c r="P303" i="2"/>
  <c r="Q303" i="2" s="1"/>
  <c r="R303" i="2"/>
  <c r="S303" i="2" s="1"/>
  <c r="T303" i="2"/>
  <c r="U303" i="2" s="1"/>
  <c r="V303" i="2"/>
  <c r="W303" i="2"/>
  <c r="X303" i="2"/>
  <c r="Y303" i="2" s="1"/>
  <c r="O304" i="2"/>
  <c r="P304" i="2"/>
  <c r="O305" i="2"/>
  <c r="P305" i="2"/>
  <c r="R305" i="2" s="1"/>
  <c r="Q305" i="2"/>
  <c r="O306" i="2"/>
  <c r="P306" i="2"/>
  <c r="Q306" i="2"/>
  <c r="R306" i="2"/>
  <c r="O307" i="2"/>
  <c r="P307" i="2"/>
  <c r="Q307" i="2" s="1"/>
  <c r="R307" i="2"/>
  <c r="T307" i="2" s="1"/>
  <c r="S307" i="2"/>
  <c r="O308" i="2"/>
  <c r="P308" i="2"/>
  <c r="Q308" i="2"/>
  <c r="R308" i="2"/>
  <c r="S308" i="2"/>
  <c r="T308" i="2"/>
  <c r="O309" i="2"/>
  <c r="P309" i="2"/>
  <c r="Q309" i="2"/>
  <c r="R309" i="2"/>
  <c r="S309" i="2" s="1"/>
  <c r="T309" i="2"/>
  <c r="V309" i="2" s="1"/>
  <c r="U309" i="2"/>
  <c r="O310" i="2"/>
  <c r="P310" i="2"/>
  <c r="Q310" i="2"/>
  <c r="R310" i="2"/>
  <c r="S310" i="2"/>
  <c r="T310" i="2"/>
  <c r="W310" i="2" s="1"/>
  <c r="X310" i="2" s="1"/>
  <c r="Y310" i="2" s="1"/>
  <c r="U310" i="2"/>
  <c r="V310" i="2"/>
  <c r="O311" i="2"/>
  <c r="P311" i="2"/>
  <c r="Q311" i="2" s="1"/>
  <c r="R311" i="2"/>
  <c r="S311" i="2"/>
  <c r="T311" i="2"/>
  <c r="U311" i="2" s="1"/>
  <c r="V311" i="2"/>
  <c r="W311" i="2"/>
  <c r="X311" i="2" s="1"/>
  <c r="Y311" i="2" s="1"/>
  <c r="AM311" i="2" s="1"/>
  <c r="O129" i="2"/>
  <c r="P129" i="2"/>
  <c r="Q129" i="2" s="1"/>
  <c r="AE129" i="2" s="1"/>
  <c r="R129" i="2"/>
  <c r="S129" i="2"/>
  <c r="T129" i="2"/>
  <c r="U129" i="2" s="1"/>
  <c r="AI129" i="2" s="1"/>
  <c r="V129" i="2"/>
  <c r="W129" i="2"/>
  <c r="X129" i="2"/>
  <c r="Y129" i="2"/>
  <c r="O130" i="2"/>
  <c r="P130" i="2"/>
  <c r="Q130" i="2" s="1"/>
  <c r="AE130" i="2" s="1"/>
  <c r="O131" i="2"/>
  <c r="P131" i="2"/>
  <c r="Q131" i="2" s="1"/>
  <c r="AE131" i="2" s="1"/>
  <c r="O132" i="2"/>
  <c r="P132" i="2"/>
  <c r="R132" i="2" s="1"/>
  <c r="Q132" i="2"/>
  <c r="O133" i="2"/>
  <c r="P133" i="2"/>
  <c r="Q133" i="2"/>
  <c r="R133" i="2"/>
  <c r="S133" i="2" s="1"/>
  <c r="AG133" i="2" s="1"/>
  <c r="O134" i="2"/>
  <c r="P134" i="2"/>
  <c r="Q134" i="2"/>
  <c r="R134" i="2"/>
  <c r="T134" i="2" s="1"/>
  <c r="S134" i="2"/>
  <c r="O135" i="2"/>
  <c r="P135" i="2"/>
  <c r="Q135" i="2" s="1"/>
  <c r="AE135" i="2" s="1"/>
  <c r="R135" i="2"/>
  <c r="S135" i="2"/>
  <c r="T135" i="2"/>
  <c r="U135" i="2" s="1"/>
  <c r="AI135" i="2" s="1"/>
  <c r="O136" i="2"/>
  <c r="P136" i="2"/>
  <c r="Q136" i="2"/>
  <c r="R136" i="2"/>
  <c r="S136" i="2"/>
  <c r="T136" i="2"/>
  <c r="V136" i="2" s="1"/>
  <c r="AJ136" i="2" s="1"/>
  <c r="U136" i="2"/>
  <c r="O137" i="2"/>
  <c r="P137" i="2"/>
  <c r="Q137" i="2"/>
  <c r="R137" i="2"/>
  <c r="S137" i="2" s="1"/>
  <c r="AG137" i="2" s="1"/>
  <c r="T137" i="2"/>
  <c r="W137" i="2" s="1"/>
  <c r="U137" i="2"/>
  <c r="V137" i="2"/>
  <c r="O138" i="2"/>
  <c r="P138" i="2"/>
  <c r="Q138" i="2" s="1"/>
  <c r="AE138" i="2" s="1"/>
  <c r="R138" i="2"/>
  <c r="S138" i="2"/>
  <c r="T138" i="2"/>
  <c r="U138" i="2"/>
  <c r="V138" i="2"/>
  <c r="W138" i="2"/>
  <c r="X138" i="2" s="1"/>
  <c r="O139" i="2"/>
  <c r="P139" i="2"/>
  <c r="Q139" i="2"/>
  <c r="R139" i="2"/>
  <c r="S139" i="2"/>
  <c r="T139" i="2"/>
  <c r="U139" i="2" s="1"/>
  <c r="AI139" i="2" s="1"/>
  <c r="V139" i="2"/>
  <c r="W139" i="2"/>
  <c r="X139" i="2"/>
  <c r="Y139" i="2" s="1"/>
  <c r="AM139" i="2" s="1"/>
  <c r="O140" i="2"/>
  <c r="P140" i="2"/>
  <c r="Q140" i="2"/>
  <c r="R140" i="2"/>
  <c r="S140" i="2" s="1"/>
  <c r="AG140" i="2" s="1"/>
  <c r="T140" i="2"/>
  <c r="U140" i="2"/>
  <c r="V140" i="2"/>
  <c r="W140" i="2"/>
  <c r="X140" i="2"/>
  <c r="Y140" i="2" s="1"/>
  <c r="AM140" i="2" s="1"/>
  <c r="Y128" i="2"/>
  <c r="X128" i="2"/>
  <c r="Q128" i="2"/>
  <c r="AC3" i="2"/>
  <c r="AD3" i="2"/>
  <c r="AE3" i="2"/>
  <c r="AF3" i="2"/>
  <c r="AG3" i="2"/>
  <c r="AH3" i="2"/>
  <c r="AI3" i="2"/>
  <c r="AJ3" i="2"/>
  <c r="AK3" i="2"/>
  <c r="AL3" i="2"/>
  <c r="AM3" i="2"/>
  <c r="AC4" i="2"/>
  <c r="AD4" i="2"/>
  <c r="AE4" i="2"/>
  <c r="AF4" i="2"/>
  <c r="AG4" i="2"/>
  <c r="AH4" i="2"/>
  <c r="AI4" i="2"/>
  <c r="AJ4" i="2"/>
  <c r="AK4" i="2"/>
  <c r="AL4" i="2"/>
  <c r="AM4" i="2"/>
  <c r="AC5" i="2"/>
  <c r="AD5" i="2"/>
  <c r="AE5" i="2"/>
  <c r="AF5" i="2"/>
  <c r="AG5" i="2"/>
  <c r="AH5" i="2"/>
  <c r="AI5" i="2"/>
  <c r="AJ5" i="2"/>
  <c r="AK5" i="2"/>
  <c r="AL5" i="2"/>
  <c r="AM5" i="2"/>
  <c r="AC6" i="2"/>
  <c r="AD6" i="2"/>
  <c r="AE6" i="2"/>
  <c r="AF6" i="2"/>
  <c r="AG6" i="2"/>
  <c r="AH6" i="2"/>
  <c r="AI6" i="2"/>
  <c r="AJ6" i="2"/>
  <c r="AK6" i="2"/>
  <c r="AL6" i="2"/>
  <c r="AM6" i="2"/>
  <c r="AC7" i="2"/>
  <c r="AD7" i="2"/>
  <c r="AE7" i="2"/>
  <c r="AF7" i="2"/>
  <c r="AG7" i="2"/>
  <c r="AH7" i="2"/>
  <c r="AI7" i="2"/>
  <c r="AJ7" i="2"/>
  <c r="AK7" i="2"/>
  <c r="AL7" i="2"/>
  <c r="AM7" i="2"/>
  <c r="AC8" i="2"/>
  <c r="AD8" i="2"/>
  <c r="AE8" i="2"/>
  <c r="AF8" i="2"/>
  <c r="AG8" i="2"/>
  <c r="AH8" i="2"/>
  <c r="AI8" i="2"/>
  <c r="AJ8" i="2"/>
  <c r="AK8" i="2"/>
  <c r="AL8" i="2"/>
  <c r="AM8" i="2"/>
  <c r="AC9" i="2"/>
  <c r="AD9" i="2"/>
  <c r="AE9" i="2"/>
  <c r="AF9" i="2"/>
  <c r="AG9" i="2"/>
  <c r="AH9" i="2"/>
  <c r="AI9" i="2"/>
  <c r="AJ9" i="2"/>
  <c r="AK9" i="2"/>
  <c r="AL9" i="2"/>
  <c r="AM9" i="2"/>
  <c r="AC10" i="2"/>
  <c r="AD10" i="2"/>
  <c r="AE10" i="2"/>
  <c r="AF10" i="2"/>
  <c r="AG10" i="2"/>
  <c r="AH10" i="2"/>
  <c r="AI10" i="2"/>
  <c r="AJ10" i="2"/>
  <c r="AK10" i="2"/>
  <c r="AL10" i="2"/>
  <c r="AM10" i="2"/>
  <c r="AC11" i="2"/>
  <c r="AD11" i="2"/>
  <c r="AE11" i="2"/>
  <c r="AF11" i="2"/>
  <c r="AG11" i="2"/>
  <c r="AH11" i="2"/>
  <c r="AI11" i="2"/>
  <c r="AJ11" i="2"/>
  <c r="AK11" i="2"/>
  <c r="AL11" i="2"/>
  <c r="AM11" i="2"/>
  <c r="AC12" i="2"/>
  <c r="AD12" i="2"/>
  <c r="AE12" i="2"/>
  <c r="AF12" i="2"/>
  <c r="AG12" i="2"/>
  <c r="AH12" i="2"/>
  <c r="AI12" i="2"/>
  <c r="AJ12" i="2"/>
  <c r="AK12" i="2"/>
  <c r="AL12" i="2"/>
  <c r="AM12" i="2"/>
  <c r="AC13" i="2"/>
  <c r="AD13" i="2"/>
  <c r="AE13" i="2"/>
  <c r="AF13" i="2"/>
  <c r="AG13" i="2"/>
  <c r="AH13" i="2"/>
  <c r="AI13" i="2"/>
  <c r="AJ13" i="2"/>
  <c r="AK13" i="2"/>
  <c r="AL13" i="2"/>
  <c r="AM13" i="2"/>
  <c r="AC14" i="2"/>
  <c r="AD14" i="2"/>
  <c r="AE14" i="2"/>
  <c r="AF14" i="2"/>
  <c r="AG14" i="2"/>
  <c r="AH14" i="2"/>
  <c r="AI14" i="2"/>
  <c r="AJ14" i="2"/>
  <c r="AK14" i="2"/>
  <c r="AL14" i="2"/>
  <c r="AM14" i="2"/>
  <c r="AC15" i="2"/>
  <c r="AD15" i="2"/>
  <c r="AE15" i="2"/>
  <c r="AF15" i="2"/>
  <c r="AG15" i="2"/>
  <c r="AH15" i="2"/>
  <c r="AI15" i="2"/>
  <c r="AJ15" i="2"/>
  <c r="AK15" i="2"/>
  <c r="AL15" i="2"/>
  <c r="AM15" i="2"/>
  <c r="AC16" i="2"/>
  <c r="AD16" i="2"/>
  <c r="AE16" i="2"/>
  <c r="AF16" i="2"/>
  <c r="AG16" i="2"/>
  <c r="AH16" i="2"/>
  <c r="AI16" i="2"/>
  <c r="AJ16" i="2"/>
  <c r="AK16" i="2"/>
  <c r="AL16" i="2"/>
  <c r="AM16" i="2"/>
  <c r="AC17" i="2"/>
  <c r="AD17" i="2"/>
  <c r="AE17" i="2"/>
  <c r="AF17" i="2"/>
  <c r="AG17" i="2"/>
  <c r="AH17" i="2"/>
  <c r="AI17" i="2"/>
  <c r="AJ17" i="2"/>
  <c r="AK17" i="2"/>
  <c r="AL17" i="2"/>
  <c r="AM17" i="2"/>
  <c r="AC18" i="2"/>
  <c r="AD18" i="2"/>
  <c r="AE18" i="2"/>
  <c r="AF18" i="2"/>
  <c r="AG18" i="2"/>
  <c r="AH18" i="2"/>
  <c r="AI18" i="2"/>
  <c r="AJ18" i="2"/>
  <c r="AK18" i="2"/>
  <c r="AL18" i="2"/>
  <c r="AM18" i="2"/>
  <c r="AC19" i="2"/>
  <c r="AD19" i="2"/>
  <c r="AE19" i="2"/>
  <c r="AF19" i="2"/>
  <c r="AG19" i="2"/>
  <c r="AH19" i="2"/>
  <c r="AI19" i="2"/>
  <c r="AJ19" i="2"/>
  <c r="AK19" i="2"/>
  <c r="AL19" i="2"/>
  <c r="AM19" i="2"/>
  <c r="AC20" i="2"/>
  <c r="AD20" i="2"/>
  <c r="AE20" i="2"/>
  <c r="AF20" i="2"/>
  <c r="AG20" i="2"/>
  <c r="AH20" i="2"/>
  <c r="AI20" i="2"/>
  <c r="AJ20" i="2"/>
  <c r="AK20" i="2"/>
  <c r="AL20" i="2"/>
  <c r="AM20" i="2"/>
  <c r="AC21" i="2"/>
  <c r="AD21" i="2"/>
  <c r="AE21" i="2"/>
  <c r="AF21" i="2"/>
  <c r="AG21" i="2"/>
  <c r="AH21" i="2"/>
  <c r="AI21" i="2"/>
  <c r="AJ21" i="2"/>
  <c r="AK21" i="2"/>
  <c r="AL21" i="2"/>
  <c r="AM21" i="2"/>
  <c r="AC22" i="2"/>
  <c r="AD22" i="2"/>
  <c r="AE22" i="2"/>
  <c r="AF22" i="2"/>
  <c r="AG22" i="2"/>
  <c r="AH22" i="2"/>
  <c r="AI22" i="2"/>
  <c r="AJ22" i="2"/>
  <c r="AK22" i="2"/>
  <c r="AL22" i="2"/>
  <c r="AM22" i="2"/>
  <c r="AC23" i="2"/>
  <c r="AD23" i="2"/>
  <c r="AE23" i="2"/>
  <c r="AF23" i="2"/>
  <c r="AG23" i="2"/>
  <c r="AH23" i="2"/>
  <c r="AI23" i="2"/>
  <c r="AJ23" i="2"/>
  <c r="AK23" i="2"/>
  <c r="AL23" i="2"/>
  <c r="AM23" i="2"/>
  <c r="AC24" i="2"/>
  <c r="AD24" i="2"/>
  <c r="AE24" i="2"/>
  <c r="AF24" i="2"/>
  <c r="AG24" i="2"/>
  <c r="AH24" i="2"/>
  <c r="AI24" i="2"/>
  <c r="AJ24" i="2"/>
  <c r="AK24" i="2"/>
  <c r="AL24" i="2"/>
  <c r="AM24" i="2"/>
  <c r="AC25" i="2"/>
  <c r="AD25" i="2"/>
  <c r="AE25" i="2"/>
  <c r="AF25" i="2"/>
  <c r="AG25" i="2"/>
  <c r="AH25" i="2"/>
  <c r="AI25" i="2"/>
  <c r="AJ25" i="2"/>
  <c r="AK25" i="2"/>
  <c r="AL25" i="2"/>
  <c r="AM25" i="2"/>
  <c r="AC26" i="2"/>
  <c r="AD26" i="2"/>
  <c r="AE26" i="2"/>
  <c r="AF26" i="2"/>
  <c r="AG26" i="2"/>
  <c r="AH26" i="2"/>
  <c r="AI26" i="2"/>
  <c r="AJ26" i="2"/>
  <c r="AK26" i="2"/>
  <c r="AL26" i="2"/>
  <c r="AM26" i="2"/>
  <c r="AC27" i="2"/>
  <c r="AD27" i="2"/>
  <c r="AE27" i="2"/>
  <c r="AF27" i="2"/>
  <c r="AG27" i="2"/>
  <c r="AH27" i="2"/>
  <c r="AI27" i="2"/>
  <c r="AJ27" i="2"/>
  <c r="AK27" i="2"/>
  <c r="AL27" i="2"/>
  <c r="AM27" i="2"/>
  <c r="AC28" i="2"/>
  <c r="AD28" i="2"/>
  <c r="AE28" i="2"/>
  <c r="AF28" i="2"/>
  <c r="AG28" i="2"/>
  <c r="AH28" i="2"/>
  <c r="AI28" i="2"/>
  <c r="AJ28" i="2"/>
  <c r="AK28" i="2"/>
  <c r="AL28" i="2"/>
  <c r="AM28" i="2"/>
  <c r="AC29" i="2"/>
  <c r="AD29" i="2"/>
  <c r="AE29" i="2"/>
  <c r="AF29" i="2"/>
  <c r="AG29" i="2"/>
  <c r="AH29" i="2"/>
  <c r="AI29" i="2"/>
  <c r="AJ29" i="2"/>
  <c r="AK29" i="2"/>
  <c r="AL29" i="2"/>
  <c r="AM29" i="2"/>
  <c r="AC30" i="2"/>
  <c r="AD30" i="2"/>
  <c r="AE30" i="2"/>
  <c r="AF30" i="2"/>
  <c r="AG30" i="2"/>
  <c r="AH30" i="2"/>
  <c r="AI30" i="2"/>
  <c r="AJ30" i="2"/>
  <c r="AK30" i="2"/>
  <c r="AL30" i="2"/>
  <c r="AM30" i="2"/>
  <c r="AC31" i="2"/>
  <c r="AD31" i="2"/>
  <c r="AE31" i="2"/>
  <c r="AF31" i="2"/>
  <c r="AG31" i="2"/>
  <c r="AH31" i="2"/>
  <c r="AI31" i="2"/>
  <c r="AJ31" i="2"/>
  <c r="AK31" i="2"/>
  <c r="AL31" i="2"/>
  <c r="AM31" i="2"/>
  <c r="AC32" i="2"/>
  <c r="AD32" i="2"/>
  <c r="AE32" i="2"/>
  <c r="AF32" i="2"/>
  <c r="AG32" i="2"/>
  <c r="AH32" i="2"/>
  <c r="AI32" i="2"/>
  <c r="AJ32" i="2"/>
  <c r="AK32" i="2"/>
  <c r="AL32" i="2"/>
  <c r="AM32" i="2"/>
  <c r="AC33" i="2"/>
  <c r="AD33" i="2"/>
  <c r="AE33" i="2"/>
  <c r="AF33" i="2"/>
  <c r="AG33" i="2"/>
  <c r="AH33" i="2"/>
  <c r="AI33" i="2"/>
  <c r="AJ33" i="2"/>
  <c r="AK33" i="2"/>
  <c r="AL33" i="2"/>
  <c r="AM33" i="2"/>
  <c r="AC34" i="2"/>
  <c r="AD34" i="2"/>
  <c r="AE34" i="2"/>
  <c r="AF34" i="2"/>
  <c r="AG34" i="2"/>
  <c r="AH34" i="2"/>
  <c r="AI34" i="2"/>
  <c r="AJ34" i="2"/>
  <c r="AK34" i="2"/>
  <c r="AL34" i="2"/>
  <c r="AM34" i="2"/>
  <c r="AC35" i="2"/>
  <c r="AD35" i="2"/>
  <c r="AE35" i="2"/>
  <c r="AF35" i="2"/>
  <c r="AG35" i="2"/>
  <c r="AH35" i="2"/>
  <c r="AI35" i="2"/>
  <c r="AJ35" i="2"/>
  <c r="AK35" i="2"/>
  <c r="AL35" i="2"/>
  <c r="AM35" i="2"/>
  <c r="AC36" i="2"/>
  <c r="AD36" i="2"/>
  <c r="AE36" i="2"/>
  <c r="AF36" i="2"/>
  <c r="AG36" i="2"/>
  <c r="AH36" i="2"/>
  <c r="AI36" i="2"/>
  <c r="AJ36" i="2"/>
  <c r="AK36" i="2"/>
  <c r="AL36" i="2"/>
  <c r="AM36" i="2"/>
  <c r="AC37" i="2"/>
  <c r="AD37" i="2"/>
  <c r="AE37" i="2"/>
  <c r="AF37" i="2"/>
  <c r="AG37" i="2"/>
  <c r="AH37" i="2"/>
  <c r="AI37" i="2"/>
  <c r="AJ37" i="2"/>
  <c r="AK37" i="2"/>
  <c r="AL37" i="2"/>
  <c r="AM37" i="2"/>
  <c r="AC38" i="2"/>
  <c r="AD38" i="2"/>
  <c r="AE38" i="2"/>
  <c r="AF38" i="2"/>
  <c r="AG38" i="2"/>
  <c r="AH38" i="2"/>
  <c r="AI38" i="2"/>
  <c r="AJ38" i="2"/>
  <c r="AK38" i="2"/>
  <c r="AL38" i="2"/>
  <c r="AM38" i="2"/>
  <c r="AC39" i="2"/>
  <c r="AD39" i="2"/>
  <c r="AE39" i="2"/>
  <c r="AF39" i="2"/>
  <c r="AG39" i="2"/>
  <c r="AH39" i="2"/>
  <c r="AI39" i="2"/>
  <c r="AJ39" i="2"/>
  <c r="AK39" i="2"/>
  <c r="AL39" i="2"/>
  <c r="AM39" i="2"/>
  <c r="AC40" i="2"/>
  <c r="AD40" i="2"/>
  <c r="AE40" i="2"/>
  <c r="AF40" i="2"/>
  <c r="AG40" i="2"/>
  <c r="AH40" i="2"/>
  <c r="AI40" i="2"/>
  <c r="AJ40" i="2"/>
  <c r="AK40" i="2"/>
  <c r="AL40" i="2"/>
  <c r="AM40" i="2"/>
  <c r="AC41" i="2"/>
  <c r="AD41" i="2"/>
  <c r="AE41" i="2"/>
  <c r="AF41" i="2"/>
  <c r="AG41" i="2"/>
  <c r="AH41" i="2"/>
  <c r="AI41" i="2"/>
  <c r="AJ41" i="2"/>
  <c r="AK41" i="2"/>
  <c r="AL41" i="2"/>
  <c r="AM41" i="2"/>
  <c r="AC42" i="2"/>
  <c r="AD42" i="2"/>
  <c r="AE42" i="2"/>
  <c r="AF42" i="2"/>
  <c r="AG42" i="2"/>
  <c r="AH42" i="2"/>
  <c r="AI42" i="2"/>
  <c r="AJ42" i="2"/>
  <c r="AK42" i="2"/>
  <c r="AL42" i="2"/>
  <c r="AM42" i="2"/>
  <c r="AC43" i="2"/>
  <c r="AD43" i="2"/>
  <c r="AE43" i="2"/>
  <c r="AF43" i="2"/>
  <c r="AG43" i="2"/>
  <c r="AH43" i="2"/>
  <c r="AI43" i="2"/>
  <c r="AJ43" i="2"/>
  <c r="AK43" i="2"/>
  <c r="AL43" i="2"/>
  <c r="AM43" i="2"/>
  <c r="AC44" i="2"/>
  <c r="AD44" i="2"/>
  <c r="AE44" i="2"/>
  <c r="AF44" i="2"/>
  <c r="AG44" i="2"/>
  <c r="AH44" i="2"/>
  <c r="AI44" i="2"/>
  <c r="AJ44" i="2"/>
  <c r="AK44" i="2"/>
  <c r="AL44" i="2"/>
  <c r="AM44" i="2"/>
  <c r="AC45" i="2"/>
  <c r="AD45" i="2"/>
  <c r="AE45" i="2"/>
  <c r="AF45" i="2"/>
  <c r="AG45" i="2"/>
  <c r="AH45" i="2"/>
  <c r="AI45" i="2"/>
  <c r="AJ45" i="2"/>
  <c r="AK45" i="2"/>
  <c r="AL45" i="2"/>
  <c r="AM45" i="2"/>
  <c r="AC46" i="2"/>
  <c r="AD46" i="2"/>
  <c r="AE46" i="2"/>
  <c r="AF46" i="2"/>
  <c r="AG46" i="2"/>
  <c r="AH46" i="2"/>
  <c r="AI46" i="2"/>
  <c r="AJ46" i="2"/>
  <c r="AK46" i="2"/>
  <c r="AL46" i="2"/>
  <c r="AM46" i="2"/>
  <c r="AC47" i="2"/>
  <c r="AD47" i="2"/>
  <c r="AE47" i="2"/>
  <c r="AF47" i="2"/>
  <c r="AG47" i="2"/>
  <c r="AH47" i="2"/>
  <c r="AI47" i="2"/>
  <c r="AJ47" i="2"/>
  <c r="AK47" i="2"/>
  <c r="AL47" i="2"/>
  <c r="AM47" i="2"/>
  <c r="AC48" i="2"/>
  <c r="AD48" i="2"/>
  <c r="AE48" i="2"/>
  <c r="AF48" i="2"/>
  <c r="AG48" i="2"/>
  <c r="AH48" i="2"/>
  <c r="AI48" i="2"/>
  <c r="AJ48" i="2"/>
  <c r="AK48" i="2"/>
  <c r="AL48" i="2"/>
  <c r="AM48" i="2"/>
  <c r="AC49" i="2"/>
  <c r="AD49" i="2"/>
  <c r="AE49" i="2"/>
  <c r="AF49" i="2"/>
  <c r="AG49" i="2"/>
  <c r="AH49" i="2"/>
  <c r="AI49" i="2"/>
  <c r="AJ49" i="2"/>
  <c r="AK49" i="2"/>
  <c r="AL49" i="2"/>
  <c r="AM49" i="2"/>
  <c r="AC50" i="2"/>
  <c r="AD50" i="2"/>
  <c r="AE50" i="2"/>
  <c r="AF50" i="2"/>
  <c r="AG50" i="2"/>
  <c r="AH50" i="2"/>
  <c r="AI50" i="2"/>
  <c r="AJ50" i="2"/>
  <c r="AK50" i="2"/>
  <c r="AL50" i="2"/>
  <c r="AM50" i="2"/>
  <c r="AC51" i="2"/>
  <c r="AD51" i="2"/>
  <c r="AE51" i="2"/>
  <c r="AF51" i="2"/>
  <c r="AG51" i="2"/>
  <c r="AH51" i="2"/>
  <c r="AI51" i="2"/>
  <c r="AJ51" i="2"/>
  <c r="AK51" i="2"/>
  <c r="AL51" i="2"/>
  <c r="AM51" i="2"/>
  <c r="AC52" i="2"/>
  <c r="AD52" i="2"/>
  <c r="AE52" i="2"/>
  <c r="AF52" i="2"/>
  <c r="AG52" i="2"/>
  <c r="AH52" i="2"/>
  <c r="AI52" i="2"/>
  <c r="AJ52" i="2"/>
  <c r="AK52" i="2"/>
  <c r="AL52" i="2"/>
  <c r="AM52" i="2"/>
  <c r="AC53" i="2"/>
  <c r="AD53" i="2"/>
  <c r="AE53" i="2"/>
  <c r="AF53" i="2"/>
  <c r="AG53" i="2"/>
  <c r="AH53" i="2"/>
  <c r="AI53" i="2"/>
  <c r="AJ53" i="2"/>
  <c r="AK53" i="2"/>
  <c r="AL53" i="2"/>
  <c r="AM53" i="2"/>
  <c r="AC54" i="2"/>
  <c r="AD54" i="2"/>
  <c r="AE54" i="2"/>
  <c r="AF54" i="2"/>
  <c r="AG54" i="2"/>
  <c r="AH54" i="2"/>
  <c r="AI54" i="2"/>
  <c r="AJ54" i="2"/>
  <c r="AK54" i="2"/>
  <c r="AL54" i="2"/>
  <c r="AM54" i="2"/>
  <c r="AC55" i="2"/>
  <c r="AD55" i="2"/>
  <c r="AE55" i="2"/>
  <c r="AF55" i="2"/>
  <c r="AG55" i="2"/>
  <c r="AH55" i="2"/>
  <c r="AI55" i="2"/>
  <c r="AJ55" i="2"/>
  <c r="AK55" i="2"/>
  <c r="AL55" i="2"/>
  <c r="AM55" i="2"/>
  <c r="AC56" i="2"/>
  <c r="AD56" i="2"/>
  <c r="AE56" i="2"/>
  <c r="AF56" i="2"/>
  <c r="AG56" i="2"/>
  <c r="AH56" i="2"/>
  <c r="AI56" i="2"/>
  <c r="AJ56" i="2"/>
  <c r="AK56" i="2"/>
  <c r="AL56" i="2"/>
  <c r="AM56" i="2"/>
  <c r="AC57" i="2"/>
  <c r="AD57" i="2"/>
  <c r="AE57" i="2"/>
  <c r="AF57" i="2"/>
  <c r="AG57" i="2"/>
  <c r="AH57" i="2"/>
  <c r="AI57" i="2"/>
  <c r="AJ57" i="2"/>
  <c r="AK57" i="2"/>
  <c r="AL57" i="2"/>
  <c r="AM57" i="2"/>
  <c r="AC58" i="2"/>
  <c r="AD58" i="2"/>
  <c r="AE58" i="2"/>
  <c r="AF58" i="2"/>
  <c r="AG58" i="2"/>
  <c r="AH58" i="2"/>
  <c r="AI58" i="2"/>
  <c r="AJ58" i="2"/>
  <c r="AK58" i="2"/>
  <c r="AL58" i="2"/>
  <c r="AM58" i="2"/>
  <c r="AC59" i="2"/>
  <c r="AD59" i="2"/>
  <c r="AE59" i="2"/>
  <c r="AF59" i="2"/>
  <c r="AG59" i="2"/>
  <c r="AH59" i="2"/>
  <c r="AI59" i="2"/>
  <c r="AJ59" i="2"/>
  <c r="AK59" i="2"/>
  <c r="AL59" i="2"/>
  <c r="AM59" i="2"/>
  <c r="AC60" i="2"/>
  <c r="AD60" i="2"/>
  <c r="AE60" i="2"/>
  <c r="AF60" i="2"/>
  <c r="AG60" i="2"/>
  <c r="AH60" i="2"/>
  <c r="AI60" i="2"/>
  <c r="AJ60" i="2"/>
  <c r="AK60" i="2"/>
  <c r="AL60" i="2"/>
  <c r="AM60" i="2"/>
  <c r="AC61" i="2"/>
  <c r="AD61" i="2"/>
  <c r="AE61" i="2"/>
  <c r="AF61" i="2"/>
  <c r="AG61" i="2"/>
  <c r="AH61" i="2"/>
  <c r="AI61" i="2"/>
  <c r="AJ61" i="2"/>
  <c r="AK61" i="2"/>
  <c r="AL61" i="2"/>
  <c r="AM61" i="2"/>
  <c r="AC62" i="2"/>
  <c r="AD62" i="2"/>
  <c r="AE62" i="2"/>
  <c r="AF62" i="2"/>
  <c r="AG62" i="2"/>
  <c r="AH62" i="2"/>
  <c r="AI62" i="2"/>
  <c r="AJ62" i="2"/>
  <c r="AK62" i="2"/>
  <c r="AL62" i="2"/>
  <c r="AM62" i="2"/>
  <c r="AC63" i="2"/>
  <c r="AD63" i="2"/>
  <c r="AE63" i="2"/>
  <c r="AF63" i="2"/>
  <c r="AG63" i="2"/>
  <c r="AH63" i="2"/>
  <c r="AI63" i="2"/>
  <c r="AJ63" i="2"/>
  <c r="AK63" i="2"/>
  <c r="AL63" i="2"/>
  <c r="AM63" i="2"/>
  <c r="AC64" i="2"/>
  <c r="AD64" i="2"/>
  <c r="AE64" i="2"/>
  <c r="AF64" i="2"/>
  <c r="AG64" i="2"/>
  <c r="AH64" i="2"/>
  <c r="AI64" i="2"/>
  <c r="AJ64" i="2"/>
  <c r="AK64" i="2"/>
  <c r="AL64" i="2"/>
  <c r="AM64" i="2"/>
  <c r="AC65" i="2"/>
  <c r="AD65" i="2"/>
  <c r="AE65" i="2"/>
  <c r="AF65" i="2"/>
  <c r="AG65" i="2"/>
  <c r="AH65" i="2"/>
  <c r="AI65" i="2"/>
  <c r="AJ65" i="2"/>
  <c r="AK65" i="2"/>
  <c r="AL65" i="2"/>
  <c r="AM65" i="2"/>
  <c r="AC66" i="2"/>
  <c r="AD66" i="2"/>
  <c r="AE66" i="2"/>
  <c r="AF66" i="2"/>
  <c r="AG66" i="2"/>
  <c r="AH66" i="2"/>
  <c r="AI66" i="2"/>
  <c r="AJ66" i="2"/>
  <c r="AK66" i="2"/>
  <c r="AL66" i="2"/>
  <c r="AM66" i="2"/>
  <c r="AC67" i="2"/>
  <c r="AD67" i="2"/>
  <c r="AE67" i="2"/>
  <c r="AF67" i="2"/>
  <c r="AG67" i="2"/>
  <c r="AH67" i="2"/>
  <c r="AI67" i="2"/>
  <c r="AJ67" i="2"/>
  <c r="AK67" i="2"/>
  <c r="AL67" i="2"/>
  <c r="AM67" i="2"/>
  <c r="AC68" i="2"/>
  <c r="AD68" i="2"/>
  <c r="AE68" i="2"/>
  <c r="AF68" i="2"/>
  <c r="AG68" i="2"/>
  <c r="AH68" i="2"/>
  <c r="AI68" i="2"/>
  <c r="AJ68" i="2"/>
  <c r="AK68" i="2"/>
  <c r="AL68" i="2"/>
  <c r="AM68" i="2"/>
  <c r="AC69" i="2"/>
  <c r="AD69" i="2"/>
  <c r="AE69" i="2"/>
  <c r="AF69" i="2"/>
  <c r="AG69" i="2"/>
  <c r="AH69" i="2"/>
  <c r="AI69" i="2"/>
  <c r="AJ69" i="2"/>
  <c r="AK69" i="2"/>
  <c r="AL69" i="2"/>
  <c r="AM69" i="2"/>
  <c r="AC70" i="2"/>
  <c r="AD70" i="2"/>
  <c r="AE70" i="2"/>
  <c r="AF70" i="2"/>
  <c r="AG70" i="2"/>
  <c r="AH70" i="2"/>
  <c r="AI70" i="2"/>
  <c r="AJ70" i="2"/>
  <c r="AK70" i="2"/>
  <c r="AL70" i="2"/>
  <c r="AM70" i="2"/>
  <c r="AC71" i="2"/>
  <c r="AD71" i="2"/>
  <c r="AE71" i="2"/>
  <c r="AF71" i="2"/>
  <c r="AG71" i="2"/>
  <c r="AH71" i="2"/>
  <c r="AI71" i="2"/>
  <c r="AJ71" i="2"/>
  <c r="AK71" i="2"/>
  <c r="AL71" i="2"/>
  <c r="AM71" i="2"/>
  <c r="AC72" i="2"/>
  <c r="AD72" i="2"/>
  <c r="AE72" i="2"/>
  <c r="AF72" i="2"/>
  <c r="AG72" i="2"/>
  <c r="AH72" i="2"/>
  <c r="AI72" i="2"/>
  <c r="AJ72" i="2"/>
  <c r="AK72" i="2"/>
  <c r="AL72" i="2"/>
  <c r="AM72" i="2"/>
  <c r="AC73" i="2"/>
  <c r="AD73" i="2"/>
  <c r="AE73" i="2"/>
  <c r="AF73" i="2"/>
  <c r="AG73" i="2"/>
  <c r="AH73" i="2"/>
  <c r="AI73" i="2"/>
  <c r="AJ73" i="2"/>
  <c r="AK73" i="2"/>
  <c r="AL73" i="2"/>
  <c r="AM73" i="2"/>
  <c r="AC74" i="2"/>
  <c r="AD74" i="2"/>
  <c r="AE74" i="2"/>
  <c r="AF74" i="2"/>
  <c r="AG74" i="2"/>
  <c r="AH74" i="2"/>
  <c r="AI74" i="2"/>
  <c r="AJ74" i="2"/>
  <c r="AK74" i="2"/>
  <c r="AL74" i="2"/>
  <c r="AM74" i="2"/>
  <c r="AC75" i="2"/>
  <c r="AD75" i="2"/>
  <c r="AE75" i="2"/>
  <c r="AF75" i="2"/>
  <c r="AG75" i="2"/>
  <c r="AH75" i="2"/>
  <c r="AI75" i="2"/>
  <c r="AJ75" i="2"/>
  <c r="AK75" i="2"/>
  <c r="AL75" i="2"/>
  <c r="AM75" i="2"/>
  <c r="AC76" i="2"/>
  <c r="AD76" i="2"/>
  <c r="AE76" i="2"/>
  <c r="AF76" i="2"/>
  <c r="AG76" i="2"/>
  <c r="AH76" i="2"/>
  <c r="AI76" i="2"/>
  <c r="AJ76" i="2"/>
  <c r="AK76" i="2"/>
  <c r="AL76" i="2"/>
  <c r="AM76" i="2"/>
  <c r="AC77" i="2"/>
  <c r="AD77" i="2"/>
  <c r="AE77" i="2"/>
  <c r="AF77" i="2"/>
  <c r="AG77" i="2"/>
  <c r="AH77" i="2"/>
  <c r="AI77" i="2"/>
  <c r="AJ77" i="2"/>
  <c r="AK77" i="2"/>
  <c r="AL77" i="2"/>
  <c r="AM77" i="2"/>
  <c r="AC78" i="2"/>
  <c r="AD78" i="2"/>
  <c r="AE78" i="2"/>
  <c r="AF78" i="2"/>
  <c r="AG78" i="2"/>
  <c r="AH78" i="2"/>
  <c r="AI78" i="2"/>
  <c r="AJ78" i="2"/>
  <c r="AK78" i="2"/>
  <c r="AL78" i="2"/>
  <c r="AM78" i="2"/>
  <c r="AC79" i="2"/>
  <c r="AD79" i="2"/>
  <c r="AE79" i="2"/>
  <c r="AF79" i="2"/>
  <c r="AG79" i="2"/>
  <c r="AH79" i="2"/>
  <c r="AI79" i="2"/>
  <c r="AJ79" i="2"/>
  <c r="AK79" i="2"/>
  <c r="AL79" i="2"/>
  <c r="AM79" i="2"/>
  <c r="AC80" i="2"/>
  <c r="AD80" i="2"/>
  <c r="AE80" i="2"/>
  <c r="AF80" i="2"/>
  <c r="AG80" i="2"/>
  <c r="AH80" i="2"/>
  <c r="AI80" i="2"/>
  <c r="AJ80" i="2"/>
  <c r="AK80" i="2"/>
  <c r="AL80" i="2"/>
  <c r="AM80" i="2"/>
  <c r="AC81" i="2"/>
  <c r="AD81" i="2"/>
  <c r="AE81" i="2"/>
  <c r="AF81" i="2"/>
  <c r="AG81" i="2"/>
  <c r="AH81" i="2"/>
  <c r="AI81" i="2"/>
  <c r="AJ81" i="2"/>
  <c r="AK81" i="2"/>
  <c r="AL81" i="2"/>
  <c r="AM81" i="2"/>
  <c r="AC82" i="2"/>
  <c r="AD82" i="2"/>
  <c r="AE82" i="2"/>
  <c r="AF82" i="2"/>
  <c r="AG82" i="2"/>
  <c r="AH82" i="2"/>
  <c r="AI82" i="2"/>
  <c r="AJ82" i="2"/>
  <c r="AK82" i="2"/>
  <c r="AL82" i="2"/>
  <c r="AM82" i="2"/>
  <c r="AC83" i="2"/>
  <c r="AD83" i="2"/>
  <c r="AE83" i="2"/>
  <c r="AF83" i="2"/>
  <c r="AG83" i="2"/>
  <c r="AH83" i="2"/>
  <c r="AI83" i="2"/>
  <c r="AJ83" i="2"/>
  <c r="AK83" i="2"/>
  <c r="AL83" i="2"/>
  <c r="AM83" i="2"/>
  <c r="AC84" i="2"/>
  <c r="AD84" i="2"/>
  <c r="AE84" i="2"/>
  <c r="AF84" i="2"/>
  <c r="AG84" i="2"/>
  <c r="AH84" i="2"/>
  <c r="AI84" i="2"/>
  <c r="AJ84" i="2"/>
  <c r="AK84" i="2"/>
  <c r="AL84" i="2"/>
  <c r="AM84" i="2"/>
  <c r="AC85" i="2"/>
  <c r="AD85" i="2"/>
  <c r="AE85" i="2"/>
  <c r="AF85" i="2"/>
  <c r="AG85" i="2"/>
  <c r="AH85" i="2"/>
  <c r="AI85" i="2"/>
  <c r="AJ85" i="2"/>
  <c r="AK85" i="2"/>
  <c r="AL85" i="2"/>
  <c r="AM85" i="2"/>
  <c r="AC86" i="2"/>
  <c r="AD86" i="2"/>
  <c r="AE86" i="2"/>
  <c r="AF86" i="2"/>
  <c r="AG86" i="2"/>
  <c r="AH86" i="2"/>
  <c r="AI86" i="2"/>
  <c r="AJ86" i="2"/>
  <c r="AK86" i="2"/>
  <c r="AL86" i="2"/>
  <c r="AM86" i="2"/>
  <c r="AC87" i="2"/>
  <c r="AD87" i="2"/>
  <c r="AE87" i="2"/>
  <c r="AF87" i="2"/>
  <c r="AG87" i="2"/>
  <c r="AH87" i="2"/>
  <c r="AI87" i="2"/>
  <c r="AJ87" i="2"/>
  <c r="AK87" i="2"/>
  <c r="AL87" i="2"/>
  <c r="AM87" i="2"/>
  <c r="AC88" i="2"/>
  <c r="AD88" i="2"/>
  <c r="AE88" i="2"/>
  <c r="AF88" i="2"/>
  <c r="AG88" i="2"/>
  <c r="AH88" i="2"/>
  <c r="AI88" i="2"/>
  <c r="AJ88" i="2"/>
  <c r="AK88" i="2"/>
  <c r="AL88" i="2"/>
  <c r="AM88" i="2"/>
  <c r="AC89" i="2"/>
  <c r="AD89" i="2"/>
  <c r="AE89" i="2"/>
  <c r="AF89" i="2"/>
  <c r="AG89" i="2"/>
  <c r="AH89" i="2"/>
  <c r="AI89" i="2"/>
  <c r="AJ89" i="2"/>
  <c r="AK89" i="2"/>
  <c r="AL89" i="2"/>
  <c r="AM89" i="2"/>
  <c r="AC90" i="2"/>
  <c r="AD90" i="2"/>
  <c r="AE90" i="2"/>
  <c r="AF90" i="2"/>
  <c r="AG90" i="2"/>
  <c r="AH90" i="2"/>
  <c r="AI90" i="2"/>
  <c r="AJ90" i="2"/>
  <c r="AK90" i="2"/>
  <c r="AL90" i="2"/>
  <c r="AM90" i="2"/>
  <c r="AC91" i="2"/>
  <c r="AD91" i="2"/>
  <c r="AE91" i="2"/>
  <c r="AF91" i="2"/>
  <c r="AG91" i="2"/>
  <c r="AH91" i="2"/>
  <c r="AI91" i="2"/>
  <c r="AJ91" i="2"/>
  <c r="AK91" i="2"/>
  <c r="AL91" i="2"/>
  <c r="AM91" i="2"/>
  <c r="AC92" i="2"/>
  <c r="AD92" i="2"/>
  <c r="AE92" i="2"/>
  <c r="AF92" i="2"/>
  <c r="AG92" i="2"/>
  <c r="AH92" i="2"/>
  <c r="AI92" i="2"/>
  <c r="AJ92" i="2"/>
  <c r="AK92" i="2"/>
  <c r="AL92" i="2"/>
  <c r="AM92" i="2"/>
  <c r="AC93" i="2"/>
  <c r="AD93" i="2"/>
  <c r="AE93" i="2"/>
  <c r="AF93" i="2"/>
  <c r="AG93" i="2"/>
  <c r="AH93" i="2"/>
  <c r="AI93" i="2"/>
  <c r="AJ93" i="2"/>
  <c r="AK93" i="2"/>
  <c r="AL93" i="2"/>
  <c r="AM93" i="2"/>
  <c r="AC94" i="2"/>
  <c r="AD94" i="2"/>
  <c r="AE94" i="2"/>
  <c r="AF94" i="2"/>
  <c r="AG94" i="2"/>
  <c r="AH94" i="2"/>
  <c r="AI94" i="2"/>
  <c r="AJ94" i="2"/>
  <c r="AK94" i="2"/>
  <c r="AL94" i="2"/>
  <c r="AM94" i="2"/>
  <c r="AC95" i="2"/>
  <c r="AD95" i="2"/>
  <c r="AE95" i="2"/>
  <c r="AF95" i="2"/>
  <c r="AG95" i="2"/>
  <c r="AH95" i="2"/>
  <c r="AI95" i="2"/>
  <c r="AJ95" i="2"/>
  <c r="AK95" i="2"/>
  <c r="AL95" i="2"/>
  <c r="AM95" i="2"/>
  <c r="AC96" i="2"/>
  <c r="AD96" i="2"/>
  <c r="AE96" i="2"/>
  <c r="AF96" i="2"/>
  <c r="AG96" i="2"/>
  <c r="AH96" i="2"/>
  <c r="AI96" i="2"/>
  <c r="AJ96" i="2"/>
  <c r="AK96" i="2"/>
  <c r="AL96" i="2"/>
  <c r="AM96" i="2"/>
  <c r="AC97" i="2"/>
  <c r="AD97" i="2"/>
  <c r="AE97" i="2"/>
  <c r="AF97" i="2"/>
  <c r="AG97" i="2"/>
  <c r="AH97" i="2"/>
  <c r="AI97" i="2"/>
  <c r="AJ97" i="2"/>
  <c r="AK97" i="2"/>
  <c r="AL97" i="2"/>
  <c r="AM97" i="2"/>
  <c r="AC98" i="2"/>
  <c r="AD98" i="2"/>
  <c r="AE98" i="2"/>
  <c r="AF98" i="2"/>
  <c r="AG98" i="2"/>
  <c r="AH98" i="2"/>
  <c r="AI98" i="2"/>
  <c r="AJ98" i="2"/>
  <c r="AK98" i="2"/>
  <c r="AL98" i="2"/>
  <c r="AM98" i="2"/>
  <c r="AC99" i="2"/>
  <c r="AD99" i="2"/>
  <c r="AE99" i="2"/>
  <c r="AF99" i="2"/>
  <c r="AG99" i="2"/>
  <c r="AH99" i="2"/>
  <c r="AI99" i="2"/>
  <c r="AJ99" i="2"/>
  <c r="AK99" i="2"/>
  <c r="AL99" i="2"/>
  <c r="AM99" i="2"/>
  <c r="AC100" i="2"/>
  <c r="AD100" i="2"/>
  <c r="AE100" i="2"/>
  <c r="AF100" i="2"/>
  <c r="AG100" i="2"/>
  <c r="AH100" i="2"/>
  <c r="AI100" i="2"/>
  <c r="AJ100" i="2"/>
  <c r="AK100" i="2"/>
  <c r="AL100" i="2"/>
  <c r="AM100" i="2"/>
  <c r="AC101" i="2"/>
  <c r="AD101" i="2"/>
  <c r="AE101" i="2"/>
  <c r="AF101" i="2"/>
  <c r="AG101" i="2"/>
  <c r="AH101" i="2"/>
  <c r="AI101" i="2"/>
  <c r="AJ101" i="2"/>
  <c r="AK101" i="2"/>
  <c r="AL101" i="2"/>
  <c r="AM101" i="2"/>
  <c r="AC102" i="2"/>
  <c r="AD102" i="2"/>
  <c r="AE102" i="2"/>
  <c r="AF102" i="2"/>
  <c r="AG102" i="2"/>
  <c r="AH102" i="2"/>
  <c r="AI102" i="2"/>
  <c r="AJ102" i="2"/>
  <c r="AK102" i="2"/>
  <c r="AL102" i="2"/>
  <c r="AM102" i="2"/>
  <c r="AC103" i="2"/>
  <c r="AD103" i="2"/>
  <c r="AE103" i="2"/>
  <c r="AF103" i="2"/>
  <c r="AG103" i="2"/>
  <c r="AH103" i="2"/>
  <c r="AI103" i="2"/>
  <c r="AJ103" i="2"/>
  <c r="AK103" i="2"/>
  <c r="AL103" i="2"/>
  <c r="AM103" i="2"/>
  <c r="AC104" i="2"/>
  <c r="AD104" i="2"/>
  <c r="AE104" i="2"/>
  <c r="AF104" i="2"/>
  <c r="AG104" i="2"/>
  <c r="AH104" i="2"/>
  <c r="AI104" i="2"/>
  <c r="AJ104" i="2"/>
  <c r="AK104" i="2"/>
  <c r="AL104" i="2"/>
  <c r="AM104" i="2"/>
  <c r="AC105" i="2"/>
  <c r="AD105" i="2"/>
  <c r="AE105" i="2"/>
  <c r="AF105" i="2"/>
  <c r="AG105" i="2"/>
  <c r="AH105" i="2"/>
  <c r="AI105" i="2"/>
  <c r="AJ105" i="2"/>
  <c r="AK105" i="2"/>
  <c r="AL105" i="2"/>
  <c r="AM105" i="2"/>
  <c r="AC106" i="2"/>
  <c r="AD106" i="2"/>
  <c r="AE106" i="2"/>
  <c r="AF106" i="2"/>
  <c r="AG106" i="2"/>
  <c r="AH106" i="2"/>
  <c r="AI106" i="2"/>
  <c r="AJ106" i="2"/>
  <c r="AK106" i="2"/>
  <c r="AL106" i="2"/>
  <c r="AM106" i="2"/>
  <c r="AC107" i="2"/>
  <c r="AD107" i="2"/>
  <c r="AE107" i="2"/>
  <c r="AF107" i="2"/>
  <c r="AG107" i="2"/>
  <c r="AH107" i="2"/>
  <c r="AI107" i="2"/>
  <c r="AJ107" i="2"/>
  <c r="AK107" i="2"/>
  <c r="AL107" i="2"/>
  <c r="AM107" i="2"/>
  <c r="AC108" i="2"/>
  <c r="AD108" i="2"/>
  <c r="AE108" i="2"/>
  <c r="AF108" i="2"/>
  <c r="AG108" i="2"/>
  <c r="AH108" i="2"/>
  <c r="AI108" i="2"/>
  <c r="AJ108" i="2"/>
  <c r="AK108" i="2"/>
  <c r="AL108" i="2"/>
  <c r="AM108" i="2"/>
  <c r="AC109" i="2"/>
  <c r="AD109" i="2"/>
  <c r="AE109" i="2"/>
  <c r="AF109" i="2"/>
  <c r="AG109" i="2"/>
  <c r="AH109" i="2"/>
  <c r="AI109" i="2"/>
  <c r="AJ109" i="2"/>
  <c r="AK109" i="2"/>
  <c r="AL109" i="2"/>
  <c r="AM109" i="2"/>
  <c r="AC110" i="2"/>
  <c r="AD110" i="2"/>
  <c r="AE110" i="2"/>
  <c r="AF110" i="2"/>
  <c r="AG110" i="2"/>
  <c r="AH110" i="2"/>
  <c r="AI110" i="2"/>
  <c r="AJ110" i="2"/>
  <c r="AK110" i="2"/>
  <c r="AL110" i="2"/>
  <c r="AM110" i="2"/>
  <c r="AC111" i="2"/>
  <c r="AD111" i="2"/>
  <c r="AE111" i="2"/>
  <c r="AF111" i="2"/>
  <c r="AG111" i="2"/>
  <c r="AH111" i="2"/>
  <c r="AI111" i="2"/>
  <c r="AJ111" i="2"/>
  <c r="AK111" i="2"/>
  <c r="AL111" i="2"/>
  <c r="AM111" i="2"/>
  <c r="AC112" i="2"/>
  <c r="AD112" i="2"/>
  <c r="AE112" i="2"/>
  <c r="AF112" i="2"/>
  <c r="AG112" i="2"/>
  <c r="AH112" i="2"/>
  <c r="AI112" i="2"/>
  <c r="AJ112" i="2"/>
  <c r="AK112" i="2"/>
  <c r="AL112" i="2"/>
  <c r="AM112" i="2"/>
  <c r="AC113" i="2"/>
  <c r="AD113" i="2"/>
  <c r="AE113" i="2"/>
  <c r="AF113" i="2"/>
  <c r="AG113" i="2"/>
  <c r="AH113" i="2"/>
  <c r="AI113" i="2"/>
  <c r="AJ113" i="2"/>
  <c r="AK113" i="2"/>
  <c r="AL113" i="2"/>
  <c r="AM113" i="2"/>
  <c r="AC114" i="2"/>
  <c r="AD114" i="2"/>
  <c r="AE114" i="2"/>
  <c r="AF114" i="2"/>
  <c r="AG114" i="2"/>
  <c r="AH114" i="2"/>
  <c r="AI114" i="2"/>
  <c r="AJ114" i="2"/>
  <c r="AK114" i="2"/>
  <c r="AL114" i="2"/>
  <c r="AM114" i="2"/>
  <c r="AC115" i="2"/>
  <c r="AD115" i="2"/>
  <c r="AE115" i="2"/>
  <c r="AF115" i="2"/>
  <c r="AG115" i="2"/>
  <c r="AH115" i="2"/>
  <c r="AI115" i="2"/>
  <c r="AJ115" i="2"/>
  <c r="AK115" i="2"/>
  <c r="AL115" i="2"/>
  <c r="AM115" i="2"/>
  <c r="AC116" i="2"/>
  <c r="AD116" i="2"/>
  <c r="AE116" i="2"/>
  <c r="AF116" i="2"/>
  <c r="AG116" i="2"/>
  <c r="AH116" i="2"/>
  <c r="AI116" i="2"/>
  <c r="AJ116" i="2"/>
  <c r="AK116" i="2"/>
  <c r="AL116" i="2"/>
  <c r="AM116" i="2"/>
  <c r="AC117" i="2"/>
  <c r="AD117" i="2"/>
  <c r="AE117" i="2"/>
  <c r="AF117" i="2"/>
  <c r="AG117" i="2"/>
  <c r="AH117" i="2"/>
  <c r="AI117" i="2"/>
  <c r="AJ117" i="2"/>
  <c r="AK117" i="2"/>
  <c r="AL117" i="2"/>
  <c r="AM117" i="2"/>
  <c r="AC118" i="2"/>
  <c r="AD118" i="2"/>
  <c r="AE118" i="2"/>
  <c r="AF118" i="2"/>
  <c r="AG118" i="2"/>
  <c r="AH118" i="2"/>
  <c r="AI118" i="2"/>
  <c r="AJ118" i="2"/>
  <c r="AK118" i="2"/>
  <c r="AL118" i="2"/>
  <c r="AM118" i="2"/>
  <c r="AC119" i="2"/>
  <c r="AD119" i="2"/>
  <c r="AE119" i="2"/>
  <c r="AF119" i="2"/>
  <c r="AG119" i="2"/>
  <c r="AH119" i="2"/>
  <c r="AI119" i="2"/>
  <c r="AJ119" i="2"/>
  <c r="AK119" i="2"/>
  <c r="AL119" i="2"/>
  <c r="AM119" i="2"/>
  <c r="AC120" i="2"/>
  <c r="AD120" i="2"/>
  <c r="AE120" i="2"/>
  <c r="AF120" i="2"/>
  <c r="AG120" i="2"/>
  <c r="AH120" i="2"/>
  <c r="AI120" i="2"/>
  <c r="AJ120" i="2"/>
  <c r="AK120" i="2"/>
  <c r="AL120" i="2"/>
  <c r="AM120" i="2"/>
  <c r="AC121" i="2"/>
  <c r="AD121" i="2"/>
  <c r="AE121" i="2"/>
  <c r="AF121" i="2"/>
  <c r="AG121" i="2"/>
  <c r="AH121" i="2"/>
  <c r="AI121" i="2"/>
  <c r="AJ121" i="2"/>
  <c r="AK121" i="2"/>
  <c r="AL121" i="2"/>
  <c r="AM121" i="2"/>
  <c r="AC122" i="2"/>
  <c r="AD122" i="2"/>
  <c r="AE122" i="2"/>
  <c r="AF122" i="2"/>
  <c r="AG122" i="2"/>
  <c r="AH122" i="2"/>
  <c r="AI122" i="2"/>
  <c r="AJ122" i="2"/>
  <c r="AK122" i="2"/>
  <c r="AL122" i="2"/>
  <c r="AM122" i="2"/>
  <c r="AC123" i="2"/>
  <c r="AD123" i="2"/>
  <c r="AE123" i="2"/>
  <c r="AF123" i="2"/>
  <c r="AG123" i="2"/>
  <c r="AH123" i="2"/>
  <c r="AI123" i="2"/>
  <c r="AJ123" i="2"/>
  <c r="AK123" i="2"/>
  <c r="AL123" i="2"/>
  <c r="AM123" i="2"/>
  <c r="AC124" i="2"/>
  <c r="AD124" i="2"/>
  <c r="AE124" i="2"/>
  <c r="AF124" i="2"/>
  <c r="AG124" i="2"/>
  <c r="AH124" i="2"/>
  <c r="AI124" i="2"/>
  <c r="AJ124" i="2"/>
  <c r="AK124" i="2"/>
  <c r="AL124" i="2"/>
  <c r="AM124" i="2"/>
  <c r="AC125" i="2"/>
  <c r="AD125" i="2"/>
  <c r="AE125" i="2"/>
  <c r="AF125" i="2"/>
  <c r="AG125" i="2"/>
  <c r="AH125" i="2"/>
  <c r="AI125" i="2"/>
  <c r="AJ125" i="2"/>
  <c r="AK125" i="2"/>
  <c r="AL125" i="2"/>
  <c r="AM125" i="2"/>
  <c r="AC126" i="2"/>
  <c r="AD126" i="2"/>
  <c r="AE126" i="2"/>
  <c r="AF126" i="2"/>
  <c r="AG126" i="2"/>
  <c r="AH126" i="2"/>
  <c r="AI126" i="2"/>
  <c r="AJ126" i="2"/>
  <c r="AK126" i="2"/>
  <c r="AL126" i="2"/>
  <c r="AM126" i="2"/>
  <c r="AC127" i="2"/>
  <c r="AD127" i="2"/>
  <c r="AE127" i="2"/>
  <c r="AF127" i="2"/>
  <c r="AG127" i="2"/>
  <c r="AH127" i="2"/>
  <c r="AI127" i="2"/>
  <c r="AJ127" i="2"/>
  <c r="AK127" i="2"/>
  <c r="AL127" i="2"/>
  <c r="AM127" i="2"/>
  <c r="AC128" i="2"/>
  <c r="AD128" i="2"/>
  <c r="AE128" i="2"/>
  <c r="AF128" i="2"/>
  <c r="AG128" i="2"/>
  <c r="AH128" i="2"/>
  <c r="AI128" i="2"/>
  <c r="AJ128" i="2"/>
  <c r="AK128" i="2"/>
  <c r="AL128" i="2"/>
  <c r="AC129" i="2"/>
  <c r="AD129" i="2"/>
  <c r="AF129" i="2"/>
  <c r="AG129" i="2"/>
  <c r="AH129" i="2"/>
  <c r="AJ129" i="2"/>
  <c r="AK129" i="2"/>
  <c r="AL129" i="2"/>
  <c r="AM129" i="2"/>
  <c r="AC130" i="2"/>
  <c r="AD130" i="2"/>
  <c r="AC131" i="2"/>
  <c r="AD131" i="2"/>
  <c r="AC132" i="2"/>
  <c r="AD132" i="2"/>
  <c r="AE132" i="2"/>
  <c r="AC133" i="2"/>
  <c r="AD133" i="2"/>
  <c r="AE133" i="2"/>
  <c r="AF133" i="2"/>
  <c r="AC134" i="2"/>
  <c r="AD134" i="2"/>
  <c r="AE134" i="2"/>
  <c r="AF134" i="2"/>
  <c r="AG134" i="2"/>
  <c r="AC135" i="2"/>
  <c r="AD135" i="2"/>
  <c r="AF135" i="2"/>
  <c r="AG135" i="2"/>
  <c r="AH135" i="2"/>
  <c r="AC136" i="2"/>
  <c r="AD136" i="2"/>
  <c r="AE136" i="2"/>
  <c r="AF136" i="2"/>
  <c r="AG136" i="2"/>
  <c r="AH136" i="2"/>
  <c r="AI136" i="2"/>
  <c r="AC137" i="2"/>
  <c r="AD137" i="2"/>
  <c r="AE137" i="2"/>
  <c r="AF137" i="2"/>
  <c r="AH137" i="2"/>
  <c r="AI137" i="2"/>
  <c r="AJ137" i="2"/>
  <c r="AC138" i="2"/>
  <c r="AD138" i="2"/>
  <c r="AF138" i="2"/>
  <c r="AG138" i="2"/>
  <c r="AH138" i="2"/>
  <c r="AI138" i="2"/>
  <c r="AJ138" i="2"/>
  <c r="AK138" i="2"/>
  <c r="AC139" i="2"/>
  <c r="AD139" i="2"/>
  <c r="AE139" i="2"/>
  <c r="AF139" i="2"/>
  <c r="AG139" i="2"/>
  <c r="AH139" i="2"/>
  <c r="AJ139" i="2"/>
  <c r="AK139" i="2"/>
  <c r="AL139" i="2"/>
  <c r="AC140" i="2"/>
  <c r="AD140" i="2"/>
  <c r="AE140" i="2"/>
  <c r="AF140" i="2"/>
  <c r="AH140" i="2"/>
  <c r="AI140" i="2"/>
  <c r="AJ140" i="2"/>
  <c r="AK140" i="2"/>
  <c r="AL140" i="2"/>
  <c r="AC141" i="2"/>
  <c r="AD141" i="2"/>
  <c r="AE141" i="2"/>
  <c r="AC142" i="2"/>
  <c r="AD142" i="2"/>
  <c r="AE142" i="2"/>
  <c r="AC143" i="2"/>
  <c r="AD143" i="2"/>
  <c r="AC144" i="2"/>
  <c r="AD144" i="2"/>
  <c r="AE144" i="2"/>
  <c r="AF144" i="2"/>
  <c r="AC145" i="2"/>
  <c r="AD145" i="2"/>
  <c r="AE145" i="2"/>
  <c r="AF145" i="2"/>
  <c r="AC146" i="2"/>
  <c r="AD146" i="2"/>
  <c r="AE146" i="2"/>
  <c r="AF146" i="2"/>
  <c r="AG146" i="2"/>
  <c r="AH146" i="2"/>
  <c r="AC147" i="2"/>
  <c r="AD147" i="2"/>
  <c r="AE147" i="2"/>
  <c r="AF147" i="2"/>
  <c r="AG147" i="2"/>
  <c r="AC148" i="2"/>
  <c r="AD148" i="2"/>
  <c r="AE148" i="2"/>
  <c r="AF148" i="2"/>
  <c r="AG148" i="2"/>
  <c r="AH148" i="2"/>
  <c r="AI148" i="2"/>
  <c r="AJ148" i="2"/>
  <c r="AC149" i="2"/>
  <c r="AD149" i="2"/>
  <c r="AE149" i="2"/>
  <c r="AF149" i="2"/>
  <c r="AG149" i="2"/>
  <c r="AH149" i="2"/>
  <c r="AI149" i="2"/>
  <c r="AJ149" i="2"/>
  <c r="AK149" i="2"/>
  <c r="AL149" i="2"/>
  <c r="AM149" i="2"/>
  <c r="AC150" i="2"/>
  <c r="AD150" i="2"/>
  <c r="AE150" i="2"/>
  <c r="AF150" i="2"/>
  <c r="AG150" i="2"/>
  <c r="AH150" i="2"/>
  <c r="AI150" i="2"/>
  <c r="AJ150" i="2"/>
  <c r="AK150" i="2"/>
  <c r="AL150" i="2"/>
  <c r="AM150" i="2"/>
  <c r="AC151" i="2"/>
  <c r="AD151" i="2"/>
  <c r="AE151" i="2"/>
  <c r="AF151" i="2"/>
  <c r="AG151" i="2"/>
  <c r="AH151" i="2"/>
  <c r="AI151" i="2"/>
  <c r="AJ151" i="2"/>
  <c r="AK151" i="2"/>
  <c r="AL151" i="2"/>
  <c r="AM151" i="2"/>
  <c r="AC152" i="2"/>
  <c r="AD152" i="2"/>
  <c r="AE152" i="2"/>
  <c r="AF152" i="2"/>
  <c r="AG152" i="2"/>
  <c r="AH152" i="2"/>
  <c r="AI152" i="2"/>
  <c r="AJ152" i="2"/>
  <c r="AK152" i="2"/>
  <c r="AL152" i="2"/>
  <c r="AM152" i="2"/>
  <c r="AC153" i="2"/>
  <c r="AD153" i="2"/>
  <c r="AE153" i="2"/>
  <c r="AF153" i="2"/>
  <c r="AG153" i="2"/>
  <c r="AH153" i="2"/>
  <c r="AI153" i="2"/>
  <c r="AJ153" i="2"/>
  <c r="AK153" i="2"/>
  <c r="AL153" i="2"/>
  <c r="AM153" i="2"/>
  <c r="AC154" i="2"/>
  <c r="AD154" i="2"/>
  <c r="AE154" i="2"/>
  <c r="AF154" i="2"/>
  <c r="AG154" i="2"/>
  <c r="AH154" i="2"/>
  <c r="AI154" i="2"/>
  <c r="AJ154" i="2"/>
  <c r="AK154" i="2"/>
  <c r="AL154" i="2"/>
  <c r="AC155" i="2"/>
  <c r="AD155" i="2"/>
  <c r="AC156" i="2"/>
  <c r="AD156" i="2"/>
  <c r="AE156" i="2"/>
  <c r="AF156" i="2"/>
  <c r="AC157" i="2"/>
  <c r="AD157" i="2"/>
  <c r="AE157" i="2"/>
  <c r="AF157" i="2"/>
  <c r="AC158" i="2"/>
  <c r="AD158" i="2"/>
  <c r="AE158" i="2"/>
  <c r="AF158" i="2"/>
  <c r="AG158" i="2"/>
  <c r="AC159" i="2"/>
  <c r="AD159" i="2"/>
  <c r="AE159" i="2"/>
  <c r="AF159" i="2"/>
  <c r="AG159" i="2"/>
  <c r="AH159" i="2"/>
  <c r="AC160" i="2"/>
  <c r="AD160" i="2"/>
  <c r="AE160" i="2"/>
  <c r="AF160" i="2"/>
  <c r="AG160" i="2"/>
  <c r="AH160" i="2"/>
  <c r="AI160" i="2"/>
  <c r="AC161" i="2"/>
  <c r="AD161" i="2"/>
  <c r="AE161" i="2"/>
  <c r="AF161" i="2"/>
  <c r="AG161" i="2"/>
  <c r="AH161" i="2"/>
  <c r="AI161" i="2"/>
  <c r="AJ161" i="2"/>
  <c r="AK161" i="2"/>
  <c r="AL161" i="2"/>
  <c r="AM161" i="2"/>
  <c r="AC162" i="2"/>
  <c r="AD162" i="2"/>
  <c r="AE162" i="2"/>
  <c r="AF162" i="2"/>
  <c r="AG162" i="2"/>
  <c r="AH162" i="2"/>
  <c r="AI162" i="2"/>
  <c r="AJ162" i="2"/>
  <c r="AK162" i="2"/>
  <c r="AL162" i="2"/>
  <c r="AM162" i="2"/>
  <c r="AC163" i="2"/>
  <c r="AD163" i="2"/>
  <c r="AE163" i="2"/>
  <c r="AF163" i="2"/>
  <c r="AG163" i="2"/>
  <c r="AH163" i="2"/>
  <c r="AI163" i="2"/>
  <c r="AJ163" i="2"/>
  <c r="AK163" i="2"/>
  <c r="AL163" i="2"/>
  <c r="AM163" i="2"/>
  <c r="AC164" i="2"/>
  <c r="AD164" i="2"/>
  <c r="AE164" i="2"/>
  <c r="AF164" i="2"/>
  <c r="AG164" i="2"/>
  <c r="AH164" i="2"/>
  <c r="AI164" i="2"/>
  <c r="AJ164" i="2"/>
  <c r="AK164" i="2"/>
  <c r="AL164" i="2"/>
  <c r="AM164" i="2"/>
  <c r="AC165" i="2"/>
  <c r="AD165" i="2"/>
  <c r="AE165" i="2"/>
  <c r="AC166" i="2"/>
  <c r="AD166" i="2"/>
  <c r="AE166" i="2"/>
  <c r="AC167" i="2"/>
  <c r="AD167" i="2"/>
  <c r="AC168" i="2"/>
  <c r="AD168" i="2"/>
  <c r="AE168" i="2"/>
  <c r="AF168" i="2"/>
  <c r="AC169" i="2"/>
  <c r="AD169" i="2"/>
  <c r="AE169" i="2"/>
  <c r="AC170" i="2"/>
  <c r="AD170" i="2"/>
  <c r="AE170" i="2"/>
  <c r="AF170" i="2"/>
  <c r="AG170" i="2"/>
  <c r="AH170" i="2"/>
  <c r="AC171" i="2"/>
  <c r="AD171" i="2"/>
  <c r="AE171" i="2"/>
  <c r="AF171" i="2"/>
  <c r="AG171" i="2"/>
  <c r="AH171" i="2"/>
  <c r="AC172" i="2"/>
  <c r="AD172" i="2"/>
  <c r="AE172" i="2"/>
  <c r="AF172" i="2"/>
  <c r="AG172" i="2"/>
  <c r="AC173" i="2"/>
  <c r="AD173" i="2"/>
  <c r="AE173" i="2"/>
  <c r="AF173" i="2"/>
  <c r="AG173" i="2"/>
  <c r="AH173" i="2"/>
  <c r="AI173" i="2"/>
  <c r="AJ173" i="2"/>
  <c r="AK173" i="2"/>
  <c r="AL173" i="2"/>
  <c r="AM173" i="2"/>
  <c r="AC174" i="2"/>
  <c r="AD174" i="2"/>
  <c r="AE174" i="2"/>
  <c r="AF174" i="2"/>
  <c r="AG174" i="2"/>
  <c r="AH174" i="2"/>
  <c r="AI174" i="2"/>
  <c r="AK174" i="2"/>
  <c r="AL174" i="2"/>
  <c r="AM174" i="2"/>
  <c r="AC175" i="2"/>
  <c r="AD175" i="2"/>
  <c r="AE175" i="2"/>
  <c r="AF175" i="2"/>
  <c r="AG175" i="2"/>
  <c r="AH175" i="2"/>
  <c r="AI175" i="2"/>
  <c r="AJ175" i="2"/>
  <c r="AK175" i="2"/>
  <c r="AL175" i="2"/>
  <c r="AM175" i="2"/>
  <c r="AC176" i="2"/>
  <c r="AD176" i="2"/>
  <c r="AE176" i="2"/>
  <c r="AF176" i="2"/>
  <c r="AG176" i="2"/>
  <c r="AH176" i="2"/>
  <c r="AI176" i="2"/>
  <c r="AJ176" i="2"/>
  <c r="AK176" i="2"/>
  <c r="AL176" i="2"/>
  <c r="AC177" i="2"/>
  <c r="AD177" i="2"/>
  <c r="AE177" i="2"/>
  <c r="AC178" i="2"/>
  <c r="AD178" i="2"/>
  <c r="AE178" i="2"/>
  <c r="AC179" i="2"/>
  <c r="AD179" i="2"/>
  <c r="AC180" i="2"/>
  <c r="AD180" i="2"/>
  <c r="AE180" i="2"/>
  <c r="AF180" i="2"/>
  <c r="AC181" i="2"/>
  <c r="AD181" i="2"/>
  <c r="AE181" i="2"/>
  <c r="AF181" i="2"/>
  <c r="AC182" i="2"/>
  <c r="AD182" i="2"/>
  <c r="AE182" i="2"/>
  <c r="AF182" i="2"/>
  <c r="AG182" i="2"/>
  <c r="AH182" i="2"/>
  <c r="AC183" i="2"/>
  <c r="AD183" i="2"/>
  <c r="AE183" i="2"/>
  <c r="AF183" i="2"/>
  <c r="AG183" i="2"/>
  <c r="AH183" i="2"/>
  <c r="AC184" i="2"/>
  <c r="AD184" i="2"/>
  <c r="AE184" i="2"/>
  <c r="AF184" i="2"/>
  <c r="AG184" i="2"/>
  <c r="AH184" i="2"/>
  <c r="AI184" i="2"/>
  <c r="AJ184" i="2"/>
  <c r="AC185" i="2"/>
  <c r="AD185" i="2"/>
  <c r="AE185" i="2"/>
  <c r="AF185" i="2"/>
  <c r="AG185" i="2"/>
  <c r="AH185" i="2"/>
  <c r="AI185" i="2"/>
  <c r="AJ185" i="2"/>
  <c r="AK185" i="2"/>
  <c r="AL185" i="2"/>
  <c r="AM185" i="2"/>
  <c r="AC186" i="2"/>
  <c r="AD186" i="2"/>
  <c r="AE186" i="2"/>
  <c r="AF186" i="2"/>
  <c r="AG186" i="2"/>
  <c r="AH186" i="2"/>
  <c r="AI186" i="2"/>
  <c r="AJ186" i="2"/>
  <c r="AK186" i="2"/>
  <c r="AL186" i="2"/>
  <c r="AM186" i="2"/>
  <c r="AC187" i="2"/>
  <c r="AD187" i="2"/>
  <c r="AE187" i="2"/>
  <c r="AC188" i="2"/>
  <c r="AD188" i="2"/>
  <c r="AE188" i="2"/>
  <c r="AC189" i="2"/>
  <c r="AD189" i="2"/>
  <c r="AE189" i="2"/>
  <c r="AF189" i="2"/>
  <c r="AG189" i="2"/>
  <c r="AC190" i="2"/>
  <c r="AD190" i="2"/>
  <c r="AE190" i="2"/>
  <c r="AF190" i="2"/>
  <c r="AG190" i="2"/>
  <c r="AC191" i="2"/>
  <c r="AD191" i="2"/>
  <c r="AC192" i="2"/>
  <c r="AD192" i="2"/>
  <c r="AE192" i="2"/>
  <c r="AF192" i="2"/>
  <c r="AC193" i="2"/>
  <c r="AD193" i="2"/>
  <c r="AE193" i="2"/>
  <c r="AF193" i="2"/>
  <c r="AC194" i="2"/>
  <c r="AD194" i="2"/>
  <c r="AE194" i="2"/>
  <c r="AF194" i="2"/>
  <c r="AG194" i="2"/>
  <c r="AH194" i="2"/>
  <c r="AC195" i="2"/>
  <c r="AD195" i="2"/>
  <c r="AE195" i="2"/>
  <c r="AF195" i="2"/>
  <c r="AG195" i="2"/>
  <c r="AH195" i="2"/>
  <c r="AC196" i="2"/>
  <c r="AD196" i="2"/>
  <c r="AE196" i="2"/>
  <c r="AF196" i="2"/>
  <c r="AG196" i="2"/>
  <c r="AH196" i="2"/>
  <c r="AI196" i="2"/>
  <c r="AJ196" i="2"/>
  <c r="AC197" i="2"/>
  <c r="AD197" i="2"/>
  <c r="AE197" i="2"/>
  <c r="AF197" i="2"/>
  <c r="AG197" i="2"/>
  <c r="AH197" i="2"/>
  <c r="AI197" i="2"/>
  <c r="AJ197" i="2"/>
  <c r="AK197" i="2"/>
  <c r="AL197" i="2"/>
  <c r="AM197" i="2"/>
  <c r="AC198" i="2"/>
  <c r="AD198" i="2"/>
  <c r="AE198" i="2"/>
  <c r="AF198" i="2"/>
  <c r="AG198" i="2"/>
  <c r="AH198" i="2"/>
  <c r="AI198" i="2"/>
  <c r="AJ198" i="2"/>
  <c r="AK198" i="2"/>
  <c r="AL198" i="2"/>
  <c r="AM198" i="2"/>
  <c r="AC199" i="2"/>
  <c r="AD199" i="2"/>
  <c r="AE199" i="2"/>
  <c r="AC200" i="2"/>
  <c r="AD200" i="2"/>
  <c r="AE200" i="2"/>
  <c r="AC201" i="2"/>
  <c r="AD201" i="2"/>
  <c r="AE201" i="2"/>
  <c r="AF201" i="2"/>
  <c r="AG201" i="2"/>
  <c r="AC202" i="2"/>
  <c r="AD202" i="2"/>
  <c r="AE202" i="2"/>
  <c r="AF202" i="2"/>
  <c r="AG202" i="2"/>
  <c r="AC203" i="2"/>
  <c r="AD203" i="2"/>
  <c r="AC204" i="2"/>
  <c r="AD204" i="2"/>
  <c r="AE204" i="2"/>
  <c r="AF204" i="2"/>
  <c r="AC205" i="2"/>
  <c r="AD205" i="2"/>
  <c r="AE205" i="2"/>
  <c r="AF205" i="2"/>
  <c r="AC206" i="2"/>
  <c r="AD206" i="2"/>
  <c r="AE206" i="2"/>
  <c r="AF206" i="2"/>
  <c r="AG206" i="2"/>
  <c r="AH206" i="2"/>
  <c r="AC207" i="2"/>
  <c r="AD207" i="2"/>
  <c r="AE207" i="2"/>
  <c r="AF207" i="2"/>
  <c r="AG207" i="2"/>
  <c r="AH207" i="2"/>
  <c r="AC208" i="2"/>
  <c r="AD208" i="2"/>
  <c r="AE208" i="2"/>
  <c r="AF208" i="2"/>
  <c r="AG208" i="2"/>
  <c r="AH208" i="2"/>
  <c r="AI208" i="2"/>
  <c r="AC209" i="2"/>
  <c r="AD209" i="2"/>
  <c r="AE209" i="2"/>
  <c r="AF209" i="2"/>
  <c r="AG209" i="2"/>
  <c r="AH209" i="2"/>
  <c r="AI209" i="2"/>
  <c r="AJ209" i="2"/>
  <c r="AK209" i="2"/>
  <c r="AL209" i="2"/>
  <c r="AM209" i="2"/>
  <c r="AC210" i="2"/>
  <c r="AD210" i="2"/>
  <c r="AE210" i="2"/>
  <c r="AF210" i="2"/>
  <c r="AG210" i="2"/>
  <c r="AH210" i="2"/>
  <c r="AI210" i="2"/>
  <c r="AK210" i="2"/>
  <c r="AL210" i="2"/>
  <c r="AM210" i="2"/>
  <c r="AC211" i="2"/>
  <c r="AD211" i="2"/>
  <c r="AE211" i="2"/>
  <c r="AC212" i="2"/>
  <c r="AD212" i="2"/>
  <c r="AE212" i="2"/>
  <c r="AC213" i="2"/>
  <c r="AD213" i="2"/>
  <c r="AE213" i="2"/>
  <c r="AC214" i="2"/>
  <c r="AD214" i="2"/>
  <c r="AE214" i="2"/>
  <c r="AF214" i="2"/>
  <c r="AG214" i="2"/>
  <c r="AC215" i="2"/>
  <c r="AD215" i="2"/>
  <c r="AC216" i="2"/>
  <c r="AD216" i="2"/>
  <c r="AF216" i="2"/>
  <c r="AC217" i="2"/>
  <c r="AD217" i="2"/>
  <c r="AE217" i="2"/>
  <c r="AF217" i="2"/>
  <c r="AC218" i="2"/>
  <c r="AD218" i="2"/>
  <c r="AE218" i="2"/>
  <c r="AF218" i="2"/>
  <c r="AH218" i="2"/>
  <c r="AC219" i="2"/>
  <c r="AD219" i="2"/>
  <c r="AE219" i="2"/>
  <c r="AF219" i="2"/>
  <c r="AG219" i="2"/>
  <c r="AH219" i="2"/>
  <c r="AC220" i="2"/>
  <c r="AD220" i="2"/>
  <c r="AE220" i="2"/>
  <c r="AF220" i="2"/>
  <c r="AG220" i="2"/>
  <c r="AH220" i="2"/>
  <c r="AI220" i="2"/>
  <c r="AC221" i="2"/>
  <c r="AD221" i="2"/>
  <c r="AE221" i="2"/>
  <c r="AF221" i="2"/>
  <c r="AG221" i="2"/>
  <c r="AH221" i="2"/>
  <c r="AI221" i="2"/>
  <c r="AJ221" i="2"/>
  <c r="AK221" i="2"/>
  <c r="AL221" i="2"/>
  <c r="AM221" i="2"/>
  <c r="AC222" i="2"/>
  <c r="AD222" i="2"/>
  <c r="AE222" i="2"/>
  <c r="AF222" i="2"/>
  <c r="AG222" i="2"/>
  <c r="AH222" i="2"/>
  <c r="AI222" i="2"/>
  <c r="AK222" i="2"/>
  <c r="AL222" i="2"/>
  <c r="AM222" i="2"/>
  <c r="AC223" i="2"/>
  <c r="AD223" i="2"/>
  <c r="AE223" i="2"/>
  <c r="AC224" i="2"/>
  <c r="AD224" i="2"/>
  <c r="AE224" i="2"/>
  <c r="AF224" i="2"/>
  <c r="AG224" i="2"/>
  <c r="AH224" i="2"/>
  <c r="AI224" i="2"/>
  <c r="AJ224" i="2"/>
  <c r="AK224" i="2"/>
  <c r="AL224" i="2"/>
  <c r="AM224" i="2"/>
  <c r="AC225" i="2"/>
  <c r="AD225" i="2"/>
  <c r="AE225" i="2"/>
  <c r="AF225" i="2"/>
  <c r="AG225" i="2"/>
  <c r="AC226" i="2"/>
  <c r="AD226" i="2"/>
  <c r="AE226" i="2"/>
  <c r="AF226" i="2"/>
  <c r="AG226" i="2"/>
  <c r="AC227" i="2"/>
  <c r="AD227" i="2"/>
  <c r="AC228" i="2"/>
  <c r="AD228" i="2"/>
  <c r="AF228" i="2"/>
  <c r="AC229" i="2"/>
  <c r="AD229" i="2"/>
  <c r="AE229" i="2"/>
  <c r="AF229" i="2"/>
  <c r="AC230" i="2"/>
  <c r="AD230" i="2"/>
  <c r="AE230" i="2"/>
  <c r="AF230" i="2"/>
  <c r="AC231" i="2"/>
  <c r="AD231" i="2"/>
  <c r="AE231" i="2"/>
  <c r="AF231" i="2"/>
  <c r="AG231" i="2"/>
  <c r="AH231" i="2"/>
  <c r="AC232" i="2"/>
  <c r="AD232" i="2"/>
  <c r="AE232" i="2"/>
  <c r="AF232" i="2"/>
  <c r="AG232" i="2"/>
  <c r="AH232" i="2"/>
  <c r="AC233" i="2"/>
  <c r="AD233" i="2"/>
  <c r="AE233" i="2"/>
  <c r="AF233" i="2"/>
  <c r="AG233" i="2"/>
  <c r="AH233" i="2"/>
  <c r="AI233" i="2"/>
  <c r="AJ233" i="2"/>
  <c r="AK233" i="2"/>
  <c r="AL233" i="2"/>
  <c r="AM233" i="2"/>
  <c r="AC234" i="2"/>
  <c r="AD234" i="2"/>
  <c r="AE234" i="2"/>
  <c r="AF234" i="2"/>
  <c r="AG234" i="2"/>
  <c r="AH234" i="2"/>
  <c r="AI234" i="2"/>
  <c r="AJ234" i="2"/>
  <c r="AK234" i="2"/>
  <c r="AL234" i="2"/>
  <c r="AM234" i="2"/>
  <c r="AC235" i="2"/>
  <c r="AD235" i="2"/>
  <c r="AE235" i="2"/>
  <c r="AC236" i="2"/>
  <c r="AD236" i="2"/>
  <c r="AE236" i="2"/>
  <c r="AF236" i="2"/>
  <c r="AC237" i="2"/>
  <c r="AD237" i="2"/>
  <c r="AE237" i="2"/>
  <c r="AF237" i="2"/>
  <c r="AG237" i="2"/>
  <c r="AC238" i="2"/>
  <c r="AD238" i="2"/>
  <c r="AE238" i="2"/>
  <c r="AF238" i="2"/>
  <c r="AG238" i="2"/>
  <c r="AC239" i="2"/>
  <c r="AD239" i="2"/>
  <c r="AC240" i="2"/>
  <c r="AD240" i="2"/>
  <c r="AE240" i="2"/>
  <c r="AF240" i="2"/>
  <c r="AC241" i="2"/>
  <c r="AD241" i="2"/>
  <c r="AE241" i="2"/>
  <c r="AF241" i="2"/>
  <c r="AC242" i="2"/>
  <c r="AD242" i="2"/>
  <c r="AE242" i="2"/>
  <c r="AC243" i="2"/>
  <c r="AD243" i="2"/>
  <c r="AE243" i="2"/>
  <c r="AF243" i="2"/>
  <c r="AG243" i="2"/>
  <c r="AH243" i="2"/>
  <c r="AC244" i="2"/>
  <c r="AD244" i="2"/>
  <c r="AE244" i="2"/>
  <c r="AF244" i="2"/>
  <c r="AG244" i="2"/>
  <c r="AH244" i="2"/>
  <c r="AC245" i="2"/>
  <c r="AD245" i="2"/>
  <c r="AE245" i="2"/>
  <c r="AF245" i="2"/>
  <c r="AG245" i="2"/>
  <c r="AH245" i="2"/>
  <c r="AI245" i="2"/>
  <c r="AJ245" i="2"/>
  <c r="AK245" i="2"/>
  <c r="AL245" i="2"/>
  <c r="AM245" i="2"/>
  <c r="AC246" i="2"/>
  <c r="AD246" i="2"/>
  <c r="AE246" i="2"/>
  <c r="AF246" i="2"/>
  <c r="AG246" i="2"/>
  <c r="AH246" i="2"/>
  <c r="AI246" i="2"/>
  <c r="AJ246" i="2"/>
  <c r="AK246" i="2"/>
  <c r="AL246" i="2"/>
  <c r="AM246" i="2"/>
  <c r="AC247" i="2"/>
  <c r="AD247" i="2"/>
  <c r="AE247" i="2"/>
  <c r="AC248" i="2"/>
  <c r="AD248" i="2"/>
  <c r="AE248" i="2"/>
  <c r="AC249" i="2"/>
  <c r="AD249" i="2"/>
  <c r="AE249" i="2"/>
  <c r="AC250" i="2"/>
  <c r="AD250" i="2"/>
  <c r="AE250" i="2"/>
  <c r="AF250" i="2"/>
  <c r="AG250" i="2"/>
  <c r="AC251" i="2"/>
  <c r="AD251" i="2"/>
  <c r="AE251" i="2"/>
  <c r="AF251" i="2"/>
  <c r="AG251" i="2"/>
  <c r="AH251" i="2"/>
  <c r="AK251" i="2"/>
  <c r="AL251" i="2"/>
  <c r="AM251" i="2"/>
  <c r="AC252" i="2"/>
  <c r="AD252" i="2"/>
  <c r="AE252" i="2"/>
  <c r="AF252" i="2"/>
  <c r="AG252" i="2"/>
  <c r="AH252" i="2"/>
  <c r="AC253" i="2"/>
  <c r="AD253" i="2"/>
  <c r="AE253" i="2"/>
  <c r="AF253" i="2"/>
  <c r="AG253" i="2"/>
  <c r="AC254" i="2"/>
  <c r="AD254" i="2"/>
  <c r="AE254" i="2"/>
  <c r="AF254" i="2"/>
  <c r="AG254" i="2"/>
  <c r="AH254" i="2"/>
  <c r="AI254" i="2"/>
  <c r="AJ254" i="2"/>
  <c r="AK254" i="2"/>
  <c r="AL254" i="2"/>
  <c r="AM254" i="2"/>
  <c r="AC255" i="2"/>
  <c r="AD255" i="2"/>
  <c r="AE255" i="2"/>
  <c r="AF255" i="2"/>
  <c r="AG255" i="2"/>
  <c r="AH255" i="2"/>
  <c r="AI255" i="2"/>
  <c r="AJ255" i="2"/>
  <c r="AK255" i="2"/>
  <c r="AL255" i="2"/>
  <c r="AM255" i="2"/>
  <c r="AC256" i="2"/>
  <c r="AD256" i="2"/>
  <c r="AC257" i="2"/>
  <c r="AD257" i="2"/>
  <c r="AE257" i="2"/>
  <c r="AF257" i="2"/>
  <c r="AC258" i="2"/>
  <c r="AD258" i="2"/>
  <c r="AE258" i="2"/>
  <c r="AF258" i="2"/>
  <c r="AC259" i="2"/>
  <c r="AD259" i="2"/>
  <c r="AE259" i="2"/>
  <c r="AF259" i="2"/>
  <c r="AG259" i="2"/>
  <c r="AC260" i="2"/>
  <c r="AD260" i="2"/>
  <c r="AE260" i="2"/>
  <c r="AF260" i="2"/>
  <c r="AG260" i="2"/>
  <c r="AH260" i="2"/>
  <c r="AC261" i="2"/>
  <c r="AD261" i="2"/>
  <c r="AE261" i="2"/>
  <c r="AF261" i="2"/>
  <c r="AG261" i="2"/>
  <c r="AH261" i="2"/>
  <c r="AI261" i="2"/>
  <c r="AC262" i="2"/>
  <c r="AD262" i="2"/>
  <c r="AE262" i="2"/>
  <c r="AF262" i="2"/>
  <c r="AG262" i="2"/>
  <c r="AH262" i="2"/>
  <c r="AI262" i="2"/>
  <c r="AJ262" i="2"/>
  <c r="AK262" i="2"/>
  <c r="AL262" i="2"/>
  <c r="AM262" i="2"/>
  <c r="AC263" i="2"/>
  <c r="AD263" i="2"/>
  <c r="AE263" i="2"/>
  <c r="AF263" i="2"/>
  <c r="AG263" i="2"/>
  <c r="AH263" i="2"/>
  <c r="AI263" i="2"/>
  <c r="AJ263" i="2"/>
  <c r="AK263" i="2"/>
  <c r="AL263" i="2"/>
  <c r="AM263" i="2"/>
  <c r="AC264" i="2"/>
  <c r="AD264" i="2"/>
  <c r="AE264" i="2"/>
  <c r="AF264" i="2"/>
  <c r="AG264" i="2"/>
  <c r="AH264" i="2"/>
  <c r="AI264" i="2"/>
  <c r="AJ264" i="2"/>
  <c r="AK264" i="2"/>
  <c r="AL264" i="2"/>
  <c r="AM264" i="2"/>
  <c r="AC265" i="2"/>
  <c r="AD265" i="2"/>
  <c r="AE265" i="2"/>
  <c r="AF265" i="2"/>
  <c r="AG265" i="2"/>
  <c r="AH265" i="2"/>
  <c r="AI265" i="2"/>
  <c r="AJ265" i="2"/>
  <c r="AK265" i="2"/>
  <c r="AL265" i="2"/>
  <c r="AM265" i="2"/>
  <c r="AC266" i="2"/>
  <c r="AD266" i="2"/>
  <c r="AE266" i="2"/>
  <c r="AF266" i="2"/>
  <c r="AG266" i="2"/>
  <c r="AH266" i="2"/>
  <c r="AI266" i="2"/>
  <c r="AJ266" i="2"/>
  <c r="AK266" i="2"/>
  <c r="AL266" i="2"/>
  <c r="AM266" i="2"/>
  <c r="AC267" i="2"/>
  <c r="AD267" i="2"/>
  <c r="AE267" i="2"/>
  <c r="AF267" i="2"/>
  <c r="AG267" i="2"/>
  <c r="AH267" i="2"/>
  <c r="AI267" i="2"/>
  <c r="AJ267" i="2"/>
  <c r="AK267" i="2"/>
  <c r="AL267" i="2"/>
  <c r="AM267" i="2"/>
  <c r="AC268" i="2"/>
  <c r="AD268" i="2"/>
  <c r="AC269" i="2"/>
  <c r="AD269" i="2"/>
  <c r="AF269" i="2"/>
  <c r="AC270" i="2"/>
  <c r="AD270" i="2"/>
  <c r="AE270" i="2"/>
  <c r="AF270" i="2"/>
  <c r="AC271" i="2"/>
  <c r="AD271" i="2"/>
  <c r="AE271" i="2"/>
  <c r="AF271" i="2"/>
  <c r="AG271" i="2"/>
  <c r="AH271" i="2"/>
  <c r="AC272" i="2"/>
  <c r="AD272" i="2"/>
  <c r="AE272" i="2"/>
  <c r="AF272" i="2"/>
  <c r="AG272" i="2"/>
  <c r="AH272" i="2"/>
  <c r="AC273" i="2"/>
  <c r="AD273" i="2"/>
  <c r="AE273" i="2"/>
  <c r="AF273" i="2"/>
  <c r="AG273" i="2"/>
  <c r="AH273" i="2"/>
  <c r="AI273" i="2"/>
  <c r="AJ273" i="2"/>
  <c r="AC274" i="2"/>
  <c r="AD274" i="2"/>
  <c r="AE274" i="2"/>
  <c r="AF274" i="2"/>
  <c r="AG274" i="2"/>
  <c r="AH274" i="2"/>
  <c r="AI274" i="2"/>
  <c r="AJ274" i="2"/>
  <c r="AK274" i="2"/>
  <c r="AL274" i="2"/>
  <c r="AM274" i="2"/>
  <c r="AC275" i="2"/>
  <c r="AD275" i="2"/>
  <c r="AE275" i="2"/>
  <c r="AF275" i="2"/>
  <c r="AG275" i="2"/>
  <c r="AH275" i="2"/>
  <c r="AI275" i="2"/>
  <c r="AJ275" i="2"/>
  <c r="AC276" i="2"/>
  <c r="AD276" i="2"/>
  <c r="AE276" i="2"/>
  <c r="AF276" i="2"/>
  <c r="AG276" i="2"/>
  <c r="AH276" i="2"/>
  <c r="AI276" i="2"/>
  <c r="AJ276" i="2"/>
  <c r="AK276" i="2"/>
  <c r="AL276" i="2"/>
  <c r="AM276" i="2"/>
  <c r="AC277" i="2"/>
  <c r="AD277" i="2"/>
  <c r="AE277" i="2"/>
  <c r="AF277" i="2"/>
  <c r="AG277" i="2"/>
  <c r="AH277" i="2"/>
  <c r="AI277" i="2"/>
  <c r="AJ277" i="2"/>
  <c r="AK277" i="2"/>
  <c r="AL277" i="2"/>
  <c r="AM277" i="2"/>
  <c r="AC278" i="2"/>
  <c r="AD278" i="2"/>
  <c r="AE278" i="2"/>
  <c r="AF278" i="2"/>
  <c r="AG278" i="2"/>
  <c r="AH278" i="2"/>
  <c r="AI278" i="2"/>
  <c r="AJ278" i="2"/>
  <c r="AK278" i="2"/>
  <c r="AL278" i="2"/>
  <c r="AM278" i="2"/>
  <c r="AC279" i="2"/>
  <c r="AD279" i="2"/>
  <c r="AE279" i="2"/>
  <c r="AF279" i="2"/>
  <c r="AG279" i="2"/>
  <c r="AH279" i="2"/>
  <c r="AI279" i="2"/>
  <c r="AJ279" i="2"/>
  <c r="AK279" i="2"/>
  <c r="AL279" i="2"/>
  <c r="AM279" i="2"/>
  <c r="AC280" i="2"/>
  <c r="AD280" i="2"/>
  <c r="AC281" i="2"/>
  <c r="AD281" i="2"/>
  <c r="AE281" i="2"/>
  <c r="AF281" i="2"/>
  <c r="AC282" i="2"/>
  <c r="AD282" i="2"/>
  <c r="AE282" i="2"/>
  <c r="AF282" i="2"/>
  <c r="AC283" i="2"/>
  <c r="AD283" i="2"/>
  <c r="AE283" i="2"/>
  <c r="AF283" i="2"/>
  <c r="AG283" i="2"/>
  <c r="AH283" i="2"/>
  <c r="AC284" i="2"/>
  <c r="AD284" i="2"/>
  <c r="AE284" i="2"/>
  <c r="AF284" i="2"/>
  <c r="AG284" i="2"/>
  <c r="AH284" i="2"/>
  <c r="AC285" i="2"/>
  <c r="AD285" i="2"/>
  <c r="AE285" i="2"/>
  <c r="AF285" i="2"/>
  <c r="AG285" i="2"/>
  <c r="AH285" i="2"/>
  <c r="AI285" i="2"/>
  <c r="AJ285" i="2"/>
  <c r="AC286" i="2"/>
  <c r="AD286" i="2"/>
  <c r="AE286" i="2"/>
  <c r="AF286" i="2"/>
  <c r="AG286" i="2"/>
  <c r="AH286" i="2"/>
  <c r="AI286" i="2"/>
  <c r="AJ286" i="2"/>
  <c r="AK286" i="2"/>
  <c r="AL286" i="2"/>
  <c r="AM286" i="2"/>
  <c r="AC287" i="2"/>
  <c r="AD287" i="2"/>
  <c r="AF287" i="2"/>
  <c r="AG287" i="2"/>
  <c r="AH287" i="2"/>
  <c r="AI287" i="2"/>
  <c r="AJ287" i="2"/>
  <c r="AK287" i="2"/>
  <c r="AL287" i="2"/>
  <c r="AM287" i="2"/>
  <c r="AC288" i="2"/>
  <c r="AD288" i="2"/>
  <c r="AE288" i="2"/>
  <c r="AF288" i="2"/>
  <c r="AG288" i="2"/>
  <c r="AH288" i="2"/>
  <c r="AI288" i="2"/>
  <c r="AJ288" i="2"/>
  <c r="AK288" i="2"/>
  <c r="AL288" i="2"/>
  <c r="AM288" i="2"/>
  <c r="AC289" i="2"/>
  <c r="AD289" i="2"/>
  <c r="AE289" i="2"/>
  <c r="AF289" i="2"/>
  <c r="AG289" i="2"/>
  <c r="AH289" i="2"/>
  <c r="AI289" i="2"/>
  <c r="AJ289" i="2"/>
  <c r="AK289" i="2"/>
  <c r="AL289" i="2"/>
  <c r="AM289" i="2"/>
  <c r="AC290" i="2"/>
  <c r="AD290" i="2"/>
  <c r="AE290" i="2"/>
  <c r="AF290" i="2"/>
  <c r="AG290" i="2"/>
  <c r="AH290" i="2"/>
  <c r="AI290" i="2"/>
  <c r="AJ290" i="2"/>
  <c r="AK290" i="2"/>
  <c r="AL290" i="2"/>
  <c r="AM290" i="2"/>
  <c r="AC291" i="2"/>
  <c r="AD291" i="2"/>
  <c r="AF291" i="2"/>
  <c r="AG291" i="2"/>
  <c r="AH291" i="2"/>
  <c r="AI291" i="2"/>
  <c r="AJ291" i="2"/>
  <c r="AK291" i="2"/>
  <c r="AL291" i="2"/>
  <c r="AM291" i="2"/>
  <c r="AC292" i="2"/>
  <c r="AD292" i="2"/>
  <c r="AC293" i="2"/>
  <c r="AD293" i="2"/>
  <c r="AE293" i="2"/>
  <c r="AF293" i="2"/>
  <c r="AC294" i="2"/>
  <c r="AD294" i="2"/>
  <c r="AE294" i="2"/>
  <c r="AF294" i="2"/>
  <c r="AC295" i="2"/>
  <c r="AD295" i="2"/>
  <c r="AE295" i="2"/>
  <c r="AF295" i="2"/>
  <c r="AG295" i="2"/>
  <c r="AH295" i="2"/>
  <c r="AC296" i="2"/>
  <c r="AD296" i="2"/>
  <c r="AE296" i="2"/>
  <c r="AF296" i="2"/>
  <c r="AG296" i="2"/>
  <c r="AC297" i="2"/>
  <c r="AD297" i="2"/>
  <c r="AE297" i="2"/>
  <c r="AF297" i="2"/>
  <c r="AG297" i="2"/>
  <c r="AH297" i="2"/>
  <c r="AI297" i="2"/>
  <c r="AJ297" i="2"/>
  <c r="AC298" i="2"/>
  <c r="AD298" i="2"/>
  <c r="AC299" i="2"/>
  <c r="AD299" i="2"/>
  <c r="AE299" i="2"/>
  <c r="AF299" i="2"/>
  <c r="AG299" i="2"/>
  <c r="AH299" i="2"/>
  <c r="AI299" i="2"/>
  <c r="AJ299" i="2"/>
  <c r="AK299" i="2"/>
  <c r="AL299" i="2"/>
  <c r="AM299" i="2"/>
  <c r="AC300" i="2"/>
  <c r="AD300" i="2"/>
  <c r="AE300" i="2"/>
  <c r="AF300" i="2"/>
  <c r="AG300" i="2"/>
  <c r="AH300" i="2"/>
  <c r="AI300" i="2"/>
  <c r="AJ300" i="2"/>
  <c r="AK300" i="2"/>
  <c r="AL300" i="2"/>
  <c r="AM300" i="2"/>
  <c r="AC301" i="2"/>
  <c r="AD301" i="2"/>
  <c r="AE301" i="2"/>
  <c r="AF301" i="2"/>
  <c r="AG301" i="2"/>
  <c r="AH301" i="2"/>
  <c r="AI301" i="2"/>
  <c r="AJ301" i="2"/>
  <c r="AK301" i="2"/>
  <c r="AL301" i="2"/>
  <c r="AM301" i="2"/>
  <c r="AC302" i="2"/>
  <c r="AD302" i="2"/>
  <c r="AE302" i="2"/>
  <c r="AF302" i="2"/>
  <c r="AG302" i="2"/>
  <c r="AH302" i="2"/>
  <c r="AI302" i="2"/>
  <c r="AJ302" i="2"/>
  <c r="AK302" i="2"/>
  <c r="AL302" i="2"/>
  <c r="AM302" i="2"/>
  <c r="AC303" i="2"/>
  <c r="AD303" i="2"/>
  <c r="AE303" i="2"/>
  <c r="AF303" i="2"/>
  <c r="AG303" i="2"/>
  <c r="AH303" i="2"/>
  <c r="AI303" i="2"/>
  <c r="AJ303" i="2"/>
  <c r="AK303" i="2"/>
  <c r="AL303" i="2"/>
  <c r="AM303" i="2"/>
  <c r="AC304" i="2"/>
  <c r="AD304" i="2"/>
  <c r="AC305" i="2"/>
  <c r="AD305" i="2"/>
  <c r="AE305" i="2"/>
  <c r="AC306" i="2"/>
  <c r="AD306" i="2"/>
  <c r="AE306" i="2"/>
  <c r="AF306" i="2"/>
  <c r="AC307" i="2"/>
  <c r="AD307" i="2"/>
  <c r="AE307" i="2"/>
  <c r="AF307" i="2"/>
  <c r="AG307" i="2"/>
  <c r="AH307" i="2"/>
  <c r="AC308" i="2"/>
  <c r="AD308" i="2"/>
  <c r="AE308" i="2"/>
  <c r="AF308" i="2"/>
  <c r="AG308" i="2"/>
  <c r="AH308" i="2"/>
  <c r="AC309" i="2"/>
  <c r="AD309" i="2"/>
  <c r="AE309" i="2"/>
  <c r="AF309" i="2"/>
  <c r="AG309" i="2"/>
  <c r="AH309" i="2"/>
  <c r="AI309" i="2"/>
  <c r="AJ309" i="2"/>
  <c r="AC310" i="2"/>
  <c r="AD310" i="2"/>
  <c r="AE310" i="2"/>
  <c r="AF310" i="2"/>
  <c r="AG310" i="2"/>
  <c r="AH310" i="2"/>
  <c r="AI310" i="2"/>
  <c r="AJ310" i="2"/>
  <c r="AK310" i="2"/>
  <c r="AL310" i="2"/>
  <c r="AM310" i="2"/>
  <c r="AC311" i="2"/>
  <c r="AD311" i="2"/>
  <c r="AE311" i="2"/>
  <c r="AF311" i="2"/>
  <c r="AG311" i="2"/>
  <c r="AH311" i="2"/>
  <c r="AI311" i="2"/>
  <c r="AJ311" i="2"/>
  <c r="AM2" i="2"/>
  <c r="AL2" i="2"/>
  <c r="AK2" i="2"/>
  <c r="AJ2" i="2"/>
  <c r="AI2" i="2"/>
  <c r="AH2" i="2"/>
  <c r="AG2" i="2"/>
  <c r="AF2" i="2"/>
  <c r="AE2" i="2"/>
  <c r="AD2" i="2"/>
  <c r="AC2" i="2"/>
  <c r="AE298" i="2"/>
  <c r="AH298" i="2"/>
  <c r="P128" i="2"/>
  <c r="R128" i="2" s="1"/>
  <c r="O128" i="2"/>
  <c r="S269" i="2" l="1"/>
  <c r="AG269" i="2" s="1"/>
  <c r="T269" i="2"/>
  <c r="W252" i="2"/>
  <c r="U252" i="2"/>
  <c r="AI252" i="2" s="1"/>
  <c r="V252" i="2"/>
  <c r="AJ252" i="2" s="1"/>
  <c r="S305" i="2"/>
  <c r="AG305" i="2" s="1"/>
  <c r="T305" i="2"/>
  <c r="U259" i="2"/>
  <c r="AI259" i="2" s="1"/>
  <c r="V259" i="2"/>
  <c r="AJ259" i="2" s="1"/>
  <c r="W259" i="2"/>
  <c r="Q304" i="2"/>
  <c r="AE304" i="2" s="1"/>
  <c r="R304" i="2"/>
  <c r="S282" i="2"/>
  <c r="AG282" i="2" s="1"/>
  <c r="T282" i="2"/>
  <c r="S293" i="2"/>
  <c r="AG293" i="2" s="1"/>
  <c r="T293" i="2"/>
  <c r="Q268" i="2"/>
  <c r="AE268" i="2" s="1"/>
  <c r="R268" i="2"/>
  <c r="S258" i="2"/>
  <c r="AG258" i="2" s="1"/>
  <c r="T258" i="2"/>
  <c r="V244" i="2"/>
  <c r="AJ244" i="2" s="1"/>
  <c r="W244" i="2"/>
  <c r="U244" i="2"/>
  <c r="AI244" i="2" s="1"/>
  <c r="S169" i="2"/>
  <c r="AG169" i="2" s="1"/>
  <c r="T169" i="2"/>
  <c r="AF169" i="2"/>
  <c r="U307" i="2"/>
  <c r="AI307" i="2" s="1"/>
  <c r="V307" i="2"/>
  <c r="AJ307" i="2" s="1"/>
  <c r="W307" i="2"/>
  <c r="U284" i="2"/>
  <c r="AI284" i="2" s="1"/>
  <c r="V284" i="2"/>
  <c r="AJ284" i="2" s="1"/>
  <c r="W284" i="2"/>
  <c r="Q227" i="2"/>
  <c r="AE227" i="2" s="1"/>
  <c r="R227" i="2"/>
  <c r="U147" i="2"/>
  <c r="AI147" i="2" s="1"/>
  <c r="V147" i="2"/>
  <c r="AJ147" i="2" s="1"/>
  <c r="W147" i="2"/>
  <c r="AH147" i="2"/>
  <c r="Q292" i="2"/>
  <c r="AE292" i="2" s="1"/>
  <c r="R292" i="2"/>
  <c r="U271" i="2"/>
  <c r="AI271" i="2" s="1"/>
  <c r="V271" i="2"/>
  <c r="AJ271" i="2" s="1"/>
  <c r="W271" i="2"/>
  <c r="U260" i="2"/>
  <c r="AI260" i="2" s="1"/>
  <c r="V260" i="2"/>
  <c r="AJ260" i="2" s="1"/>
  <c r="W260" i="2"/>
  <c r="S217" i="2"/>
  <c r="AG217" i="2" s="1"/>
  <c r="T217" i="2"/>
  <c r="S205" i="2"/>
  <c r="AG205" i="2" s="1"/>
  <c r="T205" i="2"/>
  <c r="AL311" i="2"/>
  <c r="AF305" i="2"/>
  <c r="T230" i="2"/>
  <c r="S230" i="2"/>
  <c r="AG230" i="2" s="1"/>
  <c r="S306" i="2"/>
  <c r="AG306" i="2" s="1"/>
  <c r="T306" i="2"/>
  <c r="U295" i="2"/>
  <c r="AI295" i="2" s="1"/>
  <c r="V295" i="2"/>
  <c r="AJ295" i="2" s="1"/>
  <c r="W295" i="2"/>
  <c r="S281" i="2"/>
  <c r="AG281" i="2" s="1"/>
  <c r="T281" i="2"/>
  <c r="U158" i="2"/>
  <c r="AI158" i="2" s="1"/>
  <c r="V158" i="2"/>
  <c r="AJ158" i="2" s="1"/>
  <c r="W158" i="2"/>
  <c r="AH158" i="2"/>
  <c r="AK311" i="2"/>
  <c r="S270" i="2"/>
  <c r="AG270" i="2" s="1"/>
  <c r="T270" i="2"/>
  <c r="S257" i="2"/>
  <c r="AG257" i="2" s="1"/>
  <c r="T257" i="2"/>
  <c r="AL275" i="2"/>
  <c r="AH259" i="2"/>
  <c r="U308" i="2"/>
  <c r="AI308" i="2" s="1"/>
  <c r="V308" i="2"/>
  <c r="AJ308" i="2" s="1"/>
  <c r="W308" i="2"/>
  <c r="Q280" i="2"/>
  <c r="AE280" i="2" s="1"/>
  <c r="R280" i="2"/>
  <c r="V232" i="2"/>
  <c r="AJ232" i="2" s="1"/>
  <c r="W232" i="2"/>
  <c r="U232" i="2"/>
  <c r="AI232" i="2" s="1"/>
  <c r="U296" i="2"/>
  <c r="AI296" i="2" s="1"/>
  <c r="V296" i="2"/>
  <c r="AJ296" i="2" s="1"/>
  <c r="W296" i="2"/>
  <c r="AH296" i="2"/>
  <c r="AK275" i="2"/>
  <c r="S294" i="2"/>
  <c r="AG294" i="2" s="1"/>
  <c r="T294" i="2"/>
  <c r="U272" i="2"/>
  <c r="AI272" i="2" s="1"/>
  <c r="V272" i="2"/>
  <c r="AJ272" i="2" s="1"/>
  <c r="W272" i="2"/>
  <c r="Q256" i="2"/>
  <c r="AE256" i="2" s="1"/>
  <c r="R256" i="2"/>
  <c r="T242" i="2"/>
  <c r="S242" i="2"/>
  <c r="AG242" i="2" s="1"/>
  <c r="U283" i="2"/>
  <c r="AI283" i="2" s="1"/>
  <c r="V283" i="2"/>
  <c r="AJ283" i="2" s="1"/>
  <c r="W283" i="2"/>
  <c r="Q191" i="2"/>
  <c r="AE191" i="2" s="1"/>
  <c r="R191" i="2"/>
  <c r="U183" i="2"/>
  <c r="AI183" i="2" s="1"/>
  <c r="V183" i="2"/>
  <c r="AJ183" i="2" s="1"/>
  <c r="W183" i="2"/>
  <c r="T253" i="2"/>
  <c r="Q239" i="2"/>
  <c r="AE239" i="2" s="1"/>
  <c r="R239" i="2"/>
  <c r="U219" i="2"/>
  <c r="AI219" i="2" s="1"/>
  <c r="V219" i="2"/>
  <c r="AJ219" i="2" s="1"/>
  <c r="W219" i="2"/>
  <c r="U207" i="2"/>
  <c r="AI207" i="2" s="1"/>
  <c r="V207" i="2"/>
  <c r="AJ207" i="2" s="1"/>
  <c r="W207" i="2"/>
  <c r="U171" i="2"/>
  <c r="AI171" i="2" s="1"/>
  <c r="V171" i="2"/>
  <c r="AJ171" i="2" s="1"/>
  <c r="W171" i="2"/>
  <c r="U194" i="2"/>
  <c r="AI194" i="2" s="1"/>
  <c r="V194" i="2"/>
  <c r="AJ194" i="2" s="1"/>
  <c r="W194" i="2"/>
  <c r="S157" i="2"/>
  <c r="AG157" i="2" s="1"/>
  <c r="T157" i="2"/>
  <c r="S241" i="2"/>
  <c r="AG241" i="2" s="1"/>
  <c r="T241" i="2"/>
  <c r="S229" i="2"/>
  <c r="AG229" i="2" s="1"/>
  <c r="T229" i="2"/>
  <c r="Q216" i="2"/>
  <c r="AE216" i="2" s="1"/>
  <c r="S180" i="2"/>
  <c r="AG180" i="2" s="1"/>
  <c r="T180" i="2"/>
  <c r="S144" i="2"/>
  <c r="AG144" i="2" s="1"/>
  <c r="T144" i="2"/>
  <c r="U243" i="2"/>
  <c r="AI243" i="2" s="1"/>
  <c r="V243" i="2"/>
  <c r="AJ243" i="2" s="1"/>
  <c r="W243" i="2"/>
  <c r="U231" i="2"/>
  <c r="AI231" i="2" s="1"/>
  <c r="V231" i="2"/>
  <c r="AJ231" i="2" s="1"/>
  <c r="W231" i="2"/>
  <c r="S216" i="2"/>
  <c r="AG216" i="2" s="1"/>
  <c r="T216" i="2"/>
  <c r="S204" i="2"/>
  <c r="AG204" i="2" s="1"/>
  <c r="T204" i="2"/>
  <c r="S168" i="2"/>
  <c r="AG168" i="2" s="1"/>
  <c r="T168" i="2"/>
  <c r="U159" i="2"/>
  <c r="AI159" i="2" s="1"/>
  <c r="V159" i="2"/>
  <c r="AJ159" i="2" s="1"/>
  <c r="W159" i="2"/>
  <c r="V222" i="2"/>
  <c r="AJ222" i="2" s="1"/>
  <c r="V210" i="2"/>
  <c r="AJ210" i="2" s="1"/>
  <c r="S193" i="2"/>
  <c r="AG193" i="2" s="1"/>
  <c r="T193" i="2"/>
  <c r="Q179" i="2"/>
  <c r="AE179" i="2" s="1"/>
  <c r="R179" i="2"/>
  <c r="Q143" i="2"/>
  <c r="AE143" i="2" s="1"/>
  <c r="R143" i="2"/>
  <c r="U251" i="2"/>
  <c r="AI251" i="2" s="1"/>
  <c r="V251" i="2"/>
  <c r="AJ251" i="2" s="1"/>
  <c r="Q203" i="2"/>
  <c r="AE203" i="2" s="1"/>
  <c r="R203" i="2"/>
  <c r="Q167" i="2"/>
  <c r="AE167" i="2" s="1"/>
  <c r="R167" i="2"/>
  <c r="U146" i="2"/>
  <c r="AI146" i="2" s="1"/>
  <c r="V146" i="2"/>
  <c r="AJ146" i="2" s="1"/>
  <c r="W146" i="2"/>
  <c r="Q228" i="2"/>
  <c r="AE228" i="2" s="1"/>
  <c r="S218" i="2"/>
  <c r="AG218" i="2" s="1"/>
  <c r="Q215" i="2"/>
  <c r="AE215" i="2" s="1"/>
  <c r="R215" i="2"/>
  <c r="U195" i="2"/>
  <c r="AI195" i="2" s="1"/>
  <c r="V195" i="2"/>
  <c r="AJ195" i="2" s="1"/>
  <c r="W195" i="2"/>
  <c r="U182" i="2"/>
  <c r="AI182" i="2" s="1"/>
  <c r="V182" i="2"/>
  <c r="AJ182" i="2" s="1"/>
  <c r="W182" i="2"/>
  <c r="S156" i="2"/>
  <c r="AG156" i="2" s="1"/>
  <c r="T156" i="2"/>
  <c r="S228" i="2"/>
  <c r="AG228" i="2" s="1"/>
  <c r="T228" i="2"/>
  <c r="V220" i="2"/>
  <c r="AJ220" i="2" s="1"/>
  <c r="W220" i="2"/>
  <c r="U218" i="2"/>
  <c r="AI218" i="2" s="1"/>
  <c r="V218" i="2"/>
  <c r="AJ218" i="2" s="1"/>
  <c r="W218" i="2"/>
  <c r="V208" i="2"/>
  <c r="AJ208" i="2" s="1"/>
  <c r="W208" i="2"/>
  <c r="U206" i="2"/>
  <c r="AI206" i="2" s="1"/>
  <c r="V206" i="2"/>
  <c r="AJ206" i="2" s="1"/>
  <c r="W206" i="2"/>
  <c r="U170" i="2"/>
  <c r="AI170" i="2" s="1"/>
  <c r="V170" i="2"/>
  <c r="AJ170" i="2" s="1"/>
  <c r="W170" i="2"/>
  <c r="W309" i="2"/>
  <c r="W297" i="2"/>
  <c r="W285" i="2"/>
  <c r="W273" i="2"/>
  <c r="W261" i="2"/>
  <c r="S240" i="2"/>
  <c r="AG240" i="2" s="1"/>
  <c r="T240" i="2"/>
  <c r="S236" i="2"/>
  <c r="AG236" i="2" s="1"/>
  <c r="T236" i="2"/>
  <c r="Q155" i="2"/>
  <c r="AE155" i="2" s="1"/>
  <c r="R155" i="2"/>
  <c r="S192" i="2"/>
  <c r="AG192" i="2" s="1"/>
  <c r="T192" i="2"/>
  <c r="S181" i="2"/>
  <c r="AG181" i="2" s="1"/>
  <c r="T181" i="2"/>
  <c r="S145" i="2"/>
  <c r="AG145" i="2" s="1"/>
  <c r="T145" i="2"/>
  <c r="V174" i="2"/>
  <c r="AJ174" i="2" s="1"/>
  <c r="T172" i="2"/>
  <c r="R247" i="2"/>
  <c r="T237" i="2"/>
  <c r="R235" i="2"/>
  <c r="T225" i="2"/>
  <c r="R223" i="2"/>
  <c r="R211" i="2"/>
  <c r="T201" i="2"/>
  <c r="R199" i="2"/>
  <c r="T189" i="2"/>
  <c r="R187" i="2"/>
  <c r="T250" i="2"/>
  <c r="R248" i="2"/>
  <c r="T238" i="2"/>
  <c r="T226" i="2"/>
  <c r="T214" i="2"/>
  <c r="R212" i="2"/>
  <c r="T202" i="2"/>
  <c r="R200" i="2"/>
  <c r="T190" i="2"/>
  <c r="R188" i="2"/>
  <c r="R249" i="2"/>
  <c r="R213" i="2"/>
  <c r="R177" i="2"/>
  <c r="R165" i="2"/>
  <c r="R141" i="2"/>
  <c r="R178" i="2"/>
  <c r="R166" i="2"/>
  <c r="R142" i="2"/>
  <c r="W196" i="2"/>
  <c r="W184" i="2"/>
  <c r="W160" i="2"/>
  <c r="W148" i="2"/>
  <c r="U134" i="2"/>
  <c r="AI134" i="2" s="1"/>
  <c r="V134" i="2"/>
  <c r="AJ134" i="2" s="1"/>
  <c r="W134" i="2"/>
  <c r="AH134" i="2"/>
  <c r="X137" i="2"/>
  <c r="AK137" i="2"/>
  <c r="Y138" i="2"/>
  <c r="AM138" i="2" s="1"/>
  <c r="AL138" i="2"/>
  <c r="S132" i="2"/>
  <c r="AG132" i="2" s="1"/>
  <c r="T132" i="2"/>
  <c r="AF132" i="2"/>
  <c r="W135" i="2"/>
  <c r="R130" i="2"/>
  <c r="W136" i="2"/>
  <c r="V135" i="2"/>
  <c r="AJ135" i="2" s="1"/>
  <c r="T133" i="2"/>
  <c r="R131" i="2"/>
  <c r="AG298" i="2"/>
  <c r="AF298" i="2"/>
  <c r="T128" i="2"/>
  <c r="S128" i="2"/>
  <c r="AI298" i="2"/>
  <c r="AJ298" i="2"/>
  <c r="AK298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S203" i="2" l="1"/>
  <c r="AG203" i="2" s="1"/>
  <c r="T203" i="2"/>
  <c r="AF203" i="2"/>
  <c r="X159" i="2"/>
  <c r="AK159" i="2"/>
  <c r="X243" i="2"/>
  <c r="AK243" i="2"/>
  <c r="U157" i="2"/>
  <c r="AI157" i="2" s="1"/>
  <c r="V157" i="2"/>
  <c r="AJ157" i="2" s="1"/>
  <c r="W157" i="2"/>
  <c r="AH157" i="2"/>
  <c r="X296" i="2"/>
  <c r="AK296" i="2"/>
  <c r="X295" i="2"/>
  <c r="AK295" i="2"/>
  <c r="U217" i="2"/>
  <c r="AI217" i="2" s="1"/>
  <c r="V217" i="2"/>
  <c r="AJ217" i="2" s="1"/>
  <c r="W217" i="2"/>
  <c r="AH217" i="2"/>
  <c r="S188" i="2"/>
  <c r="AG188" i="2" s="1"/>
  <c r="T188" i="2"/>
  <c r="AF188" i="2"/>
  <c r="S199" i="2"/>
  <c r="AG199" i="2" s="1"/>
  <c r="T199" i="2"/>
  <c r="AF199" i="2"/>
  <c r="U181" i="2"/>
  <c r="AI181" i="2" s="1"/>
  <c r="V181" i="2"/>
  <c r="AJ181" i="2" s="1"/>
  <c r="W181" i="2"/>
  <c r="AH181" i="2"/>
  <c r="X285" i="2"/>
  <c r="AK285" i="2"/>
  <c r="U257" i="2"/>
  <c r="AI257" i="2" s="1"/>
  <c r="V257" i="2"/>
  <c r="AJ257" i="2" s="1"/>
  <c r="W257" i="2"/>
  <c r="AH257" i="2"/>
  <c r="X260" i="2"/>
  <c r="AK260" i="2"/>
  <c r="S227" i="2"/>
  <c r="AG227" i="2" s="1"/>
  <c r="T227" i="2"/>
  <c r="AF227" i="2"/>
  <c r="X244" i="2"/>
  <c r="AK244" i="2"/>
  <c r="X259" i="2"/>
  <c r="AK259" i="2"/>
  <c r="U145" i="2"/>
  <c r="AI145" i="2" s="1"/>
  <c r="V145" i="2"/>
  <c r="AJ145" i="2" s="1"/>
  <c r="W145" i="2"/>
  <c r="AH145" i="2"/>
  <c r="X297" i="2"/>
  <c r="AK297" i="2"/>
  <c r="X194" i="2"/>
  <c r="AK194" i="2"/>
  <c r="S239" i="2"/>
  <c r="AG239" i="2" s="1"/>
  <c r="T239" i="2"/>
  <c r="AF239" i="2"/>
  <c r="U242" i="2"/>
  <c r="AI242" i="2" s="1"/>
  <c r="V242" i="2"/>
  <c r="AJ242" i="2" s="1"/>
  <c r="W242" i="2"/>
  <c r="AH242" i="2"/>
  <c r="X148" i="2"/>
  <c r="AK148" i="2"/>
  <c r="X184" i="2"/>
  <c r="AK184" i="2"/>
  <c r="S200" i="2"/>
  <c r="AG200" i="2" s="1"/>
  <c r="T200" i="2"/>
  <c r="AF200" i="2"/>
  <c r="S211" i="2"/>
  <c r="AG211" i="2" s="1"/>
  <c r="T211" i="2"/>
  <c r="AF211" i="2"/>
  <c r="U192" i="2"/>
  <c r="AI192" i="2" s="1"/>
  <c r="V192" i="2"/>
  <c r="AJ192" i="2" s="1"/>
  <c r="W192" i="2"/>
  <c r="AH192" i="2"/>
  <c r="X309" i="2"/>
  <c r="AK309" i="2"/>
  <c r="X220" i="2"/>
  <c r="AK220" i="2"/>
  <c r="S215" i="2"/>
  <c r="AG215" i="2" s="1"/>
  <c r="T215" i="2"/>
  <c r="AF215" i="2"/>
  <c r="U168" i="2"/>
  <c r="AI168" i="2" s="1"/>
  <c r="V168" i="2"/>
  <c r="AJ168" i="2" s="1"/>
  <c r="W168" i="2"/>
  <c r="AH168" i="2"/>
  <c r="U144" i="2"/>
  <c r="AI144" i="2" s="1"/>
  <c r="V144" i="2"/>
  <c r="AJ144" i="2" s="1"/>
  <c r="W144" i="2"/>
  <c r="AH144" i="2"/>
  <c r="S256" i="2"/>
  <c r="AG256" i="2" s="1"/>
  <c r="T256" i="2"/>
  <c r="AF256" i="2"/>
  <c r="U270" i="2"/>
  <c r="AI270" i="2" s="1"/>
  <c r="V270" i="2"/>
  <c r="AJ270" i="2" s="1"/>
  <c r="W270" i="2"/>
  <c r="AH270" i="2"/>
  <c r="U306" i="2"/>
  <c r="AI306" i="2" s="1"/>
  <c r="V306" i="2"/>
  <c r="AJ306" i="2" s="1"/>
  <c r="W306" i="2"/>
  <c r="AH306" i="2"/>
  <c r="X284" i="2"/>
  <c r="AK284" i="2"/>
  <c r="U258" i="2"/>
  <c r="AI258" i="2" s="1"/>
  <c r="V258" i="2"/>
  <c r="AJ258" i="2" s="1"/>
  <c r="W258" i="2"/>
  <c r="AH258" i="2"/>
  <c r="S213" i="2"/>
  <c r="AG213" i="2" s="1"/>
  <c r="T213" i="2"/>
  <c r="AF213" i="2"/>
  <c r="S249" i="2"/>
  <c r="AG249" i="2" s="1"/>
  <c r="T249" i="2"/>
  <c r="AF249" i="2"/>
  <c r="X196" i="2"/>
  <c r="AK196" i="2"/>
  <c r="U202" i="2"/>
  <c r="AI202" i="2" s="1"/>
  <c r="V202" i="2"/>
  <c r="AJ202" i="2" s="1"/>
  <c r="W202" i="2"/>
  <c r="AH202" i="2"/>
  <c r="S223" i="2"/>
  <c r="AG223" i="2" s="1"/>
  <c r="T223" i="2"/>
  <c r="AF223" i="2"/>
  <c r="X170" i="2"/>
  <c r="AK170" i="2"/>
  <c r="S143" i="2"/>
  <c r="AG143" i="2" s="1"/>
  <c r="T143" i="2"/>
  <c r="AF143" i="2"/>
  <c r="W253" i="2"/>
  <c r="U253" i="2"/>
  <c r="AI253" i="2" s="1"/>
  <c r="V253" i="2"/>
  <c r="AJ253" i="2" s="1"/>
  <c r="AH253" i="2"/>
  <c r="X232" i="2"/>
  <c r="AK232" i="2"/>
  <c r="X271" i="2"/>
  <c r="AK271" i="2"/>
  <c r="U305" i="2"/>
  <c r="AI305" i="2" s="1"/>
  <c r="V305" i="2"/>
  <c r="AJ305" i="2" s="1"/>
  <c r="W305" i="2"/>
  <c r="AH305" i="2"/>
  <c r="S304" i="2"/>
  <c r="AG304" i="2" s="1"/>
  <c r="T304" i="2"/>
  <c r="AF304" i="2"/>
  <c r="S142" i="2"/>
  <c r="AG142" i="2" s="1"/>
  <c r="T142" i="2"/>
  <c r="AF142" i="2"/>
  <c r="S212" i="2"/>
  <c r="AG212" i="2" s="1"/>
  <c r="T212" i="2"/>
  <c r="AF212" i="2"/>
  <c r="U225" i="2"/>
  <c r="AI225" i="2" s="1"/>
  <c r="V225" i="2"/>
  <c r="AJ225" i="2" s="1"/>
  <c r="W225" i="2"/>
  <c r="AH225" i="2"/>
  <c r="S155" i="2"/>
  <c r="AG155" i="2" s="1"/>
  <c r="T155" i="2"/>
  <c r="AF155" i="2"/>
  <c r="U228" i="2"/>
  <c r="AI228" i="2" s="1"/>
  <c r="V228" i="2"/>
  <c r="AJ228" i="2" s="1"/>
  <c r="W228" i="2"/>
  <c r="AH228" i="2"/>
  <c r="U204" i="2"/>
  <c r="AI204" i="2" s="1"/>
  <c r="V204" i="2"/>
  <c r="AJ204" i="2" s="1"/>
  <c r="W204" i="2"/>
  <c r="AH204" i="2"/>
  <c r="U180" i="2"/>
  <c r="AI180" i="2" s="1"/>
  <c r="V180" i="2"/>
  <c r="AJ180" i="2" s="1"/>
  <c r="W180" i="2"/>
  <c r="AH180" i="2"/>
  <c r="X171" i="2"/>
  <c r="AK171" i="2"/>
  <c r="X183" i="2"/>
  <c r="AK183" i="2"/>
  <c r="X272" i="2"/>
  <c r="AK272" i="2"/>
  <c r="S268" i="2"/>
  <c r="AG268" i="2" s="1"/>
  <c r="T268" i="2"/>
  <c r="AF268" i="2"/>
  <c r="X261" i="2"/>
  <c r="AK261" i="2"/>
  <c r="X219" i="2"/>
  <c r="AK219" i="2"/>
  <c r="X273" i="2"/>
  <c r="AK273" i="2"/>
  <c r="S166" i="2"/>
  <c r="AG166" i="2" s="1"/>
  <c r="T166" i="2"/>
  <c r="AF166" i="2"/>
  <c r="U214" i="2"/>
  <c r="AI214" i="2" s="1"/>
  <c r="V214" i="2"/>
  <c r="AJ214" i="2" s="1"/>
  <c r="W214" i="2"/>
  <c r="AH214" i="2"/>
  <c r="S235" i="2"/>
  <c r="AG235" i="2" s="1"/>
  <c r="T235" i="2"/>
  <c r="AF235" i="2"/>
  <c r="S179" i="2"/>
  <c r="AG179" i="2" s="1"/>
  <c r="T179" i="2"/>
  <c r="AF179" i="2"/>
  <c r="S280" i="2"/>
  <c r="AG280" i="2" s="1"/>
  <c r="T280" i="2"/>
  <c r="AF280" i="2"/>
  <c r="U230" i="2"/>
  <c r="AI230" i="2" s="1"/>
  <c r="V230" i="2"/>
  <c r="AJ230" i="2" s="1"/>
  <c r="W230" i="2"/>
  <c r="AH230" i="2"/>
  <c r="X307" i="2"/>
  <c r="AK307" i="2"/>
  <c r="U201" i="2"/>
  <c r="AI201" i="2" s="1"/>
  <c r="V201" i="2"/>
  <c r="AJ201" i="2" s="1"/>
  <c r="W201" i="2"/>
  <c r="AH201" i="2"/>
  <c r="S178" i="2"/>
  <c r="AG178" i="2" s="1"/>
  <c r="T178" i="2"/>
  <c r="AF178" i="2"/>
  <c r="U226" i="2"/>
  <c r="AI226" i="2" s="1"/>
  <c r="V226" i="2"/>
  <c r="AJ226" i="2" s="1"/>
  <c r="W226" i="2"/>
  <c r="AH226" i="2"/>
  <c r="U237" i="2"/>
  <c r="AI237" i="2" s="1"/>
  <c r="V237" i="2"/>
  <c r="AJ237" i="2" s="1"/>
  <c r="AH237" i="2"/>
  <c r="W237" i="2"/>
  <c r="U236" i="2"/>
  <c r="AI236" i="2" s="1"/>
  <c r="V236" i="2"/>
  <c r="AJ236" i="2" s="1"/>
  <c r="W236" i="2"/>
  <c r="AH236" i="2"/>
  <c r="X206" i="2"/>
  <c r="AK206" i="2"/>
  <c r="U156" i="2"/>
  <c r="AI156" i="2" s="1"/>
  <c r="V156" i="2"/>
  <c r="AJ156" i="2" s="1"/>
  <c r="W156" i="2"/>
  <c r="AH156" i="2"/>
  <c r="X146" i="2"/>
  <c r="AK146" i="2"/>
  <c r="U216" i="2"/>
  <c r="AI216" i="2" s="1"/>
  <c r="V216" i="2"/>
  <c r="AJ216" i="2" s="1"/>
  <c r="W216" i="2"/>
  <c r="AH216" i="2"/>
  <c r="X158" i="2"/>
  <c r="AK158" i="2"/>
  <c r="S292" i="2"/>
  <c r="AG292" i="2" s="1"/>
  <c r="T292" i="2"/>
  <c r="AF292" i="2"/>
  <c r="U293" i="2"/>
  <c r="AI293" i="2" s="1"/>
  <c r="V293" i="2"/>
  <c r="AJ293" i="2" s="1"/>
  <c r="W293" i="2"/>
  <c r="AH293" i="2"/>
  <c r="S187" i="2"/>
  <c r="AG187" i="2" s="1"/>
  <c r="T187" i="2"/>
  <c r="AF187" i="2"/>
  <c r="X218" i="2"/>
  <c r="AK218" i="2"/>
  <c r="U190" i="2"/>
  <c r="AI190" i="2" s="1"/>
  <c r="V190" i="2"/>
  <c r="AJ190" i="2" s="1"/>
  <c r="W190" i="2"/>
  <c r="AH190" i="2"/>
  <c r="S141" i="2"/>
  <c r="AG141" i="2" s="1"/>
  <c r="T141" i="2"/>
  <c r="AF141" i="2"/>
  <c r="U238" i="2"/>
  <c r="AI238" i="2" s="1"/>
  <c r="V238" i="2"/>
  <c r="AJ238" i="2" s="1"/>
  <c r="W238" i="2"/>
  <c r="AH238" i="2"/>
  <c r="S247" i="2"/>
  <c r="AG247" i="2" s="1"/>
  <c r="T247" i="2"/>
  <c r="AF247" i="2"/>
  <c r="U193" i="2"/>
  <c r="AI193" i="2" s="1"/>
  <c r="V193" i="2"/>
  <c r="AJ193" i="2" s="1"/>
  <c r="W193" i="2"/>
  <c r="AH193" i="2"/>
  <c r="U229" i="2"/>
  <c r="AI229" i="2" s="1"/>
  <c r="V229" i="2"/>
  <c r="AJ229" i="2" s="1"/>
  <c r="W229" i="2"/>
  <c r="AH229" i="2"/>
  <c r="X207" i="2"/>
  <c r="AK207" i="2"/>
  <c r="S191" i="2"/>
  <c r="AG191" i="2" s="1"/>
  <c r="T191" i="2"/>
  <c r="AF191" i="2"/>
  <c r="U294" i="2"/>
  <c r="AI294" i="2" s="1"/>
  <c r="V294" i="2"/>
  <c r="AJ294" i="2" s="1"/>
  <c r="W294" i="2"/>
  <c r="AH294" i="2"/>
  <c r="X308" i="2"/>
  <c r="AK308" i="2"/>
  <c r="X252" i="2"/>
  <c r="AK252" i="2"/>
  <c r="X195" i="2"/>
  <c r="AK195" i="2"/>
  <c r="X160" i="2"/>
  <c r="AK160" i="2"/>
  <c r="S165" i="2"/>
  <c r="AG165" i="2" s="1"/>
  <c r="T165" i="2"/>
  <c r="AF165" i="2"/>
  <c r="S248" i="2"/>
  <c r="AG248" i="2" s="1"/>
  <c r="T248" i="2"/>
  <c r="AF248" i="2"/>
  <c r="V172" i="2"/>
  <c r="AJ172" i="2" s="1"/>
  <c r="W172" i="2"/>
  <c r="AH172" i="2"/>
  <c r="U172" i="2"/>
  <c r="AI172" i="2" s="1"/>
  <c r="U240" i="2"/>
  <c r="AI240" i="2" s="1"/>
  <c r="V240" i="2"/>
  <c r="AJ240" i="2" s="1"/>
  <c r="W240" i="2"/>
  <c r="AH240" i="2"/>
  <c r="X182" i="2"/>
  <c r="AK182" i="2"/>
  <c r="X231" i="2"/>
  <c r="AK231" i="2"/>
  <c r="U205" i="2"/>
  <c r="AI205" i="2" s="1"/>
  <c r="V205" i="2"/>
  <c r="AJ205" i="2" s="1"/>
  <c r="W205" i="2"/>
  <c r="AH205" i="2"/>
  <c r="U282" i="2"/>
  <c r="AI282" i="2" s="1"/>
  <c r="V282" i="2"/>
  <c r="AJ282" i="2" s="1"/>
  <c r="W282" i="2"/>
  <c r="AH282" i="2"/>
  <c r="U269" i="2"/>
  <c r="AI269" i="2" s="1"/>
  <c r="V269" i="2"/>
  <c r="AJ269" i="2" s="1"/>
  <c r="W269" i="2"/>
  <c r="AH269" i="2"/>
  <c r="U189" i="2"/>
  <c r="AI189" i="2" s="1"/>
  <c r="V189" i="2"/>
  <c r="AJ189" i="2" s="1"/>
  <c r="W189" i="2"/>
  <c r="AH189" i="2"/>
  <c r="S177" i="2"/>
  <c r="AG177" i="2" s="1"/>
  <c r="T177" i="2"/>
  <c r="AF177" i="2"/>
  <c r="U250" i="2"/>
  <c r="AI250" i="2" s="1"/>
  <c r="V250" i="2"/>
  <c r="AJ250" i="2" s="1"/>
  <c r="W250" i="2"/>
  <c r="AH250" i="2"/>
  <c r="X208" i="2"/>
  <c r="AK208" i="2"/>
  <c r="S167" i="2"/>
  <c r="AG167" i="2" s="1"/>
  <c r="T167" i="2"/>
  <c r="AF167" i="2"/>
  <c r="U241" i="2"/>
  <c r="AI241" i="2" s="1"/>
  <c r="V241" i="2"/>
  <c r="AJ241" i="2" s="1"/>
  <c r="W241" i="2"/>
  <c r="AH241" i="2"/>
  <c r="X283" i="2"/>
  <c r="AK283" i="2"/>
  <c r="U281" i="2"/>
  <c r="AI281" i="2" s="1"/>
  <c r="V281" i="2"/>
  <c r="AJ281" i="2" s="1"/>
  <c r="W281" i="2"/>
  <c r="AH281" i="2"/>
  <c r="X147" i="2"/>
  <c r="AK147" i="2"/>
  <c r="U169" i="2"/>
  <c r="AI169" i="2" s="1"/>
  <c r="V169" i="2"/>
  <c r="AJ169" i="2" s="1"/>
  <c r="W169" i="2"/>
  <c r="AH169" i="2"/>
  <c r="X135" i="2"/>
  <c r="AK135" i="2"/>
  <c r="U132" i="2"/>
  <c r="AI132" i="2" s="1"/>
  <c r="V132" i="2"/>
  <c r="AJ132" i="2" s="1"/>
  <c r="W132" i="2"/>
  <c r="AH132" i="2"/>
  <c r="S131" i="2"/>
  <c r="AG131" i="2" s="1"/>
  <c r="T131" i="2"/>
  <c r="AF131" i="2"/>
  <c r="Y137" i="2"/>
  <c r="AM137" i="2" s="1"/>
  <c r="AL137" i="2"/>
  <c r="U133" i="2"/>
  <c r="AI133" i="2" s="1"/>
  <c r="V133" i="2"/>
  <c r="AJ133" i="2" s="1"/>
  <c r="W133" i="2"/>
  <c r="AH133" i="2"/>
  <c r="X134" i="2"/>
  <c r="AK134" i="2"/>
  <c r="X136" i="2"/>
  <c r="AK136" i="2"/>
  <c r="S130" i="2"/>
  <c r="AG130" i="2" s="1"/>
  <c r="T130" i="2"/>
  <c r="AF130" i="2"/>
  <c r="W128" i="2"/>
  <c r="AM128" i="2" s="1"/>
  <c r="V128" i="2"/>
  <c r="U128" i="2"/>
  <c r="Y183" i="2" l="1"/>
  <c r="AM183" i="2" s="1"/>
  <c r="AL183" i="2"/>
  <c r="X282" i="2"/>
  <c r="AK282" i="2"/>
  <c r="Y273" i="2"/>
  <c r="AM273" i="2" s="1"/>
  <c r="AL273" i="2"/>
  <c r="V223" i="2"/>
  <c r="AJ223" i="2" s="1"/>
  <c r="U223" i="2"/>
  <c r="AI223" i="2" s="1"/>
  <c r="W223" i="2"/>
  <c r="AH223" i="2"/>
  <c r="U213" i="2"/>
  <c r="AI213" i="2" s="1"/>
  <c r="V213" i="2"/>
  <c r="AJ213" i="2" s="1"/>
  <c r="W213" i="2"/>
  <c r="AH213" i="2"/>
  <c r="X168" i="2"/>
  <c r="AK168" i="2"/>
  <c r="X145" i="2"/>
  <c r="AK145" i="2"/>
  <c r="U179" i="2"/>
  <c r="AI179" i="2" s="1"/>
  <c r="V179" i="2"/>
  <c r="AJ179" i="2" s="1"/>
  <c r="W179" i="2"/>
  <c r="AH179" i="2"/>
  <c r="X228" i="2"/>
  <c r="AK228" i="2"/>
  <c r="X190" i="2"/>
  <c r="AK190" i="2"/>
  <c r="X156" i="2"/>
  <c r="AK156" i="2"/>
  <c r="Y171" i="2"/>
  <c r="AM171" i="2" s="1"/>
  <c r="AL171" i="2"/>
  <c r="U142" i="2"/>
  <c r="AI142" i="2" s="1"/>
  <c r="V142" i="2"/>
  <c r="AJ142" i="2" s="1"/>
  <c r="W142" i="2"/>
  <c r="AH142" i="2"/>
  <c r="Y232" i="2"/>
  <c r="AM232" i="2" s="1"/>
  <c r="AL232" i="2"/>
  <c r="X270" i="2"/>
  <c r="AK270" i="2"/>
  <c r="X242" i="2"/>
  <c r="AK242" i="2"/>
  <c r="X257" i="2"/>
  <c r="AK257" i="2"/>
  <c r="X157" i="2"/>
  <c r="AK157" i="2"/>
  <c r="U292" i="2"/>
  <c r="AI292" i="2" s="1"/>
  <c r="V292" i="2"/>
  <c r="AJ292" i="2" s="1"/>
  <c r="W292" i="2"/>
  <c r="AH292" i="2"/>
  <c r="Y307" i="2"/>
  <c r="AM307" i="2" s="1"/>
  <c r="AL307" i="2"/>
  <c r="U235" i="2"/>
  <c r="AI235" i="2" s="1"/>
  <c r="V235" i="2"/>
  <c r="AJ235" i="2" s="1"/>
  <c r="W235" i="2"/>
  <c r="AH235" i="2"/>
  <c r="Y219" i="2"/>
  <c r="AM219" i="2" s="1"/>
  <c r="AL219" i="2"/>
  <c r="U188" i="2"/>
  <c r="AI188" i="2" s="1"/>
  <c r="V188" i="2"/>
  <c r="AJ188" i="2" s="1"/>
  <c r="W188" i="2"/>
  <c r="AH188" i="2"/>
  <c r="Y146" i="2"/>
  <c r="AM146" i="2" s="1"/>
  <c r="AL146" i="2"/>
  <c r="X241" i="2"/>
  <c r="AK241" i="2"/>
  <c r="U247" i="2"/>
  <c r="AI247" i="2" s="1"/>
  <c r="V247" i="2"/>
  <c r="AJ247" i="2" s="1"/>
  <c r="AH247" i="2"/>
  <c r="W247" i="2"/>
  <c r="X226" i="2"/>
  <c r="AK226" i="2"/>
  <c r="X180" i="2"/>
  <c r="AK180" i="2"/>
  <c r="U155" i="2"/>
  <c r="AI155" i="2" s="1"/>
  <c r="V155" i="2"/>
  <c r="AJ155" i="2" s="1"/>
  <c r="W155" i="2"/>
  <c r="AH155" i="2"/>
  <c r="X202" i="2"/>
  <c r="AK202" i="2"/>
  <c r="X258" i="2"/>
  <c r="AK258" i="2"/>
  <c r="V211" i="2"/>
  <c r="AJ211" i="2" s="1"/>
  <c r="U211" i="2"/>
  <c r="AI211" i="2" s="1"/>
  <c r="W211" i="2"/>
  <c r="AH211" i="2"/>
  <c r="X169" i="2"/>
  <c r="AK169" i="2"/>
  <c r="Y147" i="2"/>
  <c r="AM147" i="2" s="1"/>
  <c r="AL147" i="2"/>
  <c r="U167" i="2"/>
  <c r="AI167" i="2" s="1"/>
  <c r="V167" i="2"/>
  <c r="AJ167" i="2" s="1"/>
  <c r="W167" i="2"/>
  <c r="AH167" i="2"/>
  <c r="X189" i="2"/>
  <c r="AK189" i="2"/>
  <c r="X205" i="2"/>
  <c r="AK205" i="2"/>
  <c r="Y195" i="2"/>
  <c r="AM195" i="2" s="1"/>
  <c r="AL195" i="2"/>
  <c r="X230" i="2"/>
  <c r="AK230" i="2"/>
  <c r="Y261" i="2"/>
  <c r="AM261" i="2" s="1"/>
  <c r="AL261" i="2"/>
  <c r="U304" i="2"/>
  <c r="AI304" i="2" s="1"/>
  <c r="V304" i="2"/>
  <c r="AJ304" i="2" s="1"/>
  <c r="W304" i="2"/>
  <c r="AH304" i="2"/>
  <c r="U215" i="2"/>
  <c r="AI215" i="2" s="1"/>
  <c r="V215" i="2"/>
  <c r="AJ215" i="2" s="1"/>
  <c r="W215" i="2"/>
  <c r="AH215" i="2"/>
  <c r="Y259" i="2"/>
  <c r="AM259" i="2" s="1"/>
  <c r="AL259" i="2"/>
  <c r="X193" i="2"/>
  <c r="AK193" i="2"/>
  <c r="Y260" i="2"/>
  <c r="AM260" i="2" s="1"/>
  <c r="AL260" i="2"/>
  <c r="U177" i="2"/>
  <c r="AI177" i="2" s="1"/>
  <c r="V177" i="2"/>
  <c r="AJ177" i="2" s="1"/>
  <c r="W177" i="2"/>
  <c r="AH177" i="2"/>
  <c r="Y218" i="2"/>
  <c r="AM218" i="2" s="1"/>
  <c r="AL218" i="2"/>
  <c r="Y206" i="2"/>
  <c r="AM206" i="2" s="1"/>
  <c r="AL206" i="2"/>
  <c r="X214" i="2"/>
  <c r="AK214" i="2"/>
  <c r="X253" i="2"/>
  <c r="AK253" i="2"/>
  <c r="U256" i="2"/>
  <c r="AI256" i="2" s="1"/>
  <c r="V256" i="2"/>
  <c r="AJ256" i="2" s="1"/>
  <c r="W256" i="2"/>
  <c r="AH256" i="2"/>
  <c r="U239" i="2"/>
  <c r="AI239" i="2" s="1"/>
  <c r="V239" i="2"/>
  <c r="AJ239" i="2" s="1"/>
  <c r="W239" i="2"/>
  <c r="AH239" i="2"/>
  <c r="Y285" i="2"/>
  <c r="AM285" i="2" s="1"/>
  <c r="AL285" i="2"/>
  <c r="X217" i="2"/>
  <c r="AK217" i="2"/>
  <c r="Y243" i="2"/>
  <c r="AM243" i="2" s="1"/>
  <c r="AL243" i="2"/>
  <c r="Y271" i="2"/>
  <c r="AM271" i="2" s="1"/>
  <c r="AL271" i="2"/>
  <c r="Y252" i="2"/>
  <c r="AM252" i="2" s="1"/>
  <c r="AL252" i="2"/>
  <c r="U268" i="2"/>
  <c r="AI268" i="2" s="1"/>
  <c r="V268" i="2"/>
  <c r="AJ268" i="2" s="1"/>
  <c r="W268" i="2"/>
  <c r="AH268" i="2"/>
  <c r="X225" i="2"/>
  <c r="AK225" i="2"/>
  <c r="U200" i="2"/>
  <c r="AI200" i="2" s="1"/>
  <c r="V200" i="2"/>
  <c r="AJ200" i="2" s="1"/>
  <c r="W200" i="2"/>
  <c r="AH200" i="2"/>
  <c r="Y244" i="2"/>
  <c r="AM244" i="2" s="1"/>
  <c r="AL244" i="2"/>
  <c r="Y148" i="2"/>
  <c r="AM148" i="2" s="1"/>
  <c r="AL148" i="2"/>
  <c r="X240" i="2"/>
  <c r="AK240" i="2"/>
  <c r="X172" i="2"/>
  <c r="AK172" i="2"/>
  <c r="Y208" i="2"/>
  <c r="AM208" i="2" s="1"/>
  <c r="AL208" i="2"/>
  <c r="X229" i="2"/>
  <c r="AK229" i="2"/>
  <c r="U187" i="2"/>
  <c r="AI187" i="2" s="1"/>
  <c r="V187" i="2"/>
  <c r="AJ187" i="2" s="1"/>
  <c r="W187" i="2"/>
  <c r="AH187" i="2"/>
  <c r="X216" i="2"/>
  <c r="AK216" i="2"/>
  <c r="X236" i="2"/>
  <c r="AK236" i="2"/>
  <c r="U178" i="2"/>
  <c r="AI178" i="2" s="1"/>
  <c r="V178" i="2"/>
  <c r="AJ178" i="2" s="1"/>
  <c r="W178" i="2"/>
  <c r="AH178" i="2"/>
  <c r="X204" i="2"/>
  <c r="AK204" i="2"/>
  <c r="X305" i="2"/>
  <c r="AK305" i="2"/>
  <c r="U143" i="2"/>
  <c r="AI143" i="2" s="1"/>
  <c r="V143" i="2"/>
  <c r="AJ143" i="2" s="1"/>
  <c r="W143" i="2"/>
  <c r="AH143" i="2"/>
  <c r="Y196" i="2"/>
  <c r="AM196" i="2" s="1"/>
  <c r="AL196" i="2"/>
  <c r="Y284" i="2"/>
  <c r="AM284" i="2" s="1"/>
  <c r="AL284" i="2"/>
  <c r="Y220" i="2"/>
  <c r="AM220" i="2" s="1"/>
  <c r="AL220" i="2"/>
  <c r="X181" i="2"/>
  <c r="AK181" i="2"/>
  <c r="Y159" i="2"/>
  <c r="AM159" i="2" s="1"/>
  <c r="AL159" i="2"/>
  <c r="U165" i="2"/>
  <c r="AI165" i="2" s="1"/>
  <c r="V165" i="2"/>
  <c r="AJ165" i="2" s="1"/>
  <c r="W165" i="2"/>
  <c r="AH165" i="2"/>
  <c r="X192" i="2"/>
  <c r="AK192" i="2"/>
  <c r="Y207" i="2"/>
  <c r="AM207" i="2" s="1"/>
  <c r="AL207" i="2"/>
  <c r="X269" i="2"/>
  <c r="AK269" i="2"/>
  <c r="Y231" i="2"/>
  <c r="AM231" i="2" s="1"/>
  <c r="AL231" i="2"/>
  <c r="U248" i="2"/>
  <c r="AI248" i="2" s="1"/>
  <c r="V248" i="2"/>
  <c r="AJ248" i="2" s="1"/>
  <c r="W248" i="2"/>
  <c r="AH248" i="2"/>
  <c r="Y308" i="2"/>
  <c r="AM308" i="2" s="1"/>
  <c r="AL308" i="2"/>
  <c r="U280" i="2"/>
  <c r="AI280" i="2" s="1"/>
  <c r="V280" i="2"/>
  <c r="AJ280" i="2" s="1"/>
  <c r="W280" i="2"/>
  <c r="AH280" i="2"/>
  <c r="X144" i="2"/>
  <c r="AK144" i="2"/>
  <c r="Y194" i="2"/>
  <c r="AM194" i="2" s="1"/>
  <c r="AL194" i="2"/>
  <c r="U227" i="2"/>
  <c r="AI227" i="2" s="1"/>
  <c r="V227" i="2"/>
  <c r="AJ227" i="2" s="1"/>
  <c r="W227" i="2"/>
  <c r="AH227" i="2"/>
  <c r="U199" i="2"/>
  <c r="AI199" i="2" s="1"/>
  <c r="V199" i="2"/>
  <c r="AJ199" i="2" s="1"/>
  <c r="W199" i="2"/>
  <c r="AH199" i="2"/>
  <c r="Y160" i="2"/>
  <c r="AM160" i="2" s="1"/>
  <c r="AL160" i="2"/>
  <c r="Y158" i="2"/>
  <c r="AM158" i="2" s="1"/>
  <c r="AL158" i="2"/>
  <c r="U166" i="2"/>
  <c r="AI166" i="2" s="1"/>
  <c r="V166" i="2"/>
  <c r="AJ166" i="2" s="1"/>
  <c r="W166" i="2"/>
  <c r="AH166" i="2"/>
  <c r="Y272" i="2"/>
  <c r="AM272" i="2" s="1"/>
  <c r="AL272" i="2"/>
  <c r="V249" i="2"/>
  <c r="AJ249" i="2" s="1"/>
  <c r="W249" i="2"/>
  <c r="AH249" i="2"/>
  <c r="U249" i="2"/>
  <c r="AI249" i="2" s="1"/>
  <c r="X306" i="2"/>
  <c r="AK306" i="2"/>
  <c r="Y309" i="2"/>
  <c r="AM309" i="2" s="1"/>
  <c r="AL309" i="2"/>
  <c r="Y184" i="2"/>
  <c r="AM184" i="2" s="1"/>
  <c r="AL184" i="2"/>
  <c r="Y295" i="2"/>
  <c r="AM295" i="2" s="1"/>
  <c r="AL295" i="2"/>
  <c r="U203" i="2"/>
  <c r="AI203" i="2" s="1"/>
  <c r="V203" i="2"/>
  <c r="AJ203" i="2" s="1"/>
  <c r="W203" i="2"/>
  <c r="AH203" i="2"/>
  <c r="Y296" i="2"/>
  <c r="AM296" i="2" s="1"/>
  <c r="AL296" i="2"/>
  <c r="U191" i="2"/>
  <c r="AI191" i="2" s="1"/>
  <c r="V191" i="2"/>
  <c r="AJ191" i="2" s="1"/>
  <c r="W191" i="2"/>
  <c r="AH191" i="2"/>
  <c r="X281" i="2"/>
  <c r="AK281" i="2"/>
  <c r="X238" i="2"/>
  <c r="AK238" i="2"/>
  <c r="X250" i="2"/>
  <c r="AK250" i="2"/>
  <c r="Y283" i="2"/>
  <c r="AM283" i="2" s="1"/>
  <c r="AL283" i="2"/>
  <c r="Y182" i="2"/>
  <c r="AM182" i="2" s="1"/>
  <c r="AL182" i="2"/>
  <c r="X294" i="2"/>
  <c r="AK294" i="2"/>
  <c r="U141" i="2"/>
  <c r="AI141" i="2" s="1"/>
  <c r="V141" i="2"/>
  <c r="AJ141" i="2" s="1"/>
  <c r="W141" i="2"/>
  <c r="AH141" i="2"/>
  <c r="X293" i="2"/>
  <c r="AK293" i="2"/>
  <c r="X237" i="2"/>
  <c r="AK237" i="2"/>
  <c r="X201" i="2"/>
  <c r="AK201" i="2"/>
  <c r="U212" i="2"/>
  <c r="AI212" i="2" s="1"/>
  <c r="W212" i="2"/>
  <c r="V212" i="2"/>
  <c r="AJ212" i="2" s="1"/>
  <c r="AH212" i="2"/>
  <c r="Y170" i="2"/>
  <c r="AM170" i="2" s="1"/>
  <c r="AL170" i="2"/>
  <c r="Y297" i="2"/>
  <c r="AM297" i="2" s="1"/>
  <c r="AL297" i="2"/>
  <c r="U130" i="2"/>
  <c r="AI130" i="2" s="1"/>
  <c r="V130" i="2"/>
  <c r="AJ130" i="2" s="1"/>
  <c r="W130" i="2"/>
  <c r="AH130" i="2"/>
  <c r="U131" i="2"/>
  <c r="AI131" i="2" s="1"/>
  <c r="V131" i="2"/>
  <c r="AJ131" i="2" s="1"/>
  <c r="W131" i="2"/>
  <c r="AH131" i="2"/>
  <c r="Y136" i="2"/>
  <c r="AM136" i="2" s="1"/>
  <c r="AL136" i="2"/>
  <c r="Y134" i="2"/>
  <c r="AM134" i="2" s="1"/>
  <c r="AL134" i="2"/>
  <c r="X133" i="2"/>
  <c r="AK133" i="2"/>
  <c r="X132" i="2"/>
  <c r="AK132" i="2"/>
  <c r="Y135" i="2"/>
  <c r="AM135" i="2" s="1"/>
  <c r="AL135" i="2"/>
  <c r="X227" i="2" l="1"/>
  <c r="AK227" i="2"/>
  <c r="X256" i="2"/>
  <c r="AK256" i="2"/>
  <c r="X177" i="2"/>
  <c r="AK177" i="2"/>
  <c r="Y205" i="2"/>
  <c r="AM205" i="2" s="1"/>
  <c r="AL205" i="2"/>
  <c r="X211" i="2"/>
  <c r="AK211" i="2"/>
  <c r="Y180" i="2"/>
  <c r="AM180" i="2" s="1"/>
  <c r="AL180" i="2"/>
  <c r="X188" i="2"/>
  <c r="AK188" i="2"/>
  <c r="X292" i="2"/>
  <c r="AK292" i="2"/>
  <c r="Y228" i="2"/>
  <c r="AM228" i="2" s="1"/>
  <c r="AL228" i="2"/>
  <c r="X304" i="2"/>
  <c r="AK304" i="2"/>
  <c r="Y189" i="2"/>
  <c r="AM189" i="2" s="1"/>
  <c r="AL189" i="2"/>
  <c r="Y226" i="2"/>
  <c r="AM226" i="2" s="1"/>
  <c r="AL226" i="2"/>
  <c r="X142" i="2"/>
  <c r="AK142" i="2"/>
  <c r="X179" i="2"/>
  <c r="AK179" i="2"/>
  <c r="X223" i="2"/>
  <c r="AK223" i="2"/>
  <c r="Y192" i="2"/>
  <c r="AM192" i="2" s="1"/>
  <c r="AL192" i="2"/>
  <c r="X247" i="2"/>
  <c r="AK247" i="2"/>
  <c r="X143" i="2"/>
  <c r="AK143" i="2"/>
  <c r="Y236" i="2"/>
  <c r="AM236" i="2" s="1"/>
  <c r="AL236" i="2"/>
  <c r="Y172" i="2"/>
  <c r="AM172" i="2" s="1"/>
  <c r="AL172" i="2"/>
  <c r="Y225" i="2"/>
  <c r="AM225" i="2" s="1"/>
  <c r="AL225" i="2"/>
  <c r="Y217" i="2"/>
  <c r="AM217" i="2" s="1"/>
  <c r="AL217" i="2"/>
  <c r="Y253" i="2"/>
  <c r="AM253" i="2" s="1"/>
  <c r="AL253" i="2"/>
  <c r="X167" i="2"/>
  <c r="AK167" i="2"/>
  <c r="Y258" i="2"/>
  <c r="AM258" i="2" s="1"/>
  <c r="AL258" i="2"/>
  <c r="Y157" i="2"/>
  <c r="AM157" i="2" s="1"/>
  <c r="AL157" i="2"/>
  <c r="X200" i="2"/>
  <c r="AK200" i="2"/>
  <c r="X165" i="2"/>
  <c r="AK165" i="2"/>
  <c r="Y237" i="2"/>
  <c r="AM237" i="2" s="1"/>
  <c r="AL237" i="2"/>
  <c r="Y216" i="2"/>
  <c r="AM216" i="2" s="1"/>
  <c r="AL216" i="2"/>
  <c r="Y240" i="2"/>
  <c r="AM240" i="2" s="1"/>
  <c r="AL240" i="2"/>
  <c r="X268" i="2"/>
  <c r="AK268" i="2"/>
  <c r="Y214" i="2"/>
  <c r="AM214" i="2" s="1"/>
  <c r="AL214" i="2"/>
  <c r="Y193" i="2"/>
  <c r="AM193" i="2" s="1"/>
  <c r="AL193" i="2"/>
  <c r="Y202" i="2"/>
  <c r="AM202" i="2" s="1"/>
  <c r="AL202" i="2"/>
  <c r="AK235" i="2"/>
  <c r="X235" i="2"/>
  <c r="Y257" i="2"/>
  <c r="AM257" i="2" s="1"/>
  <c r="AL257" i="2"/>
  <c r="Y145" i="2"/>
  <c r="AM145" i="2" s="1"/>
  <c r="AL145" i="2"/>
  <c r="X191" i="2"/>
  <c r="AK191" i="2"/>
  <c r="X166" i="2"/>
  <c r="AK166" i="2"/>
  <c r="Y293" i="2"/>
  <c r="AM293" i="2" s="1"/>
  <c r="AL293" i="2"/>
  <c r="X249" i="2"/>
  <c r="AK249" i="2"/>
  <c r="Y294" i="2"/>
  <c r="AM294" i="2" s="1"/>
  <c r="AL294" i="2"/>
  <c r="X178" i="2"/>
  <c r="AK178" i="2"/>
  <c r="X203" i="2"/>
  <c r="AK203" i="2"/>
  <c r="Y238" i="2"/>
  <c r="AM238" i="2" s="1"/>
  <c r="AL238" i="2"/>
  <c r="AK199" i="2"/>
  <c r="X199" i="2"/>
  <c r="X280" i="2"/>
  <c r="AK280" i="2"/>
  <c r="Y269" i="2"/>
  <c r="AM269" i="2" s="1"/>
  <c r="AL269" i="2"/>
  <c r="Y181" i="2"/>
  <c r="AM181" i="2" s="1"/>
  <c r="AL181" i="2"/>
  <c r="Y305" i="2"/>
  <c r="AM305" i="2" s="1"/>
  <c r="AL305" i="2"/>
  <c r="AK187" i="2"/>
  <c r="X187" i="2"/>
  <c r="X239" i="2"/>
  <c r="AK239" i="2"/>
  <c r="Y230" i="2"/>
  <c r="AM230" i="2" s="1"/>
  <c r="AL230" i="2"/>
  <c r="X155" i="2"/>
  <c r="AK155" i="2"/>
  <c r="Y241" i="2"/>
  <c r="AM241" i="2" s="1"/>
  <c r="AL241" i="2"/>
  <c r="Y242" i="2"/>
  <c r="AM242" i="2" s="1"/>
  <c r="AL242" i="2"/>
  <c r="Y156" i="2"/>
  <c r="AM156" i="2" s="1"/>
  <c r="AL156" i="2"/>
  <c r="Y168" i="2"/>
  <c r="AM168" i="2" s="1"/>
  <c r="AL168" i="2"/>
  <c r="Y282" i="2"/>
  <c r="AM282" i="2" s="1"/>
  <c r="AL282" i="2"/>
  <c r="Y229" i="2"/>
  <c r="AM229" i="2" s="1"/>
  <c r="AL229" i="2"/>
  <c r="Y201" i="2"/>
  <c r="AM201" i="2" s="1"/>
  <c r="AL201" i="2"/>
  <c r="X248" i="2"/>
  <c r="AK248" i="2"/>
  <c r="Y306" i="2"/>
  <c r="AM306" i="2" s="1"/>
  <c r="AL306" i="2"/>
  <c r="Y250" i="2"/>
  <c r="AM250" i="2" s="1"/>
  <c r="AL250" i="2"/>
  <c r="Y144" i="2"/>
  <c r="AM144" i="2" s="1"/>
  <c r="AL144" i="2"/>
  <c r="X141" i="2"/>
  <c r="AK141" i="2"/>
  <c r="X212" i="2"/>
  <c r="AK212" i="2"/>
  <c r="Y281" i="2"/>
  <c r="AM281" i="2" s="1"/>
  <c r="AL281" i="2"/>
  <c r="Y204" i="2"/>
  <c r="AM204" i="2" s="1"/>
  <c r="AL204" i="2"/>
  <c r="X215" i="2"/>
  <c r="AK215" i="2"/>
  <c r="Y169" i="2"/>
  <c r="AM169" i="2" s="1"/>
  <c r="AL169" i="2"/>
  <c r="Y270" i="2"/>
  <c r="AM270" i="2" s="1"/>
  <c r="AL270" i="2"/>
  <c r="Y190" i="2"/>
  <c r="AM190" i="2" s="1"/>
  <c r="AL190" i="2"/>
  <c r="X213" i="2"/>
  <c r="AK213" i="2"/>
  <c r="Y133" i="2"/>
  <c r="AM133" i="2" s="1"/>
  <c r="AL133" i="2"/>
  <c r="X131" i="2"/>
  <c r="AK131" i="2"/>
  <c r="Y132" i="2"/>
  <c r="AM132" i="2" s="1"/>
  <c r="AL132" i="2"/>
  <c r="AK130" i="2"/>
  <c r="X130" i="2"/>
  <c r="Y143" i="2" l="1"/>
  <c r="AM143" i="2" s="1"/>
  <c r="AL143" i="2"/>
  <c r="Y247" i="2"/>
  <c r="AM247" i="2" s="1"/>
  <c r="AL247" i="2"/>
  <c r="Y211" i="2"/>
  <c r="AM211" i="2" s="1"/>
  <c r="AL211" i="2"/>
  <c r="Y280" i="2"/>
  <c r="AM280" i="2" s="1"/>
  <c r="AL280" i="2"/>
  <c r="Y199" i="2"/>
  <c r="AM199" i="2" s="1"/>
  <c r="AL199" i="2"/>
  <c r="Y187" i="2"/>
  <c r="AM187" i="2" s="1"/>
  <c r="AL187" i="2"/>
  <c r="Y166" i="2"/>
  <c r="AM166" i="2" s="1"/>
  <c r="AL166" i="2"/>
  <c r="Y165" i="2"/>
  <c r="AM165" i="2" s="1"/>
  <c r="AL165" i="2"/>
  <c r="Y304" i="2"/>
  <c r="AM304" i="2" s="1"/>
  <c r="AL304" i="2"/>
  <c r="Y235" i="2"/>
  <c r="AM235" i="2" s="1"/>
  <c r="AL235" i="2"/>
  <c r="Y239" i="2"/>
  <c r="AM239" i="2" s="1"/>
  <c r="AL239" i="2"/>
  <c r="Y203" i="2"/>
  <c r="AM203" i="2" s="1"/>
  <c r="AL203" i="2"/>
  <c r="Y223" i="2"/>
  <c r="AM223" i="2" s="1"/>
  <c r="AL223" i="2"/>
  <c r="Y177" i="2"/>
  <c r="AM177" i="2" s="1"/>
  <c r="AL177" i="2"/>
  <c r="Y248" i="2"/>
  <c r="AM248" i="2" s="1"/>
  <c r="AL248" i="2"/>
  <c r="Y215" i="2"/>
  <c r="AM215" i="2" s="1"/>
  <c r="AL215" i="2"/>
  <c r="Y213" i="2"/>
  <c r="AM213" i="2" s="1"/>
  <c r="AL213" i="2"/>
  <c r="Y191" i="2"/>
  <c r="AM191" i="2" s="1"/>
  <c r="AL191" i="2"/>
  <c r="Y212" i="2"/>
  <c r="AM212" i="2" s="1"/>
  <c r="AL212" i="2"/>
  <c r="Y178" i="2"/>
  <c r="AM178" i="2" s="1"/>
  <c r="AL178" i="2"/>
  <c r="Y268" i="2"/>
  <c r="AM268" i="2" s="1"/>
  <c r="AL268" i="2"/>
  <c r="Y179" i="2"/>
  <c r="AM179" i="2" s="1"/>
  <c r="AL179" i="2"/>
  <c r="Y292" i="2"/>
  <c r="AM292" i="2" s="1"/>
  <c r="AL292" i="2"/>
  <c r="Y256" i="2"/>
  <c r="AM256" i="2" s="1"/>
  <c r="AL256" i="2"/>
  <c r="Y167" i="2"/>
  <c r="AM167" i="2" s="1"/>
  <c r="AL167" i="2"/>
  <c r="AL200" i="2"/>
  <c r="Y200" i="2"/>
  <c r="AM200" i="2" s="1"/>
  <c r="Y249" i="2"/>
  <c r="AM249" i="2" s="1"/>
  <c r="AL249" i="2"/>
  <c r="Y141" i="2"/>
  <c r="AM141" i="2" s="1"/>
  <c r="AL141" i="2"/>
  <c r="Y155" i="2"/>
  <c r="AM155" i="2" s="1"/>
  <c r="AL155" i="2"/>
  <c r="Y142" i="2"/>
  <c r="AM142" i="2" s="1"/>
  <c r="AL142" i="2"/>
  <c r="AL188" i="2"/>
  <c r="Y188" i="2"/>
  <c r="AM188" i="2" s="1"/>
  <c r="Y227" i="2"/>
  <c r="AM227" i="2" s="1"/>
  <c r="AL227" i="2"/>
  <c r="AL130" i="2"/>
  <c r="Y130" i="2"/>
  <c r="AM130" i="2" s="1"/>
  <c r="AL131" i="2"/>
  <c r="Y131" i="2"/>
  <c r="AM131" i="2" s="1"/>
  <c r="AM298" i="2"/>
  <c r="AL298" i="2"/>
  <c r="AA127" i="2"/>
  <c r="Z127" i="2"/>
  <c r="P127" i="2"/>
  <c r="O127" i="2"/>
  <c r="AA126" i="2"/>
  <c r="Z126" i="2"/>
  <c r="P126" i="2"/>
  <c r="O126" i="2"/>
  <c r="AA125" i="2"/>
  <c r="Z125" i="2"/>
  <c r="P125" i="2"/>
  <c r="O125" i="2"/>
  <c r="AA124" i="2"/>
  <c r="Z124" i="2"/>
  <c r="P124" i="2"/>
  <c r="O124" i="2"/>
  <c r="AA123" i="2"/>
  <c r="Z123" i="2"/>
  <c r="P123" i="2"/>
  <c r="O123" i="2"/>
  <c r="AA122" i="2"/>
  <c r="Z122" i="2"/>
  <c r="P122" i="2"/>
  <c r="O122" i="2"/>
  <c r="AA121" i="2"/>
  <c r="Z121" i="2"/>
  <c r="P121" i="2"/>
  <c r="Q121" i="2" s="1"/>
  <c r="R121" i="2" s="1"/>
  <c r="O121" i="2"/>
  <c r="AA120" i="2"/>
  <c r="Z120" i="2"/>
  <c r="P120" i="2"/>
  <c r="O120" i="2"/>
  <c r="AA119" i="2"/>
  <c r="Z119" i="2"/>
  <c r="P119" i="2"/>
  <c r="O119" i="2"/>
  <c r="AA118" i="2"/>
  <c r="Z118" i="2"/>
  <c r="P118" i="2"/>
  <c r="O118" i="2"/>
  <c r="AA117" i="2"/>
  <c r="Z117" i="2"/>
  <c r="P117" i="2"/>
  <c r="O117" i="2"/>
  <c r="AA116" i="2"/>
  <c r="Z116" i="2"/>
  <c r="P116" i="2"/>
  <c r="O116" i="2"/>
  <c r="AA115" i="2"/>
  <c r="Z115" i="2"/>
  <c r="P115" i="2"/>
  <c r="O115" i="2"/>
  <c r="AA114" i="2"/>
  <c r="Z114" i="2"/>
  <c r="P114" i="2"/>
  <c r="O114" i="2"/>
  <c r="AA113" i="2"/>
  <c r="Z113" i="2"/>
  <c r="P113" i="2"/>
  <c r="Q113" i="2" s="1"/>
  <c r="R113" i="2" s="1"/>
  <c r="O113" i="2"/>
  <c r="AA112" i="2"/>
  <c r="Z112" i="2"/>
  <c r="P112" i="2"/>
  <c r="O112" i="2"/>
  <c r="AA111" i="2"/>
  <c r="Z111" i="2"/>
  <c r="P111" i="2"/>
  <c r="O111" i="2"/>
  <c r="AA110" i="2"/>
  <c r="Z110" i="2"/>
  <c r="P110" i="2"/>
  <c r="O110" i="2"/>
  <c r="AA109" i="2"/>
  <c r="Z109" i="2"/>
  <c r="P109" i="2"/>
  <c r="O109" i="2"/>
  <c r="AA108" i="2"/>
  <c r="Z108" i="2"/>
  <c r="P108" i="2"/>
  <c r="O108" i="2"/>
  <c r="AA107" i="2"/>
  <c r="Z107" i="2"/>
  <c r="P107" i="2"/>
  <c r="O107" i="2"/>
  <c r="AA106" i="2"/>
  <c r="Z106" i="2"/>
  <c r="P106" i="2"/>
  <c r="O106" i="2"/>
  <c r="AA105" i="2"/>
  <c r="Z105" i="2"/>
  <c r="P105" i="2"/>
  <c r="Q105" i="2" s="1"/>
  <c r="R105" i="2" s="1"/>
  <c r="O105" i="2"/>
  <c r="AA104" i="2"/>
  <c r="Z104" i="2"/>
  <c r="P104" i="2"/>
  <c r="O104" i="2"/>
  <c r="AA103" i="2"/>
  <c r="Z103" i="2"/>
  <c r="P103" i="2"/>
  <c r="O103" i="2"/>
  <c r="AA102" i="2"/>
  <c r="Z102" i="2"/>
  <c r="P102" i="2"/>
  <c r="O102" i="2"/>
  <c r="AA101" i="2"/>
  <c r="Z101" i="2"/>
  <c r="P101" i="2"/>
  <c r="O101" i="2"/>
  <c r="AA100" i="2"/>
  <c r="Z100" i="2"/>
  <c r="P100" i="2"/>
  <c r="O100" i="2"/>
  <c r="AA99" i="2"/>
  <c r="Z99" i="2"/>
  <c r="P99" i="2"/>
  <c r="O99" i="2"/>
  <c r="AA98" i="2"/>
  <c r="Z98" i="2"/>
  <c r="P98" i="2"/>
  <c r="O98" i="2"/>
  <c r="AA97" i="2"/>
  <c r="Z97" i="2"/>
  <c r="P97" i="2"/>
  <c r="Q97" i="2" s="1"/>
  <c r="R97" i="2" s="1"/>
  <c r="O97" i="2"/>
  <c r="AA96" i="2"/>
  <c r="Z96" i="2"/>
  <c r="P96" i="2"/>
  <c r="O96" i="2"/>
  <c r="AA95" i="2"/>
  <c r="Z95" i="2"/>
  <c r="P95" i="2"/>
  <c r="O95" i="2"/>
  <c r="AA94" i="2"/>
  <c r="Z94" i="2"/>
  <c r="P94" i="2"/>
  <c r="O94" i="2"/>
  <c r="AA93" i="2"/>
  <c r="Z93" i="2"/>
  <c r="P93" i="2"/>
  <c r="O93" i="2"/>
  <c r="AA92" i="2"/>
  <c r="Z92" i="2"/>
  <c r="P92" i="2"/>
  <c r="O92" i="2"/>
  <c r="AA91" i="2"/>
  <c r="Z91" i="2"/>
  <c r="P91" i="2"/>
  <c r="O91" i="2"/>
  <c r="AA90" i="2"/>
  <c r="Z90" i="2"/>
  <c r="P90" i="2"/>
  <c r="O90" i="2"/>
  <c r="AA89" i="2"/>
  <c r="Z89" i="2"/>
  <c r="P89" i="2"/>
  <c r="Q89" i="2" s="1"/>
  <c r="R89" i="2" s="1"/>
  <c r="O89" i="2"/>
  <c r="AA88" i="2"/>
  <c r="Z88" i="2"/>
  <c r="P88" i="2"/>
  <c r="O88" i="2"/>
  <c r="AA87" i="2"/>
  <c r="Z87" i="2"/>
  <c r="P87" i="2"/>
  <c r="O87" i="2"/>
  <c r="AA86" i="2"/>
  <c r="Z86" i="2"/>
  <c r="P86" i="2"/>
  <c r="O86" i="2"/>
  <c r="AA85" i="2"/>
  <c r="Z85" i="2"/>
  <c r="P85" i="2"/>
  <c r="O85" i="2"/>
  <c r="AA84" i="2"/>
  <c r="Z84" i="2"/>
  <c r="P84" i="2"/>
  <c r="O84" i="2"/>
  <c r="AA83" i="2"/>
  <c r="Z83" i="2"/>
  <c r="P83" i="2"/>
  <c r="O83" i="2"/>
  <c r="AA82" i="2"/>
  <c r="Z82" i="2"/>
  <c r="P82" i="2"/>
  <c r="O82" i="2"/>
  <c r="AA81" i="2"/>
  <c r="Z81" i="2"/>
  <c r="P81" i="2"/>
  <c r="Q81" i="2" s="1"/>
  <c r="R81" i="2" s="1"/>
  <c r="O81" i="2"/>
  <c r="AA80" i="2"/>
  <c r="Z80" i="2"/>
  <c r="P80" i="2"/>
  <c r="O80" i="2"/>
  <c r="AA79" i="2"/>
  <c r="Z79" i="2"/>
  <c r="P79" i="2"/>
  <c r="O79" i="2"/>
  <c r="AA78" i="2"/>
  <c r="Z78" i="2"/>
  <c r="P78" i="2"/>
  <c r="O78" i="2"/>
  <c r="AA77" i="2"/>
  <c r="Z77" i="2"/>
  <c r="P77" i="2"/>
  <c r="O77" i="2"/>
  <c r="AA76" i="2"/>
  <c r="Z76" i="2"/>
  <c r="P76" i="2"/>
  <c r="O76" i="2"/>
  <c r="AA75" i="2"/>
  <c r="Z75" i="2"/>
  <c r="P75" i="2"/>
  <c r="O75" i="2"/>
  <c r="AA74" i="2"/>
  <c r="Z74" i="2"/>
  <c r="P74" i="2"/>
  <c r="O74" i="2"/>
  <c r="AA73" i="2"/>
  <c r="Z73" i="2"/>
  <c r="P73" i="2"/>
  <c r="Q73" i="2" s="1"/>
  <c r="R73" i="2" s="1"/>
  <c r="O73" i="2"/>
  <c r="AA72" i="2"/>
  <c r="Z72" i="2"/>
  <c r="P72" i="2"/>
  <c r="O72" i="2"/>
  <c r="AA71" i="2"/>
  <c r="Z71" i="2"/>
  <c r="P71" i="2"/>
  <c r="O71" i="2"/>
  <c r="AA70" i="2"/>
  <c r="Z70" i="2"/>
  <c r="P70" i="2"/>
  <c r="O70" i="2"/>
  <c r="AA69" i="2"/>
  <c r="Z69" i="2"/>
  <c r="P69" i="2"/>
  <c r="O69" i="2"/>
  <c r="AA68" i="2"/>
  <c r="Z68" i="2"/>
  <c r="P68" i="2"/>
  <c r="O68" i="2"/>
  <c r="AA67" i="2"/>
  <c r="Z67" i="2"/>
  <c r="P67" i="2"/>
  <c r="O67" i="2"/>
  <c r="AA66" i="2"/>
  <c r="Z66" i="2"/>
  <c r="P66" i="2"/>
  <c r="O66" i="2"/>
  <c r="AA65" i="2"/>
  <c r="Z65" i="2"/>
  <c r="P65" i="2"/>
  <c r="O65" i="2"/>
  <c r="AA64" i="2"/>
  <c r="Z64" i="2"/>
  <c r="P64" i="2"/>
  <c r="Q64" i="2" s="1"/>
  <c r="R64" i="2" s="1"/>
  <c r="O64" i="2"/>
  <c r="AA63" i="2"/>
  <c r="Z63" i="2"/>
  <c r="P63" i="2"/>
  <c r="O63" i="2"/>
  <c r="AA62" i="2"/>
  <c r="Z62" i="2"/>
  <c r="P62" i="2"/>
  <c r="O62" i="2"/>
  <c r="AA61" i="2"/>
  <c r="Z61" i="2"/>
  <c r="P61" i="2"/>
  <c r="O61" i="2"/>
  <c r="AA60" i="2"/>
  <c r="Z60" i="2"/>
  <c r="P60" i="2"/>
  <c r="O60" i="2"/>
  <c r="AA59" i="2"/>
  <c r="Z59" i="2"/>
  <c r="P59" i="2"/>
  <c r="O59" i="2"/>
  <c r="AA58" i="2"/>
  <c r="Z58" i="2"/>
  <c r="P58" i="2"/>
  <c r="O58" i="2"/>
  <c r="AA57" i="2"/>
  <c r="Z57" i="2"/>
  <c r="P57" i="2"/>
  <c r="O57" i="2"/>
  <c r="AA56" i="2"/>
  <c r="Z56" i="2"/>
  <c r="P56" i="2"/>
  <c r="Q56" i="2" s="1"/>
  <c r="R56" i="2" s="1"/>
  <c r="O56" i="2"/>
  <c r="AA55" i="2"/>
  <c r="Z55" i="2"/>
  <c r="P55" i="2"/>
  <c r="O55" i="2"/>
  <c r="AA54" i="2"/>
  <c r="Z54" i="2"/>
  <c r="P54" i="2"/>
  <c r="O54" i="2"/>
  <c r="AA53" i="2"/>
  <c r="Z53" i="2"/>
  <c r="P53" i="2"/>
  <c r="O53" i="2"/>
  <c r="AA52" i="2"/>
  <c r="Z52" i="2"/>
  <c r="P52" i="2"/>
  <c r="O52" i="2"/>
  <c r="AA51" i="2"/>
  <c r="Z51" i="2"/>
  <c r="P51" i="2"/>
  <c r="O51" i="2"/>
  <c r="AA50" i="2"/>
  <c r="Z50" i="2"/>
  <c r="P50" i="2"/>
  <c r="O50" i="2"/>
  <c r="AA49" i="2"/>
  <c r="Z49" i="2"/>
  <c r="P49" i="2"/>
  <c r="O49" i="2"/>
  <c r="AA48" i="2"/>
  <c r="Z48" i="2"/>
  <c r="P48" i="2"/>
  <c r="Q48" i="2" s="1"/>
  <c r="R48" i="2" s="1"/>
  <c r="O48" i="2"/>
  <c r="AA47" i="2"/>
  <c r="Z47" i="2"/>
  <c r="P47" i="2"/>
  <c r="O47" i="2"/>
  <c r="AA46" i="2"/>
  <c r="Z46" i="2"/>
  <c r="P46" i="2"/>
  <c r="O46" i="2"/>
  <c r="AA45" i="2"/>
  <c r="Z45" i="2"/>
  <c r="P45" i="2"/>
  <c r="O45" i="2"/>
  <c r="AA44" i="2"/>
  <c r="Z44" i="2"/>
  <c r="P44" i="2"/>
  <c r="O44" i="2"/>
  <c r="AA43" i="2"/>
  <c r="Z43" i="2"/>
  <c r="P43" i="2"/>
  <c r="O43" i="2"/>
  <c r="AA42" i="2"/>
  <c r="Z42" i="2"/>
  <c r="P42" i="2"/>
  <c r="O42" i="2"/>
  <c r="AA41" i="2"/>
  <c r="Z41" i="2"/>
  <c r="P41" i="2"/>
  <c r="O41" i="2"/>
  <c r="AA40" i="2"/>
  <c r="Z40" i="2"/>
  <c r="P40" i="2"/>
  <c r="O40" i="2"/>
  <c r="AA39" i="2"/>
  <c r="Z39" i="2"/>
  <c r="P39" i="2"/>
  <c r="O39" i="2"/>
  <c r="AA38" i="2"/>
  <c r="Z38" i="2"/>
  <c r="P38" i="2"/>
  <c r="O38" i="2"/>
  <c r="AA37" i="2"/>
  <c r="Z37" i="2"/>
  <c r="P37" i="2"/>
  <c r="O37" i="2"/>
  <c r="AA36" i="2"/>
  <c r="Z36" i="2"/>
  <c r="P36" i="2"/>
  <c r="O36" i="2"/>
  <c r="AA35" i="2"/>
  <c r="Z35" i="2"/>
  <c r="P35" i="2"/>
  <c r="O35" i="2"/>
  <c r="AA34" i="2"/>
  <c r="Z34" i="2"/>
  <c r="P34" i="2"/>
  <c r="O34" i="2"/>
  <c r="AA33" i="2"/>
  <c r="Z33" i="2"/>
  <c r="P33" i="2"/>
  <c r="O33" i="2"/>
  <c r="AA32" i="2"/>
  <c r="Z32" i="2"/>
  <c r="P32" i="2"/>
  <c r="O32" i="2"/>
  <c r="AA31" i="2"/>
  <c r="Z31" i="2"/>
  <c r="P31" i="2"/>
  <c r="O31" i="2"/>
  <c r="AA30" i="2"/>
  <c r="Z30" i="2"/>
  <c r="P30" i="2"/>
  <c r="O30" i="2"/>
  <c r="AA29" i="2"/>
  <c r="Z29" i="2"/>
  <c r="P29" i="2"/>
  <c r="O29" i="2"/>
  <c r="AA28" i="2"/>
  <c r="Z28" i="2"/>
  <c r="P28" i="2"/>
  <c r="O28" i="2"/>
  <c r="AA27" i="2"/>
  <c r="Z27" i="2"/>
  <c r="P27" i="2"/>
  <c r="O27" i="2"/>
  <c r="AA26" i="2"/>
  <c r="Z26" i="2"/>
  <c r="P26" i="2"/>
  <c r="O26" i="2"/>
  <c r="AA25" i="2"/>
  <c r="Z25" i="2"/>
  <c r="P25" i="2"/>
  <c r="O25" i="2"/>
  <c r="AA24" i="2"/>
  <c r="Z24" i="2"/>
  <c r="P24" i="2"/>
  <c r="O24" i="2"/>
  <c r="AA23" i="2"/>
  <c r="Z23" i="2"/>
  <c r="P23" i="2"/>
  <c r="O23" i="2"/>
  <c r="AA22" i="2"/>
  <c r="Z22" i="2"/>
  <c r="P22" i="2"/>
  <c r="O22" i="2"/>
  <c r="AA21" i="2"/>
  <c r="Z21" i="2"/>
  <c r="P21" i="2"/>
  <c r="O21" i="2"/>
  <c r="AA20" i="2"/>
  <c r="Z20" i="2"/>
  <c r="P20" i="2"/>
  <c r="O20" i="2"/>
  <c r="AA19" i="2"/>
  <c r="Z19" i="2"/>
  <c r="P19" i="2"/>
  <c r="O19" i="2"/>
  <c r="AA18" i="2"/>
  <c r="Z18" i="2"/>
  <c r="P18" i="2"/>
  <c r="O18" i="2"/>
  <c r="AA17" i="2"/>
  <c r="Z17" i="2"/>
  <c r="P17" i="2"/>
  <c r="O17" i="2"/>
  <c r="AA16" i="2"/>
  <c r="Z16" i="2"/>
  <c r="P16" i="2"/>
  <c r="O16" i="2"/>
  <c r="AA15" i="2"/>
  <c r="Z15" i="2"/>
  <c r="P15" i="2"/>
  <c r="O15" i="2"/>
  <c r="AA14" i="2"/>
  <c r="Z14" i="2"/>
  <c r="P14" i="2"/>
  <c r="O14" i="2"/>
  <c r="AA13" i="2"/>
  <c r="Z13" i="2"/>
  <c r="P13" i="2"/>
  <c r="O13" i="2"/>
  <c r="AA12" i="2"/>
  <c r="Z12" i="2"/>
  <c r="P12" i="2"/>
  <c r="O12" i="2"/>
  <c r="AA11" i="2"/>
  <c r="Z11" i="2"/>
  <c r="P11" i="2"/>
  <c r="O11" i="2"/>
  <c r="AA10" i="2"/>
  <c r="Z10" i="2"/>
  <c r="P10" i="2"/>
  <c r="O10" i="2"/>
  <c r="AA9" i="2"/>
  <c r="Z9" i="2"/>
  <c r="P9" i="2"/>
  <c r="O9" i="2"/>
  <c r="AA8" i="2"/>
  <c r="Z8" i="2"/>
  <c r="P8" i="2"/>
  <c r="O8" i="2"/>
  <c r="AA7" i="2"/>
  <c r="Z7" i="2"/>
  <c r="P7" i="2"/>
  <c r="O7" i="2"/>
  <c r="AA6" i="2"/>
  <c r="Z6" i="2"/>
  <c r="P6" i="2"/>
  <c r="O6" i="2"/>
  <c r="AA5" i="2"/>
  <c r="Z5" i="2"/>
  <c r="P5" i="2"/>
  <c r="O5" i="2"/>
  <c r="AA4" i="2"/>
  <c r="Z4" i="2"/>
  <c r="P4" i="2"/>
  <c r="O4" i="2"/>
  <c r="AA3" i="2"/>
  <c r="Z3" i="2"/>
  <c r="P3" i="2"/>
  <c r="O3" i="2"/>
  <c r="AA2" i="2"/>
  <c r="Z2" i="2"/>
  <c r="P2" i="2"/>
  <c r="O2" i="2"/>
  <c r="T2" i="2" l="1"/>
  <c r="Q2" i="2"/>
  <c r="R2" i="2" s="1"/>
  <c r="T5" i="2"/>
  <c r="Q5" i="2"/>
  <c r="R5" i="2" s="1"/>
  <c r="T8" i="2"/>
  <c r="Q8" i="2"/>
  <c r="R8" i="2" s="1"/>
  <c r="T11" i="2"/>
  <c r="U11" i="2" s="1"/>
  <c r="V11" i="2" s="1"/>
  <c r="W11" i="2" s="1"/>
  <c r="Q11" i="2"/>
  <c r="R11" i="2" s="1"/>
  <c r="T14" i="2"/>
  <c r="Q14" i="2"/>
  <c r="R14" i="2" s="1"/>
  <c r="T17" i="2"/>
  <c r="U17" i="2" s="1"/>
  <c r="V17" i="2" s="1"/>
  <c r="W17" i="2" s="1"/>
  <c r="Q17" i="2"/>
  <c r="R17" i="2" s="1"/>
  <c r="T20" i="2"/>
  <c r="Q20" i="2"/>
  <c r="R20" i="2" s="1"/>
  <c r="T23" i="2"/>
  <c r="U23" i="2" s="1"/>
  <c r="V23" i="2" s="1"/>
  <c r="W23" i="2" s="1"/>
  <c r="Q23" i="2"/>
  <c r="R23" i="2" s="1"/>
  <c r="T26" i="2"/>
  <c r="Q26" i="2"/>
  <c r="R26" i="2" s="1"/>
  <c r="T29" i="2"/>
  <c r="Q29" i="2"/>
  <c r="R29" i="2" s="1"/>
  <c r="S32" i="2"/>
  <c r="Q32" i="2"/>
  <c r="R32" i="2" s="1"/>
  <c r="S35" i="2"/>
  <c r="Q35" i="2"/>
  <c r="R35" i="2" s="1"/>
  <c r="S38" i="2"/>
  <c r="Q38" i="2"/>
  <c r="R38" i="2" s="1"/>
  <c r="T41" i="2"/>
  <c r="Q41" i="2"/>
  <c r="R41" i="2" s="1"/>
  <c r="T44" i="2"/>
  <c r="Q44" i="2"/>
  <c r="R44" i="2" s="1"/>
  <c r="T47" i="2"/>
  <c r="Q47" i="2"/>
  <c r="R47" i="2" s="1"/>
  <c r="T50" i="2"/>
  <c r="U50" i="2" s="1"/>
  <c r="V50" i="2" s="1"/>
  <c r="W50" i="2" s="1"/>
  <c r="Q50" i="2"/>
  <c r="R50" i="2" s="1"/>
  <c r="T53" i="2"/>
  <c r="U53" i="2" s="1"/>
  <c r="V53" i="2" s="1"/>
  <c r="W53" i="2" s="1"/>
  <c r="Q53" i="2"/>
  <c r="R53" i="2" s="1"/>
  <c r="T59" i="2"/>
  <c r="U59" i="2" s="1"/>
  <c r="V59" i="2" s="1"/>
  <c r="W59" i="2" s="1"/>
  <c r="Q59" i="2"/>
  <c r="R59" i="2" s="1"/>
  <c r="S62" i="2"/>
  <c r="Q62" i="2"/>
  <c r="R62" i="2" s="1"/>
  <c r="T65" i="2"/>
  <c r="U65" i="2" s="1"/>
  <c r="V65" i="2" s="1"/>
  <c r="W65" i="2" s="1"/>
  <c r="Q65" i="2"/>
  <c r="R65" i="2" s="1"/>
  <c r="T68" i="2"/>
  <c r="Q68" i="2"/>
  <c r="R68" i="2" s="1"/>
  <c r="T71" i="2"/>
  <c r="Q71" i="2"/>
  <c r="R71" i="2" s="1"/>
  <c r="S74" i="2"/>
  <c r="Q74" i="2"/>
  <c r="R74" i="2" s="1"/>
  <c r="T77" i="2"/>
  <c r="U77" i="2" s="1"/>
  <c r="V77" i="2" s="1"/>
  <c r="W77" i="2" s="1"/>
  <c r="Q77" i="2"/>
  <c r="R77" i="2" s="1"/>
  <c r="T80" i="2"/>
  <c r="U80" i="2" s="1"/>
  <c r="V80" i="2" s="1"/>
  <c r="W80" i="2" s="1"/>
  <c r="Q80" i="2"/>
  <c r="R80" i="2" s="1"/>
  <c r="T83" i="2"/>
  <c r="U83" i="2" s="1"/>
  <c r="V83" i="2" s="1"/>
  <c r="W83" i="2" s="1"/>
  <c r="Q83" i="2"/>
  <c r="R83" i="2" s="1"/>
  <c r="T86" i="2"/>
  <c r="Q86" i="2"/>
  <c r="R86" i="2" s="1"/>
  <c r="T92" i="2"/>
  <c r="Q92" i="2"/>
  <c r="R92" i="2" s="1"/>
  <c r="S95" i="2"/>
  <c r="Q95" i="2"/>
  <c r="R95" i="2" s="1"/>
  <c r="T98" i="2"/>
  <c r="Q98" i="2"/>
  <c r="R98" i="2" s="1"/>
  <c r="T101" i="2"/>
  <c r="U101" i="2" s="1"/>
  <c r="V101" i="2" s="1"/>
  <c r="W101" i="2" s="1"/>
  <c r="Q101" i="2"/>
  <c r="R101" i="2" s="1"/>
  <c r="T104" i="2"/>
  <c r="U104" i="2" s="1"/>
  <c r="V104" i="2" s="1"/>
  <c r="W104" i="2" s="1"/>
  <c r="Q104" i="2"/>
  <c r="R104" i="2" s="1"/>
  <c r="T107" i="2"/>
  <c r="U107" i="2" s="1"/>
  <c r="V107" i="2" s="1"/>
  <c r="W107" i="2" s="1"/>
  <c r="Q107" i="2"/>
  <c r="R107" i="2" s="1"/>
  <c r="T110" i="2"/>
  <c r="Q110" i="2"/>
  <c r="R110" i="2" s="1"/>
  <c r="S116" i="2"/>
  <c r="Q116" i="2"/>
  <c r="R116" i="2" s="1"/>
  <c r="T119" i="2"/>
  <c r="Q119" i="2"/>
  <c r="R119" i="2" s="1"/>
  <c r="T122" i="2"/>
  <c r="Q122" i="2"/>
  <c r="R122" i="2" s="1"/>
  <c r="T125" i="2"/>
  <c r="U125" i="2" s="1"/>
  <c r="V125" i="2" s="1"/>
  <c r="W125" i="2" s="1"/>
  <c r="Q125" i="2"/>
  <c r="R125" i="2" s="1"/>
  <c r="T3" i="2"/>
  <c r="U3" i="2" s="1"/>
  <c r="V3" i="2" s="1"/>
  <c r="W3" i="2" s="1"/>
  <c r="Q3" i="2"/>
  <c r="R3" i="2" s="1"/>
  <c r="S6" i="2"/>
  <c r="Q6" i="2"/>
  <c r="R6" i="2" s="1"/>
  <c r="T9" i="2"/>
  <c r="U9" i="2" s="1"/>
  <c r="V9" i="2" s="1"/>
  <c r="W9" i="2" s="1"/>
  <c r="Q9" i="2"/>
  <c r="R9" i="2" s="1"/>
  <c r="T12" i="2"/>
  <c r="Q12" i="2"/>
  <c r="R12" i="2" s="1"/>
  <c r="T15" i="2"/>
  <c r="U15" i="2" s="1"/>
  <c r="V15" i="2" s="1"/>
  <c r="W15" i="2" s="1"/>
  <c r="Q15" i="2"/>
  <c r="R15" i="2" s="1"/>
  <c r="T18" i="2"/>
  <c r="Q18" i="2"/>
  <c r="R18" i="2" s="1"/>
  <c r="T21" i="2"/>
  <c r="Q21" i="2"/>
  <c r="R21" i="2" s="1"/>
  <c r="S24" i="2"/>
  <c r="Q24" i="2"/>
  <c r="R24" i="2" s="1"/>
  <c r="S27" i="2"/>
  <c r="Q27" i="2"/>
  <c r="R27" i="2" s="1"/>
  <c r="S30" i="2"/>
  <c r="Q30" i="2"/>
  <c r="R30" i="2" s="1"/>
  <c r="S33" i="2"/>
  <c r="Q33" i="2"/>
  <c r="R33" i="2" s="1"/>
  <c r="S36" i="2"/>
  <c r="Q36" i="2"/>
  <c r="R36" i="2" s="1"/>
  <c r="S39" i="2"/>
  <c r="Q39" i="2"/>
  <c r="R39" i="2" s="1"/>
  <c r="S42" i="2"/>
  <c r="Q42" i="2"/>
  <c r="R42" i="2" s="1"/>
  <c r="T45" i="2"/>
  <c r="U45" i="2" s="1"/>
  <c r="V45" i="2" s="1"/>
  <c r="W45" i="2" s="1"/>
  <c r="Q45" i="2"/>
  <c r="R45" i="2" s="1"/>
  <c r="T51" i="2"/>
  <c r="U51" i="2" s="1"/>
  <c r="V51" i="2" s="1"/>
  <c r="W51" i="2" s="1"/>
  <c r="Q51" i="2"/>
  <c r="R51" i="2" s="1"/>
  <c r="S54" i="2"/>
  <c r="Q54" i="2"/>
  <c r="R54" i="2" s="1"/>
  <c r="T57" i="2"/>
  <c r="U57" i="2" s="1"/>
  <c r="V57" i="2" s="1"/>
  <c r="W57" i="2" s="1"/>
  <c r="Q57" i="2"/>
  <c r="R57" i="2" s="1"/>
  <c r="T60" i="2"/>
  <c r="Q60" i="2"/>
  <c r="R60" i="2" s="1"/>
  <c r="T63" i="2"/>
  <c r="U63" i="2" s="1"/>
  <c r="V63" i="2" s="1"/>
  <c r="W63" i="2" s="1"/>
  <c r="Q63" i="2"/>
  <c r="R63" i="2" s="1"/>
  <c r="T66" i="2"/>
  <c r="U66" i="2" s="1"/>
  <c r="V66" i="2" s="1"/>
  <c r="W66" i="2" s="1"/>
  <c r="Q66" i="2"/>
  <c r="R66" i="2" s="1"/>
  <c r="T69" i="2"/>
  <c r="U69" i="2" s="1"/>
  <c r="V69" i="2" s="1"/>
  <c r="W69" i="2" s="1"/>
  <c r="Q69" i="2"/>
  <c r="R69" i="2" s="1"/>
  <c r="T72" i="2"/>
  <c r="U72" i="2" s="1"/>
  <c r="V72" i="2" s="1"/>
  <c r="W72" i="2" s="1"/>
  <c r="Q72" i="2"/>
  <c r="R72" i="2" s="1"/>
  <c r="T75" i="2"/>
  <c r="U75" i="2" s="1"/>
  <c r="V75" i="2" s="1"/>
  <c r="W75" i="2" s="1"/>
  <c r="Q75" i="2"/>
  <c r="R75" i="2" s="1"/>
  <c r="T78" i="2"/>
  <c r="Q78" i="2"/>
  <c r="R78" i="2" s="1"/>
  <c r="T84" i="2"/>
  <c r="Q84" i="2"/>
  <c r="R84" i="2" s="1"/>
  <c r="S87" i="2"/>
  <c r="Q87" i="2"/>
  <c r="R87" i="2" s="1"/>
  <c r="T90" i="2"/>
  <c r="Q90" i="2"/>
  <c r="R90" i="2" s="1"/>
  <c r="T93" i="2"/>
  <c r="U93" i="2" s="1"/>
  <c r="V93" i="2" s="1"/>
  <c r="W93" i="2" s="1"/>
  <c r="Q93" i="2"/>
  <c r="R93" i="2" s="1"/>
  <c r="T96" i="2"/>
  <c r="U96" i="2" s="1"/>
  <c r="V96" i="2" s="1"/>
  <c r="W96" i="2" s="1"/>
  <c r="Q96" i="2"/>
  <c r="R96" i="2" s="1"/>
  <c r="S99" i="2"/>
  <c r="Q99" i="2"/>
  <c r="R99" i="2" s="1"/>
  <c r="S102" i="2"/>
  <c r="Q102" i="2"/>
  <c r="R102" i="2" s="1"/>
  <c r="T108" i="2"/>
  <c r="Q108" i="2"/>
  <c r="R108" i="2" s="1"/>
  <c r="S111" i="2"/>
  <c r="Q111" i="2"/>
  <c r="R111" i="2" s="1"/>
  <c r="T114" i="2"/>
  <c r="Q114" i="2"/>
  <c r="R114" i="2" s="1"/>
  <c r="T117" i="2"/>
  <c r="U117" i="2" s="1"/>
  <c r="V117" i="2" s="1"/>
  <c r="W117" i="2" s="1"/>
  <c r="Q117" i="2"/>
  <c r="R117" i="2" s="1"/>
  <c r="T120" i="2"/>
  <c r="U120" i="2" s="1"/>
  <c r="V120" i="2" s="1"/>
  <c r="W120" i="2" s="1"/>
  <c r="Q120" i="2"/>
  <c r="R120" i="2" s="1"/>
  <c r="T123" i="2"/>
  <c r="U123" i="2" s="1"/>
  <c r="V123" i="2" s="1"/>
  <c r="W123" i="2" s="1"/>
  <c r="Q123" i="2"/>
  <c r="R123" i="2" s="1"/>
  <c r="T126" i="2"/>
  <c r="U126" i="2" s="1"/>
  <c r="V126" i="2" s="1"/>
  <c r="W126" i="2" s="1"/>
  <c r="Q126" i="2"/>
  <c r="R126" i="2" s="1"/>
  <c r="S4" i="2"/>
  <c r="Q4" i="2"/>
  <c r="R4" i="2" s="1"/>
  <c r="S7" i="2"/>
  <c r="Q7" i="2"/>
  <c r="R7" i="2" s="1"/>
  <c r="S10" i="2"/>
  <c r="Q10" i="2"/>
  <c r="R10" i="2" s="1"/>
  <c r="S13" i="2"/>
  <c r="Q13" i="2"/>
  <c r="R13" i="2" s="1"/>
  <c r="S16" i="2"/>
  <c r="Q16" i="2"/>
  <c r="R16" i="2" s="1"/>
  <c r="T19" i="2"/>
  <c r="U19" i="2" s="1"/>
  <c r="V19" i="2" s="1"/>
  <c r="W19" i="2" s="1"/>
  <c r="Q19" i="2"/>
  <c r="R19" i="2" s="1"/>
  <c r="T22" i="2"/>
  <c r="U22" i="2" s="1"/>
  <c r="V22" i="2" s="1"/>
  <c r="W22" i="2" s="1"/>
  <c r="Q22" i="2"/>
  <c r="R22" i="2" s="1"/>
  <c r="T25" i="2"/>
  <c r="U25" i="2" s="1"/>
  <c r="V25" i="2" s="1"/>
  <c r="W25" i="2" s="1"/>
  <c r="Q25" i="2"/>
  <c r="R25" i="2" s="1"/>
  <c r="T28" i="2"/>
  <c r="U28" i="2" s="1"/>
  <c r="V28" i="2" s="1"/>
  <c r="W28" i="2" s="1"/>
  <c r="Q28" i="2"/>
  <c r="R28" i="2" s="1"/>
  <c r="T31" i="2"/>
  <c r="U31" i="2" s="1"/>
  <c r="V31" i="2" s="1"/>
  <c r="W31" i="2" s="1"/>
  <c r="Q31" i="2"/>
  <c r="R31" i="2" s="1"/>
  <c r="T34" i="2"/>
  <c r="Q34" i="2"/>
  <c r="R34" i="2" s="1"/>
  <c r="T37" i="2"/>
  <c r="Q37" i="2"/>
  <c r="R37" i="2" s="1"/>
  <c r="T40" i="2"/>
  <c r="Q40" i="2"/>
  <c r="R40" i="2" s="1"/>
  <c r="T43" i="2"/>
  <c r="Q43" i="2"/>
  <c r="R43" i="2" s="1"/>
  <c r="T46" i="2"/>
  <c r="Q46" i="2"/>
  <c r="R46" i="2" s="1"/>
  <c r="T49" i="2"/>
  <c r="U49" i="2" s="1"/>
  <c r="V49" i="2" s="1"/>
  <c r="W49" i="2" s="1"/>
  <c r="Q49" i="2"/>
  <c r="R49" i="2" s="1"/>
  <c r="T52" i="2"/>
  <c r="Q52" i="2"/>
  <c r="R52" i="2" s="1"/>
  <c r="T55" i="2"/>
  <c r="Q55" i="2"/>
  <c r="R55" i="2" s="1"/>
  <c r="T58" i="2"/>
  <c r="U58" i="2" s="1"/>
  <c r="V58" i="2" s="1"/>
  <c r="W58" i="2" s="1"/>
  <c r="Q58" i="2"/>
  <c r="R58" i="2" s="1"/>
  <c r="T61" i="2"/>
  <c r="U61" i="2" s="1"/>
  <c r="V61" i="2" s="1"/>
  <c r="W61" i="2" s="1"/>
  <c r="Q61" i="2"/>
  <c r="R61" i="2" s="1"/>
  <c r="S67" i="2"/>
  <c r="Q67" i="2"/>
  <c r="R67" i="2" s="1"/>
  <c r="S70" i="2"/>
  <c r="Q70" i="2"/>
  <c r="R70" i="2" s="1"/>
  <c r="T76" i="2"/>
  <c r="Q76" i="2"/>
  <c r="R76" i="2" s="1"/>
  <c r="S79" i="2"/>
  <c r="Q79" i="2"/>
  <c r="R79" i="2" s="1"/>
  <c r="T82" i="2"/>
  <c r="Q82" i="2"/>
  <c r="R82" i="2" s="1"/>
  <c r="T85" i="2"/>
  <c r="U85" i="2" s="1"/>
  <c r="V85" i="2" s="1"/>
  <c r="W85" i="2" s="1"/>
  <c r="Q85" i="2"/>
  <c r="R85" i="2" s="1"/>
  <c r="T88" i="2"/>
  <c r="U88" i="2" s="1"/>
  <c r="V88" i="2" s="1"/>
  <c r="W88" i="2" s="1"/>
  <c r="Q88" i="2"/>
  <c r="R88" i="2" s="1"/>
  <c r="T91" i="2"/>
  <c r="U91" i="2" s="1"/>
  <c r="V91" i="2" s="1"/>
  <c r="W91" i="2" s="1"/>
  <c r="Q91" i="2"/>
  <c r="R91" i="2" s="1"/>
  <c r="T94" i="2"/>
  <c r="Q94" i="2"/>
  <c r="R94" i="2" s="1"/>
  <c r="T100" i="2"/>
  <c r="Q100" i="2"/>
  <c r="R100" i="2" s="1"/>
  <c r="T103" i="2"/>
  <c r="U103" i="2" s="1"/>
  <c r="V103" i="2" s="1"/>
  <c r="W103" i="2" s="1"/>
  <c r="Q103" i="2"/>
  <c r="R103" i="2" s="1"/>
  <c r="T106" i="2"/>
  <c r="Q106" i="2"/>
  <c r="R106" i="2" s="1"/>
  <c r="T109" i="2"/>
  <c r="U109" i="2" s="1"/>
  <c r="V109" i="2" s="1"/>
  <c r="W109" i="2" s="1"/>
  <c r="Q109" i="2"/>
  <c r="R109" i="2" s="1"/>
  <c r="T112" i="2"/>
  <c r="U112" i="2" s="1"/>
  <c r="V112" i="2" s="1"/>
  <c r="W112" i="2" s="1"/>
  <c r="Q112" i="2"/>
  <c r="R112" i="2" s="1"/>
  <c r="T115" i="2"/>
  <c r="U115" i="2" s="1"/>
  <c r="V115" i="2" s="1"/>
  <c r="W115" i="2" s="1"/>
  <c r="Q115" i="2"/>
  <c r="R115" i="2" s="1"/>
  <c r="T118" i="2"/>
  <c r="Q118" i="2"/>
  <c r="R118" i="2" s="1"/>
  <c r="S124" i="2"/>
  <c r="Q124" i="2"/>
  <c r="R124" i="2" s="1"/>
  <c r="S127" i="2"/>
  <c r="Q127" i="2"/>
  <c r="R127" i="2" s="1"/>
  <c r="T127" i="2"/>
  <c r="T10" i="2"/>
  <c r="T24" i="2"/>
  <c r="T116" i="2"/>
  <c r="T35" i="2"/>
  <c r="T74" i="2"/>
  <c r="X74" i="2" s="1"/>
  <c r="T102" i="2"/>
  <c r="T33" i="2"/>
  <c r="S37" i="2"/>
  <c r="X44" i="2"/>
  <c r="S106" i="2"/>
  <c r="S21" i="2"/>
  <c r="T32" i="2"/>
  <c r="T67" i="2"/>
  <c r="S41" i="2"/>
  <c r="T6" i="2"/>
  <c r="S58" i="2"/>
  <c r="T4" i="2"/>
  <c r="T38" i="2"/>
  <c r="S47" i="2"/>
  <c r="S115" i="2"/>
  <c r="X60" i="2"/>
  <c r="S107" i="2"/>
  <c r="S25" i="2"/>
  <c r="T39" i="2"/>
  <c r="X47" i="2"/>
  <c r="T62" i="2"/>
  <c r="S69" i="2"/>
  <c r="S109" i="2"/>
  <c r="S118" i="2"/>
  <c r="S71" i="2"/>
  <c r="T124" i="2"/>
  <c r="T16" i="2"/>
  <c r="S43" i="2"/>
  <c r="T79" i="2"/>
  <c r="S119" i="2"/>
  <c r="T54" i="2"/>
  <c r="S65" i="2"/>
  <c r="Y9" i="2"/>
  <c r="X9" i="2"/>
  <c r="Y3" i="2"/>
  <c r="X3" i="2"/>
  <c r="Y15" i="2"/>
  <c r="X15" i="2"/>
  <c r="S3" i="2"/>
  <c r="S9" i="2"/>
  <c r="S12" i="2"/>
  <c r="S15" i="2"/>
  <c r="S18" i="2"/>
  <c r="T27" i="2"/>
  <c r="U27" i="2" s="1"/>
  <c r="V27" i="2" s="1"/>
  <c r="W27" i="2" s="1"/>
  <c r="S46" i="2"/>
  <c r="T95" i="2"/>
  <c r="U95" i="2" s="1"/>
  <c r="V95" i="2" s="1"/>
  <c r="W95" i="2" s="1"/>
  <c r="S14" i="2"/>
  <c r="S26" i="2"/>
  <c r="S31" i="2"/>
  <c r="S53" i="2"/>
  <c r="S66" i="2"/>
  <c r="S85" i="2"/>
  <c r="S94" i="2"/>
  <c r="T99" i="2"/>
  <c r="S2" i="2"/>
  <c r="S8" i="2"/>
  <c r="T87" i="2"/>
  <c r="S20" i="2"/>
  <c r="S50" i="2"/>
  <c r="S55" i="2"/>
  <c r="S63" i="2"/>
  <c r="S82" i="2"/>
  <c r="S91" i="2"/>
  <c r="S101" i="2"/>
  <c r="T111" i="2"/>
  <c r="S19" i="2"/>
  <c r="S57" i="2"/>
  <c r="T70" i="2"/>
  <c r="S75" i="2"/>
  <c r="S103" i="2"/>
  <c r="Y59" i="2"/>
  <c r="X59" i="2"/>
  <c r="Y23" i="2"/>
  <c r="X23" i="2"/>
  <c r="Y51" i="2"/>
  <c r="X51" i="2"/>
  <c r="Y11" i="2"/>
  <c r="X11" i="2"/>
  <c r="Y63" i="2"/>
  <c r="X63" i="2"/>
  <c r="Y25" i="2"/>
  <c r="X25" i="2"/>
  <c r="Y17" i="2"/>
  <c r="X17" i="2"/>
  <c r="Y19" i="2"/>
  <c r="Y28" i="2"/>
  <c r="X28" i="2"/>
  <c r="Y75" i="2"/>
  <c r="X75" i="2"/>
  <c r="Y103" i="2"/>
  <c r="X103" i="2"/>
  <c r="Y31" i="2"/>
  <c r="X31" i="2"/>
  <c r="Y22" i="2"/>
  <c r="X22" i="2"/>
  <c r="T7" i="2"/>
  <c r="U7" i="2" s="1"/>
  <c r="V7" i="2" s="1"/>
  <c r="W7" i="2" s="1"/>
  <c r="T30" i="2"/>
  <c r="U30" i="2" s="1"/>
  <c r="V30" i="2" s="1"/>
  <c r="W30" i="2" s="1"/>
  <c r="T13" i="2"/>
  <c r="T36" i="2"/>
  <c r="U36" i="2" s="1"/>
  <c r="V36" i="2" s="1"/>
  <c r="W36" i="2" s="1"/>
  <c r="T42" i="2"/>
  <c r="X76" i="2"/>
  <c r="X14" i="2"/>
  <c r="X20" i="2"/>
  <c r="X43" i="2"/>
  <c r="S49" i="2"/>
  <c r="S59" i="2"/>
  <c r="S78" i="2"/>
  <c r="S90" i="2"/>
  <c r="S114" i="2"/>
  <c r="S123" i="2"/>
  <c r="S126" i="2"/>
  <c r="X84" i="2"/>
  <c r="S93" i="2"/>
  <c r="S23" i="2"/>
  <c r="S29" i="2"/>
  <c r="S45" i="2"/>
  <c r="X52" i="2"/>
  <c r="S122" i="2"/>
  <c r="S11" i="2"/>
  <c r="S17" i="2"/>
  <c r="S5" i="2"/>
  <c r="S22" i="2"/>
  <c r="S28" i="2"/>
  <c r="S34" i="2"/>
  <c r="X35" i="2"/>
  <c r="S40" i="2"/>
  <c r="X41" i="2"/>
  <c r="S51" i="2"/>
  <c r="S77" i="2"/>
  <c r="S83" i="2"/>
  <c r="S86" i="2"/>
  <c r="S98" i="2"/>
  <c r="S110" i="2"/>
  <c r="X12" i="2"/>
  <c r="X55" i="2"/>
  <c r="S61" i="2"/>
  <c r="X71" i="2"/>
  <c r="X92" i="2"/>
  <c r="T105" i="2"/>
  <c r="U105" i="2" s="1"/>
  <c r="V105" i="2" s="1"/>
  <c r="W105" i="2" s="1"/>
  <c r="S105" i="2"/>
  <c r="X8" i="2"/>
  <c r="X32" i="2"/>
  <c r="X40" i="2"/>
  <c r="T48" i="2"/>
  <c r="U48" i="2" s="1"/>
  <c r="V48" i="2" s="1"/>
  <c r="W48" i="2" s="1"/>
  <c r="S48" i="2"/>
  <c r="Y58" i="2"/>
  <c r="X58" i="2"/>
  <c r="Y61" i="2"/>
  <c r="X61" i="2"/>
  <c r="X68" i="2"/>
  <c r="Y77" i="2"/>
  <c r="X77" i="2"/>
  <c r="Y96" i="2"/>
  <c r="X96" i="2"/>
  <c r="Y99" i="2"/>
  <c r="X108" i="2"/>
  <c r="Y117" i="2"/>
  <c r="X117" i="2"/>
  <c r="Y120" i="2"/>
  <c r="X120" i="2"/>
  <c r="Y123" i="2"/>
  <c r="X123" i="2"/>
  <c r="Y57" i="2"/>
  <c r="X57" i="2"/>
  <c r="T89" i="2"/>
  <c r="U89" i="2" s="1"/>
  <c r="V89" i="2" s="1"/>
  <c r="W89" i="2" s="1"/>
  <c r="S89" i="2"/>
  <c r="Y101" i="2"/>
  <c r="X101" i="2"/>
  <c r="T64" i="2"/>
  <c r="U64" i="2" s="1"/>
  <c r="V64" i="2" s="1"/>
  <c r="W64" i="2" s="1"/>
  <c r="S64" i="2"/>
  <c r="T73" i="2"/>
  <c r="U73" i="2" s="1"/>
  <c r="V73" i="2" s="1"/>
  <c r="W73" i="2" s="1"/>
  <c r="S73" i="2"/>
  <c r="Y80" i="2"/>
  <c r="X80" i="2"/>
  <c r="Y83" i="2"/>
  <c r="X83" i="2"/>
  <c r="T113" i="2"/>
  <c r="U113" i="2" s="1"/>
  <c r="V113" i="2" s="1"/>
  <c r="W113" i="2" s="1"/>
  <c r="S113" i="2"/>
  <c r="Y125" i="2"/>
  <c r="X125" i="2"/>
  <c r="X5" i="2"/>
  <c r="X21" i="2"/>
  <c r="X29" i="2"/>
  <c r="X37" i="2"/>
  <c r="Y50" i="2"/>
  <c r="X50" i="2"/>
  <c r="Y53" i="2"/>
  <c r="X53" i="2"/>
  <c r="Y85" i="2"/>
  <c r="X85" i="2"/>
  <c r="Y104" i="2"/>
  <c r="X104" i="2"/>
  <c r="Y107" i="2"/>
  <c r="X107" i="2"/>
  <c r="Y49" i="2"/>
  <c r="X49" i="2"/>
  <c r="Y69" i="2"/>
  <c r="X69" i="2"/>
  <c r="T97" i="2"/>
  <c r="U97" i="2" s="1"/>
  <c r="V97" i="2" s="1"/>
  <c r="W97" i="2" s="1"/>
  <c r="S97" i="2"/>
  <c r="Y109" i="2"/>
  <c r="X109" i="2"/>
  <c r="T121" i="2"/>
  <c r="U121" i="2" s="1"/>
  <c r="V121" i="2" s="1"/>
  <c r="W121" i="2" s="1"/>
  <c r="S121" i="2"/>
  <c r="T56" i="2"/>
  <c r="U56" i="2" s="1"/>
  <c r="V56" i="2" s="1"/>
  <c r="W56" i="2" s="1"/>
  <c r="S56" i="2"/>
  <c r="Y66" i="2"/>
  <c r="X66" i="2"/>
  <c r="Y88" i="2"/>
  <c r="X88" i="2"/>
  <c r="Y91" i="2"/>
  <c r="X91" i="2"/>
  <c r="X2" i="2"/>
  <c r="X10" i="2"/>
  <c r="X18" i="2"/>
  <c r="X26" i="2"/>
  <c r="X34" i="2"/>
  <c r="Y45" i="2"/>
  <c r="X45" i="2"/>
  <c r="Y65" i="2"/>
  <c r="X65" i="2"/>
  <c r="Y72" i="2"/>
  <c r="X72" i="2"/>
  <c r="T81" i="2"/>
  <c r="U81" i="2" s="1"/>
  <c r="V81" i="2" s="1"/>
  <c r="W81" i="2" s="1"/>
  <c r="S81" i="2"/>
  <c r="Y93" i="2"/>
  <c r="X93" i="2"/>
  <c r="Y112" i="2"/>
  <c r="X112" i="2"/>
  <c r="Y115" i="2"/>
  <c r="X115" i="2"/>
  <c r="Y126" i="2"/>
  <c r="X126" i="2"/>
  <c r="S72" i="2"/>
  <c r="S80" i="2"/>
  <c r="X82" i="2"/>
  <c r="S88" i="2"/>
  <c r="X90" i="2"/>
  <c r="S96" i="2"/>
  <c r="X98" i="2"/>
  <c r="S104" i="2"/>
  <c r="X106" i="2"/>
  <c r="S112" i="2"/>
  <c r="X114" i="2"/>
  <c r="S120" i="2"/>
  <c r="X122" i="2"/>
  <c r="S117" i="2"/>
  <c r="X119" i="2"/>
  <c r="S125" i="2"/>
  <c r="X127" i="2"/>
  <c r="S44" i="2"/>
  <c r="X46" i="2"/>
  <c r="S52" i="2"/>
  <c r="S60" i="2"/>
  <c r="S68" i="2"/>
  <c r="S76" i="2"/>
  <c r="X78" i="2"/>
  <c r="S84" i="2"/>
  <c r="X86" i="2"/>
  <c r="S92" i="2"/>
  <c r="X94" i="2"/>
  <c r="S100" i="2"/>
  <c r="S108" i="2"/>
  <c r="X110" i="2"/>
  <c r="Y33" i="2" l="1"/>
  <c r="U33" i="2"/>
  <c r="V33" i="2" s="1"/>
  <c r="W33" i="2" s="1"/>
  <c r="Y38" i="2"/>
  <c r="U38" i="2"/>
  <c r="V38" i="2" s="1"/>
  <c r="W38" i="2" s="1"/>
  <c r="Y102" i="2"/>
  <c r="U102" i="2"/>
  <c r="V102" i="2" s="1"/>
  <c r="W102" i="2" s="1"/>
  <c r="Y118" i="2"/>
  <c r="U118" i="2"/>
  <c r="V118" i="2" s="1"/>
  <c r="W118" i="2" s="1"/>
  <c r="Y100" i="2"/>
  <c r="U100" i="2"/>
  <c r="V100" i="2" s="1"/>
  <c r="W100" i="2" s="1"/>
  <c r="Y55" i="2"/>
  <c r="U55" i="2"/>
  <c r="V55" i="2" s="1"/>
  <c r="W55" i="2" s="1"/>
  <c r="Y37" i="2"/>
  <c r="U37" i="2"/>
  <c r="V37" i="2" s="1"/>
  <c r="W37" i="2" s="1"/>
  <c r="Y108" i="2"/>
  <c r="U108" i="2"/>
  <c r="V108" i="2" s="1"/>
  <c r="W108" i="2" s="1"/>
  <c r="X100" i="2"/>
  <c r="Y35" i="2"/>
  <c r="U35" i="2"/>
  <c r="V35" i="2" s="1"/>
  <c r="W35" i="2" s="1"/>
  <c r="Y94" i="2"/>
  <c r="U94" i="2"/>
  <c r="V94" i="2" s="1"/>
  <c r="W94" i="2" s="1"/>
  <c r="Y76" i="2"/>
  <c r="U76" i="2"/>
  <c r="V76" i="2" s="1"/>
  <c r="W76" i="2" s="1"/>
  <c r="Y52" i="2"/>
  <c r="U52" i="2"/>
  <c r="V52" i="2" s="1"/>
  <c r="W52" i="2" s="1"/>
  <c r="Y34" i="2"/>
  <c r="U34" i="2"/>
  <c r="V34" i="2" s="1"/>
  <c r="W34" i="2" s="1"/>
  <c r="Y84" i="2"/>
  <c r="U84" i="2"/>
  <c r="V84" i="2" s="1"/>
  <c r="W84" i="2" s="1"/>
  <c r="Y110" i="2"/>
  <c r="U110" i="2"/>
  <c r="V110" i="2" s="1"/>
  <c r="W110" i="2" s="1"/>
  <c r="Y92" i="2"/>
  <c r="U92" i="2"/>
  <c r="V92" i="2" s="1"/>
  <c r="W92" i="2" s="1"/>
  <c r="Y71" i="2"/>
  <c r="U71" i="2"/>
  <c r="V71" i="2" s="1"/>
  <c r="W71" i="2" s="1"/>
  <c r="Y14" i="2"/>
  <c r="U14" i="2"/>
  <c r="V14" i="2" s="1"/>
  <c r="W14" i="2" s="1"/>
  <c r="Y87" i="2"/>
  <c r="U87" i="2"/>
  <c r="V87" i="2" s="1"/>
  <c r="W87" i="2" s="1"/>
  <c r="Y6" i="2"/>
  <c r="U6" i="2"/>
  <c r="V6" i="2" s="1"/>
  <c r="W6" i="2" s="1"/>
  <c r="Y116" i="2"/>
  <c r="U116" i="2"/>
  <c r="V116" i="2" s="1"/>
  <c r="W116" i="2" s="1"/>
  <c r="Y70" i="2"/>
  <c r="U70" i="2"/>
  <c r="V70" i="2" s="1"/>
  <c r="W70" i="2" s="1"/>
  <c r="Y62" i="2"/>
  <c r="U62" i="2"/>
  <c r="V62" i="2" s="1"/>
  <c r="W62" i="2" s="1"/>
  <c r="Y24" i="2"/>
  <c r="U24" i="2"/>
  <c r="V24" i="2" s="1"/>
  <c r="W24" i="2" s="1"/>
  <c r="Y78" i="2"/>
  <c r="U78" i="2"/>
  <c r="V78" i="2" s="1"/>
  <c r="W78" i="2" s="1"/>
  <c r="Y60" i="2"/>
  <c r="U60" i="2"/>
  <c r="V60" i="2" s="1"/>
  <c r="W60" i="2" s="1"/>
  <c r="Y21" i="2"/>
  <c r="U21" i="2"/>
  <c r="V21" i="2" s="1"/>
  <c r="W21" i="2" s="1"/>
  <c r="Y86" i="2"/>
  <c r="U86" i="2"/>
  <c r="V86" i="2" s="1"/>
  <c r="W86" i="2" s="1"/>
  <c r="Y68" i="2"/>
  <c r="U68" i="2"/>
  <c r="V68" i="2" s="1"/>
  <c r="W68" i="2" s="1"/>
  <c r="Y47" i="2"/>
  <c r="U47" i="2"/>
  <c r="V47" i="2" s="1"/>
  <c r="W47" i="2" s="1"/>
  <c r="Y29" i="2"/>
  <c r="U29" i="2"/>
  <c r="V29" i="2" s="1"/>
  <c r="W29" i="2" s="1"/>
  <c r="Y54" i="2"/>
  <c r="U54" i="2"/>
  <c r="V54" i="2" s="1"/>
  <c r="W54" i="2" s="1"/>
  <c r="Y67" i="2"/>
  <c r="U67" i="2"/>
  <c r="V67" i="2" s="1"/>
  <c r="W67" i="2" s="1"/>
  <c r="Y10" i="2"/>
  <c r="U10" i="2"/>
  <c r="V10" i="2" s="1"/>
  <c r="W10" i="2" s="1"/>
  <c r="X99" i="2"/>
  <c r="U99" i="2"/>
  <c r="V99" i="2" s="1"/>
  <c r="W99" i="2" s="1"/>
  <c r="Y39" i="2"/>
  <c r="U39" i="2"/>
  <c r="V39" i="2" s="1"/>
  <c r="W39" i="2" s="1"/>
  <c r="Y32" i="2"/>
  <c r="U32" i="2"/>
  <c r="V32" i="2" s="1"/>
  <c r="W32" i="2" s="1"/>
  <c r="Y127" i="2"/>
  <c r="U127" i="2"/>
  <c r="V127" i="2" s="1"/>
  <c r="W127" i="2" s="1"/>
  <c r="Y46" i="2"/>
  <c r="U46" i="2"/>
  <c r="V46" i="2" s="1"/>
  <c r="W46" i="2" s="1"/>
  <c r="Y18" i="2"/>
  <c r="U18" i="2"/>
  <c r="V18" i="2" s="1"/>
  <c r="W18" i="2" s="1"/>
  <c r="Y44" i="2"/>
  <c r="U44" i="2"/>
  <c r="V44" i="2" s="1"/>
  <c r="W44" i="2" s="1"/>
  <c r="Y26" i="2"/>
  <c r="U26" i="2"/>
  <c r="V26" i="2" s="1"/>
  <c r="W26" i="2" s="1"/>
  <c r="Y8" i="2"/>
  <c r="U8" i="2"/>
  <c r="V8" i="2" s="1"/>
  <c r="W8" i="2" s="1"/>
  <c r="Y42" i="2"/>
  <c r="U42" i="2"/>
  <c r="V42" i="2" s="1"/>
  <c r="W42" i="2" s="1"/>
  <c r="Y111" i="2"/>
  <c r="U111" i="2"/>
  <c r="V111" i="2" s="1"/>
  <c r="W111" i="2" s="1"/>
  <c r="Y79" i="2"/>
  <c r="U79" i="2"/>
  <c r="V79" i="2" s="1"/>
  <c r="W79" i="2" s="1"/>
  <c r="Y74" i="2"/>
  <c r="U74" i="2"/>
  <c r="V74" i="2" s="1"/>
  <c r="W74" i="2" s="1"/>
  <c r="Y106" i="2"/>
  <c r="U106" i="2"/>
  <c r="V106" i="2" s="1"/>
  <c r="W106" i="2" s="1"/>
  <c r="Y43" i="2"/>
  <c r="U43" i="2"/>
  <c r="V43" i="2" s="1"/>
  <c r="W43" i="2" s="1"/>
  <c r="Y114" i="2"/>
  <c r="U114" i="2"/>
  <c r="V114" i="2" s="1"/>
  <c r="W114" i="2" s="1"/>
  <c r="Y122" i="2"/>
  <c r="U122" i="2"/>
  <c r="V122" i="2" s="1"/>
  <c r="W122" i="2" s="1"/>
  <c r="Y41" i="2"/>
  <c r="U41" i="2"/>
  <c r="V41" i="2" s="1"/>
  <c r="W41" i="2" s="1"/>
  <c r="Y5" i="2"/>
  <c r="U5" i="2"/>
  <c r="V5" i="2" s="1"/>
  <c r="W5" i="2" s="1"/>
  <c r="X118" i="2"/>
  <c r="Y13" i="2"/>
  <c r="U13" i="2"/>
  <c r="V13" i="2" s="1"/>
  <c r="W13" i="2" s="1"/>
  <c r="Y16" i="2"/>
  <c r="U16" i="2"/>
  <c r="V16" i="2" s="1"/>
  <c r="W16" i="2" s="1"/>
  <c r="Y4" i="2"/>
  <c r="U4" i="2"/>
  <c r="V4" i="2" s="1"/>
  <c r="W4" i="2" s="1"/>
  <c r="X19" i="2"/>
  <c r="Y124" i="2"/>
  <c r="U124" i="2"/>
  <c r="V124" i="2" s="1"/>
  <c r="W124" i="2" s="1"/>
  <c r="Y82" i="2"/>
  <c r="U82" i="2"/>
  <c r="V82" i="2" s="1"/>
  <c r="W82" i="2" s="1"/>
  <c r="Y40" i="2"/>
  <c r="U40" i="2"/>
  <c r="V40" i="2" s="1"/>
  <c r="W40" i="2" s="1"/>
  <c r="Y90" i="2"/>
  <c r="U90" i="2"/>
  <c r="V90" i="2" s="1"/>
  <c r="W90" i="2" s="1"/>
  <c r="Y12" i="2"/>
  <c r="U12" i="2"/>
  <c r="V12" i="2" s="1"/>
  <c r="W12" i="2" s="1"/>
  <c r="Y119" i="2"/>
  <c r="U119" i="2"/>
  <c r="V119" i="2" s="1"/>
  <c r="W119" i="2" s="1"/>
  <c r="Y98" i="2"/>
  <c r="U98" i="2"/>
  <c r="V98" i="2" s="1"/>
  <c r="W98" i="2" s="1"/>
  <c r="Y20" i="2"/>
  <c r="U20" i="2"/>
  <c r="V20" i="2" s="1"/>
  <c r="W20" i="2" s="1"/>
  <c r="Y2" i="2"/>
  <c r="U2" i="2"/>
  <c r="V2" i="2" s="1"/>
  <c r="W2" i="2" s="1"/>
  <c r="X70" i="2"/>
  <c r="X16" i="2"/>
  <c r="X24" i="2"/>
  <c r="X33" i="2"/>
  <c r="X102" i="2"/>
  <c r="X6" i="2"/>
  <c r="X116" i="2"/>
  <c r="X87" i="2"/>
  <c r="X62" i="2"/>
  <c r="X4" i="2"/>
  <c r="X67" i="2"/>
  <c r="X38" i="2"/>
  <c r="X13" i="2"/>
  <c r="X111" i="2"/>
  <c r="X42" i="2"/>
  <c r="X54" i="2"/>
  <c r="X79" i="2"/>
  <c r="X124" i="2"/>
  <c r="X39" i="2"/>
  <c r="Y95" i="2"/>
  <c r="X95" i="2"/>
  <c r="Y27" i="2"/>
  <c r="X27" i="2"/>
  <c r="Y30" i="2"/>
  <c r="X30" i="2"/>
  <c r="Y7" i="2"/>
  <c r="X7" i="2"/>
  <c r="Y36" i="2"/>
  <c r="X36" i="2"/>
  <c r="Y56" i="2"/>
  <c r="X56" i="2"/>
  <c r="Y121" i="2"/>
  <c r="X121" i="2"/>
  <c r="Y89" i="2"/>
  <c r="X89" i="2"/>
  <c r="Y48" i="2"/>
  <c r="X48" i="2"/>
  <c r="Y81" i="2"/>
  <c r="X81" i="2"/>
  <c r="Y73" i="2"/>
  <c r="X73" i="2"/>
  <c r="Y97" i="2"/>
  <c r="X97" i="2"/>
  <c r="Y105" i="2"/>
  <c r="X105" i="2"/>
  <c r="Y113" i="2"/>
  <c r="X113" i="2"/>
  <c r="Y64" i="2"/>
  <c r="X64" i="2"/>
</calcChain>
</file>

<file path=xl/sharedStrings.xml><?xml version="1.0" encoding="utf-8"?>
<sst xmlns="http://schemas.openxmlformats.org/spreadsheetml/2006/main" count="10080" uniqueCount="232">
  <si>
    <t>Cell_type</t>
  </si>
  <si>
    <t>Well</t>
  </si>
  <si>
    <t>T1</t>
  </si>
  <si>
    <t>T2.1</t>
  </si>
  <si>
    <t>T2.2</t>
  </si>
  <si>
    <t>T3.1</t>
  </si>
  <si>
    <t>T3.2</t>
  </si>
  <si>
    <t>T3.3</t>
  </si>
  <si>
    <t>T3.4</t>
  </si>
  <si>
    <t>Colony_size</t>
  </si>
  <si>
    <t>HSC</t>
  </si>
  <si>
    <t>A3</t>
  </si>
  <si>
    <t>A4</t>
  </si>
  <si>
    <t>A5</t>
  </si>
  <si>
    <t>A6</t>
  </si>
  <si>
    <t>A7</t>
  </si>
  <si>
    <t>A10</t>
  </si>
  <si>
    <t>A11</t>
  </si>
  <si>
    <t>B3</t>
  </si>
  <si>
    <t>B10</t>
  </si>
  <si>
    <t>B11</t>
  </si>
  <si>
    <t>C3</t>
  </si>
  <si>
    <t>C5</t>
  </si>
  <si>
    <t>C7</t>
  </si>
  <si>
    <t>C10</t>
  </si>
  <si>
    <t>D2</t>
  </si>
  <si>
    <t>D3</t>
  </si>
  <si>
    <t>D5</t>
  </si>
  <si>
    <t>D6</t>
  </si>
  <si>
    <t>D7</t>
  </si>
  <si>
    <t>D10</t>
  </si>
  <si>
    <t>D11</t>
  </si>
  <si>
    <t>D12</t>
  </si>
  <si>
    <t>E2</t>
  </si>
  <si>
    <t>E5</t>
  </si>
  <si>
    <t>F3</t>
  </si>
  <si>
    <t>F6</t>
  </si>
  <si>
    <t>F9</t>
  </si>
  <si>
    <t>F11</t>
  </si>
  <si>
    <t>F12</t>
  </si>
  <si>
    <t>G9</t>
  </si>
  <si>
    <t>G11</t>
  </si>
  <si>
    <t>G12</t>
  </si>
  <si>
    <t>H2</t>
  </si>
  <si>
    <t>H4</t>
  </si>
  <si>
    <t>H10</t>
  </si>
  <si>
    <t>MPP</t>
  </si>
  <si>
    <t>B2</t>
  </si>
  <si>
    <t>B4</t>
  </si>
  <si>
    <t>B7</t>
  </si>
  <si>
    <t>B12</t>
  </si>
  <si>
    <t>C2</t>
  </si>
  <si>
    <t>C4</t>
  </si>
  <si>
    <t>C6</t>
  </si>
  <si>
    <t>C8</t>
  </si>
  <si>
    <t>C12</t>
  </si>
  <si>
    <t>D8</t>
  </si>
  <si>
    <t>D9</t>
  </si>
  <si>
    <t>E3</t>
  </si>
  <si>
    <t>E6</t>
  </si>
  <si>
    <t>E9</t>
  </si>
  <si>
    <t>E11</t>
  </si>
  <si>
    <t>F4</t>
  </si>
  <si>
    <t>F7</t>
  </si>
  <si>
    <t>F10</t>
  </si>
  <si>
    <t>G3</t>
  </si>
  <si>
    <t>G5</t>
  </si>
  <si>
    <t>G7</t>
  </si>
  <si>
    <t>G8</t>
  </si>
  <si>
    <t>G10</t>
  </si>
  <si>
    <t>H3</t>
  </si>
  <si>
    <t>H9</t>
  </si>
  <si>
    <t>A2</t>
  </si>
  <si>
    <t>B6</t>
  </si>
  <si>
    <t>B9</t>
  </si>
  <si>
    <t>D4</t>
  </si>
  <si>
    <t>E8</t>
  </si>
  <si>
    <t>F2</t>
  </si>
  <si>
    <t>F8</t>
  </si>
  <si>
    <t>G4</t>
  </si>
  <si>
    <t>H5</t>
  </si>
  <si>
    <t>A8</t>
  </si>
  <si>
    <t>B8</t>
  </si>
  <si>
    <t>C9</t>
  </si>
  <si>
    <t>E4</t>
  </si>
  <si>
    <t>E7</t>
  </si>
  <si>
    <t>E12</t>
  </si>
  <si>
    <t>G2</t>
  </si>
  <si>
    <t>A9</t>
  </si>
  <si>
    <t>B5</t>
  </si>
  <si>
    <t>C11</t>
  </si>
  <si>
    <t>F5</t>
  </si>
  <si>
    <t>G6</t>
  </si>
  <si>
    <t>H11</t>
  </si>
  <si>
    <t>H12</t>
  </si>
  <si>
    <t>Exp_name</t>
  </si>
  <si>
    <t>E10</t>
  </si>
  <si>
    <t>H8</t>
  </si>
  <si>
    <t>HPC</t>
  </si>
  <si>
    <t>H6</t>
  </si>
  <si>
    <t xml:space="preserve">A6 </t>
  </si>
  <si>
    <t xml:space="preserve">A9 </t>
  </si>
  <si>
    <t xml:space="preserve">E12 </t>
  </si>
  <si>
    <t xml:space="preserve">F3 </t>
  </si>
  <si>
    <t xml:space="preserve">F7 </t>
  </si>
  <si>
    <t xml:space="preserve">F10 </t>
  </si>
  <si>
    <t xml:space="preserve">G3 </t>
  </si>
  <si>
    <t xml:space="preserve">G11 </t>
  </si>
  <si>
    <t xml:space="preserve">A8 </t>
  </si>
  <si>
    <t xml:space="preserve">A10 </t>
  </si>
  <si>
    <t xml:space="preserve">B6 </t>
  </si>
  <si>
    <t xml:space="preserve">C4 </t>
  </si>
  <si>
    <t xml:space="preserve">C8 </t>
  </si>
  <si>
    <t xml:space="preserve">C9 </t>
  </si>
  <si>
    <t xml:space="preserve">C12 </t>
  </si>
  <si>
    <t xml:space="preserve">D2 </t>
  </si>
  <si>
    <t xml:space="preserve">D8 </t>
  </si>
  <si>
    <t xml:space="preserve">E3 </t>
  </si>
  <si>
    <t xml:space="preserve">E8 </t>
  </si>
  <si>
    <t xml:space="preserve">E10 </t>
  </si>
  <si>
    <t xml:space="preserve">F5 </t>
  </si>
  <si>
    <t xml:space="preserve">F8 </t>
  </si>
  <si>
    <t xml:space="preserve">G6 </t>
  </si>
  <si>
    <t xml:space="preserve">G10 </t>
  </si>
  <si>
    <t xml:space="preserve">H3 </t>
  </si>
  <si>
    <t xml:space="preserve">B8 </t>
  </si>
  <si>
    <t xml:space="preserve">B9 </t>
  </si>
  <si>
    <t xml:space="preserve">B10 </t>
  </si>
  <si>
    <t xml:space="preserve">C5 </t>
  </si>
  <si>
    <t xml:space="preserve">C10 </t>
  </si>
  <si>
    <t xml:space="preserve">D10 </t>
  </si>
  <si>
    <t xml:space="preserve">E4 </t>
  </si>
  <si>
    <t xml:space="preserve">E5 </t>
  </si>
  <si>
    <t xml:space="preserve">E6 </t>
  </si>
  <si>
    <t xml:space="preserve">G12 </t>
  </si>
  <si>
    <t xml:space="preserve">H6 </t>
  </si>
  <si>
    <t>Plate</t>
  </si>
  <si>
    <t>CD34_pos_perc</t>
  </si>
  <si>
    <t>CD34_neg_perc</t>
  </si>
  <si>
    <t>CD235a_pos_perc</t>
  </si>
  <si>
    <t>CD41a_pos_perc</t>
  </si>
  <si>
    <t>CD235a_neg_perc</t>
  </si>
  <si>
    <t>Single_cells</t>
  </si>
  <si>
    <t>H</t>
  </si>
  <si>
    <t>E</t>
  </si>
  <si>
    <t>M</t>
  </si>
  <si>
    <t>M1</t>
  </si>
  <si>
    <t>Size</t>
  </si>
  <si>
    <t>Division_count</t>
  </si>
  <si>
    <t>G</t>
  </si>
  <si>
    <t>L</t>
  </si>
  <si>
    <t>S</t>
  </si>
  <si>
    <t>XL</t>
  </si>
  <si>
    <t xml:space="preserve">A7 </t>
  </si>
  <si>
    <t xml:space="preserve">B4 </t>
  </si>
  <si>
    <t xml:space="preserve">C2 </t>
  </si>
  <si>
    <t xml:space="preserve">C6 </t>
  </si>
  <si>
    <t xml:space="preserve">E2 </t>
  </si>
  <si>
    <t xml:space="preserve">E7 </t>
  </si>
  <si>
    <t xml:space="preserve">F9 </t>
  </si>
  <si>
    <t xml:space="preserve">E11 </t>
  </si>
  <si>
    <t>Mk</t>
  </si>
  <si>
    <t>O</t>
  </si>
  <si>
    <t xml:space="preserve">D9 </t>
  </si>
  <si>
    <t xml:space="preserve">G5 </t>
  </si>
  <si>
    <t xml:space="preserve">G7 </t>
  </si>
  <si>
    <t xml:space="preserve">C3 </t>
  </si>
  <si>
    <t xml:space="preserve">H9 </t>
  </si>
  <si>
    <t>NA</t>
  </si>
  <si>
    <t>H7</t>
  </si>
  <si>
    <t>Exp_0051</t>
  </si>
  <si>
    <t>CD45_pos_perc</t>
  </si>
  <si>
    <t>CD11b_pos_perc</t>
  </si>
  <si>
    <t>CD34-</t>
  </si>
  <si>
    <t>CD235a-</t>
  </si>
  <si>
    <t xml:space="preserve">A5 </t>
  </si>
  <si>
    <t xml:space="preserve">B11 </t>
  </si>
  <si>
    <t xml:space="preserve">D11 </t>
  </si>
  <si>
    <t xml:space="preserve">F11 </t>
  </si>
  <si>
    <t xml:space="preserve">A4 </t>
  </si>
  <si>
    <t xml:space="preserve">B12 </t>
  </si>
  <si>
    <t xml:space="preserve">C11 </t>
  </si>
  <si>
    <t>87</t>
  </si>
  <si>
    <t>89</t>
  </si>
  <si>
    <t>96</t>
  </si>
  <si>
    <t>83</t>
  </si>
  <si>
    <t>94</t>
  </si>
  <si>
    <t>92</t>
  </si>
  <si>
    <t>93</t>
  </si>
  <si>
    <t>86</t>
  </si>
  <si>
    <t>90</t>
  </si>
  <si>
    <t>85</t>
  </si>
  <si>
    <t>95</t>
  </si>
  <si>
    <t>91</t>
  </si>
  <si>
    <t>81</t>
  </si>
  <si>
    <t>71</t>
  </si>
  <si>
    <t>Exp_0057</t>
  </si>
  <si>
    <t>A12</t>
  </si>
  <si>
    <t>CD41a_neg_perc</t>
  </si>
  <si>
    <t>CD18posCD45neg_(M1)_perc</t>
  </si>
  <si>
    <t>CD18posCD45pos_(M2)_perc</t>
  </si>
  <si>
    <t>CD18negCD45pos_(O)_perc</t>
  </si>
  <si>
    <t>CD41a_neg</t>
  </si>
  <si>
    <t>M2</t>
  </si>
  <si>
    <t>H_total_perc</t>
  </si>
  <si>
    <t>CD34-_total_perc</t>
  </si>
  <si>
    <t>Mk_total_perc</t>
  </si>
  <si>
    <t>CD41a_neg_total_perc</t>
  </si>
  <si>
    <t>E_total_perc</t>
  </si>
  <si>
    <t>CD235a-_total_perc</t>
  </si>
  <si>
    <t>M1_total_perc</t>
  </si>
  <si>
    <t>M2_total_perc</t>
  </si>
  <si>
    <t>O_total_perc</t>
  </si>
  <si>
    <t>M_total_perc</t>
  </si>
  <si>
    <t>G_total_perc</t>
  </si>
  <si>
    <t>Time to death Gen0</t>
  </si>
  <si>
    <t>Time to death Gen1.1</t>
  </si>
  <si>
    <t>Time to death Gen1.2</t>
  </si>
  <si>
    <t>Time to death Gen2.1</t>
  </si>
  <si>
    <t>Time to death Gen2.2</t>
  </si>
  <si>
    <t>Time to death Gen2.3</t>
  </si>
  <si>
    <t>Time to death Gen2.4</t>
  </si>
  <si>
    <t>D1</t>
  </si>
  <si>
    <t>D2.1</t>
  </si>
  <si>
    <t>D2.2</t>
  </si>
  <si>
    <t>D3.1</t>
  </si>
  <si>
    <t>D3.2</t>
  </si>
  <si>
    <t>D3.3</t>
  </si>
  <si>
    <t>D3.4</t>
  </si>
  <si>
    <t>Status_Div</t>
  </si>
  <si>
    <t>Status_Death</t>
  </si>
  <si>
    <t>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</si>
</sst>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26"/>
      </patternFill>
    </fill>
    <fill>
      <patternFill patternType="solid">
        <fgColor theme="6" tint="0.39997558519241921"/>
        <bgColor indexed="2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52"/>
      </patternFill>
    </fill>
    <fill>
      <patternFill patternType="solid">
        <fgColor theme="7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8">
    <xf numFmtId="0" fontId="0" fillId="0" borderId="0" xfId="0"/>
    <xf numFmtId="0" fontId="3" fillId="0" borderId="1" xfId="1" applyBorder="1"/>
    <xf numFmtId="0" fontId="3" fillId="0" borderId="4" xfId="1" applyBorder="1"/>
    <xf numFmtId="49" fontId="3" fillId="8" borderId="1" xfId="1" applyNumberFormat="1" applyFill="1" applyBorder="1"/>
    <xf numFmtId="49" fontId="3" fillId="9" borderId="1" xfId="1" applyNumberFormat="1" applyFill="1" applyBorder="1"/>
    <xf numFmtId="0" fontId="3" fillId="10" borderId="1" xfId="1" applyFill="1" applyBorder="1" applyAlignment="1">
      <alignment horizontal="right"/>
    </xf>
    <xf numFmtId="0" fontId="3" fillId="2" borderId="1" xfId="1" applyFill="1" applyBorder="1" applyAlignment="1">
      <alignment horizontal="left"/>
    </xf>
    <xf numFmtId="0" fontId="3" fillId="8" borderId="1" xfId="1" applyFill="1" applyBorder="1" applyAlignment="1">
      <alignment horizontal="left"/>
    </xf>
    <xf numFmtId="0" fontId="3" fillId="9" borderId="1" xfId="1" applyFill="1" applyBorder="1" applyAlignment="1">
      <alignment horizontal="left"/>
    </xf>
    <xf numFmtId="0" fontId="3" fillId="0" borderId="5" xfId="1" applyBorder="1" applyAlignment="1">
      <alignment vertical="center"/>
    </xf>
    <xf numFmtId="22" fontId="3" fillId="10" borderId="1" xfId="1" applyNumberFormat="1" applyFill="1" applyBorder="1" applyAlignment="1">
      <alignment horizontal="right"/>
    </xf>
    <xf numFmtId="0" fontId="3" fillId="11" borderId="1" xfId="1" applyFill="1" applyBorder="1" applyAlignment="1">
      <alignment horizontal="left"/>
    </xf>
    <xf numFmtId="0" fontId="0" fillId="0" borderId="5" xfId="0" applyBorder="1" applyAlignment="1">
      <alignment vertical="center"/>
    </xf>
    <xf numFmtId="1" fontId="3" fillId="11" borderId="1" xfId="1" applyNumberFormat="1" applyFill="1" applyBorder="1"/>
    <xf numFmtId="0" fontId="0" fillId="11" borderId="1" xfId="0" applyFill="1" applyBorder="1"/>
    <xf numFmtId="0" fontId="0" fillId="0" borderId="4" xfId="0" applyBorder="1"/>
    <xf numFmtId="0" fontId="3" fillId="11" borderId="1" xfId="1" quotePrefix="1" applyFill="1" applyBorder="1" applyAlignment="1">
      <alignment horizontal="left"/>
    </xf>
    <xf numFmtId="0" fontId="0" fillId="11" borderId="1" xfId="0" quotePrefix="1" applyFill="1" applyBorder="1"/>
    <xf numFmtId="0" fontId="3" fillId="0" borderId="6" xfId="1" applyBorder="1"/>
    <xf numFmtId="0" fontId="3" fillId="0" borderId="7" xfId="1" applyBorder="1"/>
    <xf numFmtId="0" fontId="3" fillId="2" borderId="7" xfId="1" applyFill="1" applyBorder="1" applyAlignment="1">
      <alignment horizontal="left"/>
    </xf>
    <xf numFmtId="0" fontId="3" fillId="8" borderId="7" xfId="1" applyFill="1" applyBorder="1" applyAlignment="1">
      <alignment horizontal="left"/>
    </xf>
    <xf numFmtId="0" fontId="3" fillId="9" borderId="7" xfId="1" applyFill="1" applyBorder="1" applyAlignment="1">
      <alignment horizontal="left"/>
    </xf>
    <xf numFmtId="0" fontId="3" fillId="11" borderId="7" xfId="1" applyFill="1" applyBorder="1" applyAlignment="1">
      <alignment horizontal="left"/>
    </xf>
    <xf numFmtId="0" fontId="0" fillId="11" borderId="7" xfId="0" applyFill="1" applyBorder="1"/>
    <xf numFmtId="0" fontId="0" fillId="0" borderId="8" xfId="0" applyBorder="1" applyAlignment="1">
      <alignment vertical="center"/>
    </xf>
    <xf numFmtId="49" fontId="3" fillId="3" borderId="1" xfId="1" applyNumberFormat="1" applyFill="1" applyBorder="1"/>
    <xf numFmtId="49" fontId="3" fillId="4" borderId="1" xfId="1" applyNumberFormat="1" applyFill="1" applyBorder="1"/>
    <xf numFmtId="0" fontId="0" fillId="0" borderId="1" xfId="0" applyBorder="1"/>
    <xf numFmtId="0" fontId="3" fillId="2" borderId="1" xfId="1" applyFill="1" applyBorder="1" applyAlignment="1">
      <alignment horizontal="right"/>
    </xf>
    <xf numFmtId="0" fontId="3" fillId="3" borderId="1" xfId="1" applyFill="1" applyBorder="1" applyAlignment="1">
      <alignment horizontal="right"/>
    </xf>
    <xf numFmtId="0" fontId="3" fillId="4" borderId="1" xfId="1" applyFill="1" applyBorder="1" applyAlignment="1">
      <alignment horizontal="right"/>
    </xf>
    <xf numFmtId="0" fontId="3" fillId="5" borderId="1" xfId="1" applyFill="1" applyBorder="1" applyAlignment="1">
      <alignment horizontal="right"/>
    </xf>
    <xf numFmtId="0" fontId="3" fillId="3" borderId="1" xfId="1" applyFill="1" applyBorder="1" applyAlignment="1">
      <alignment horizontal="left"/>
    </xf>
    <xf numFmtId="0" fontId="3" fillId="4" borderId="1" xfId="1" applyFill="1" applyBorder="1" applyAlignment="1">
      <alignment horizontal="left"/>
    </xf>
    <xf numFmtId="0" fontId="3" fillId="0" borderId="1" xfId="1" applyBorder="1" applyAlignment="1">
      <alignment horizontal="left"/>
    </xf>
    <xf numFmtId="0" fontId="3" fillId="5" borderId="1" xfId="1" applyFill="1" applyBorder="1" applyAlignment="1">
      <alignment horizontal="left"/>
    </xf>
    <xf numFmtId="0" fontId="3" fillId="5" borderId="2" xfId="1" applyFill="1" applyBorder="1" applyAlignment="1">
      <alignment horizontal="left"/>
    </xf>
    <xf numFmtId="0" fontId="3" fillId="0" borderId="5" xfId="1" applyBorder="1" applyAlignment="1">
      <alignment horizontal="left"/>
    </xf>
    <xf numFmtId="0" fontId="0" fillId="0" borderId="7" xfId="0" applyBorder="1"/>
    <xf numFmtId="0" fontId="3" fillId="3" borderId="7" xfId="1" applyFill="1" applyBorder="1" applyAlignment="1">
      <alignment horizontal="left"/>
    </xf>
    <xf numFmtId="0" fontId="3" fillId="4" borderId="7" xfId="1" applyFill="1" applyBorder="1" applyAlignment="1">
      <alignment horizontal="left"/>
    </xf>
    <xf numFmtId="0" fontId="3" fillId="5" borderId="9" xfId="1" applyFill="1" applyBorder="1" applyAlignment="1">
      <alignment horizontal="left"/>
    </xf>
    <xf numFmtId="0" fontId="3" fillId="0" borderId="8" xfId="1" applyBorder="1" applyAlignment="1">
      <alignment horizontal="left"/>
    </xf>
    <xf numFmtId="0" fontId="3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3" fillId="11" borderId="1" xfId="1" applyFill="1" applyBorder="1"/>
    <xf numFmtId="49" fontId="0" fillId="11" borderId="1" xfId="0" applyNumberFormat="1" applyFill="1" applyBorder="1"/>
    <xf numFmtId="49" fontId="0" fillId="0" borderId="1" xfId="0" applyNumberFormat="1" applyBorder="1" applyAlignment="1">
      <alignment vertical="center"/>
    </xf>
    <xf numFmtId="0" fontId="4" fillId="11" borderId="1" xfId="1" applyFont="1" applyFill="1" applyBorder="1" applyAlignment="1">
      <alignment horizontal="left"/>
    </xf>
    <xf numFmtId="0" fontId="0" fillId="0" borderId="0" xfId="0" applyAlignment="1">
      <alignment wrapText="1"/>
    </xf>
    <xf numFmtId="0" fontId="3" fillId="6" borderId="1" xfId="1" applyFill="1" applyBorder="1" applyAlignment="1">
      <alignment vertical="center" wrapText="1"/>
    </xf>
    <xf numFmtId="0" fontId="2" fillId="7" borderId="1" xfId="0" applyFont="1" applyFill="1" applyBorder="1"/>
    <xf numFmtId="0" fontId="2" fillId="7" borderId="3" xfId="0" applyFont="1" applyFill="1" applyBorder="1"/>
    <xf numFmtId="0" fontId="3" fillId="0" borderId="1" xfId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3" fillId="4" borderId="1" xfId="1" applyFill="1" applyBorder="1" applyAlignment="1">
      <alignment vertical="center" wrapText="1"/>
    </xf>
    <xf numFmtId="0" fontId="3" fillId="5" borderId="1" xfId="1" applyFill="1" applyBorder="1" applyAlignment="1">
      <alignment vertical="center" wrapText="1"/>
    </xf>
    <xf numFmtId="0" fontId="3" fillId="0" borderId="2" xfId="1" applyBorder="1" applyAlignment="1">
      <alignment horizontal="justify" vertical="center" wrapText="1"/>
    </xf>
    <xf numFmtId="49" fontId="2" fillId="0" borderId="1" xfId="0" applyNumberFormat="1" applyFont="1" applyBorder="1"/>
    <xf numFmtId="0" fontId="2" fillId="0" borderId="1" xfId="0" applyFont="1" applyBorder="1"/>
    <xf numFmtId="49" fontId="3" fillId="5" borderId="1" xfId="1" applyNumberFormat="1" applyFill="1" applyBorder="1"/>
    <xf numFmtId="0" fontId="4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/>
    </xf>
    <xf numFmtId="0" fontId="2" fillId="0" borderId="4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7" xfId="0" applyNumberFormat="1" applyFont="1" applyBorder="1"/>
    <xf numFmtId="1" fontId="2" fillId="0" borderId="7" xfId="0" applyNumberFormat="1" applyFont="1" applyBorder="1"/>
    <xf numFmtId="0" fontId="2" fillId="0" borderId="8" xfId="0" applyFont="1" applyBorder="1"/>
    <xf numFmtId="10" fontId="2" fillId="0" borderId="1" xfId="0" applyNumberFormat="1" applyFont="1" applyBorder="1"/>
    <xf numFmtId="0" fontId="2" fillId="0" borderId="14" xfId="0" applyFont="1" applyBorder="1"/>
    <xf numFmtId="1" fontId="2" fillId="0" borderId="2" xfId="0" applyNumberFormat="1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" fillId="7" borderId="1" xfId="0" applyFont="1" applyFill="1" applyBorder="1"/>
    <xf numFmtId="2" fontId="2" fillId="0" borderId="2" xfId="0" applyNumberFormat="1" applyFont="1" applyBorder="1"/>
    <xf numFmtId="0" fontId="3" fillId="2" borderId="3" xfId="1" applyFill="1" applyBorder="1" applyAlignment="1">
      <alignment horizontal="left"/>
    </xf>
    <xf numFmtId="0" fontId="3" fillId="0" borderId="0" xfId="1" applyAlignment="1">
      <alignment vertical="center" wrapText="1"/>
    </xf>
  </cellXfs>
  <cellStyles count="2">
    <cellStyle name="Excel Built-in Normal" xfId="1" xr:uid="{B52FCACE-6885-C94C-AAB9-E31E8E6F45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5BC9-1A04-7A49-B669-6AFE6AEC7917}">
  <dimension ref="A1:L1781"/>
  <sheetViews>
    <sheetView tabSelected="1" topLeftCell="A366" workbookViewId="0">
      <selection activeCell="N378" sqref="N378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52" bestFit="1" customWidth="1"/>
  </cols>
  <sheetData>
    <row r="1" spans="1:12" ht="45" x14ac:dyDescent="0.25">
      <c r="A1" s="54" t="s">
        <v>0</v>
      </c>
      <c r="B1" s="54" t="s">
        <v>1</v>
      </c>
      <c r="C1" s="55" t="s">
        <v>2</v>
      </c>
      <c r="D1" s="56" t="s">
        <v>3</v>
      </c>
      <c r="E1" s="57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9" t="s">
        <v>9</v>
      </c>
      <c r="K1" s="51" t="s">
        <v>95</v>
      </c>
      <c r="L1" s="87" t="s">
        <v>231</v>
      </c>
    </row>
    <row r="2" spans="1:12" x14ac:dyDescent="0.25">
      <c r="A2" s="61" t="s">
        <v>98</v>
      </c>
      <c r="B2" s="1" t="s">
        <v>11</v>
      </c>
      <c r="C2" s="6">
        <v>56</v>
      </c>
      <c r="D2" s="33">
        <v>74</v>
      </c>
      <c r="E2" s="34">
        <v>75</v>
      </c>
      <c r="F2" s="36">
        <v>91</v>
      </c>
      <c r="G2" s="36">
        <v>93</v>
      </c>
      <c r="H2" s="36">
        <v>95</v>
      </c>
      <c r="I2" s="36">
        <v>96</v>
      </c>
      <c r="J2" s="35">
        <v>8</v>
      </c>
      <c r="K2" s="52" t="s">
        <v>170</v>
      </c>
      <c r="L2" t="s">
        <v>168</v>
      </c>
    </row>
    <row r="3" spans="1:12" x14ac:dyDescent="0.25">
      <c r="A3" s="61" t="s">
        <v>98</v>
      </c>
      <c r="B3" s="1" t="s">
        <v>14</v>
      </c>
      <c r="C3" s="6">
        <v>61</v>
      </c>
      <c r="D3" s="33">
        <v>84</v>
      </c>
      <c r="E3" s="34">
        <v>84</v>
      </c>
      <c r="F3" s="36">
        <v>109</v>
      </c>
      <c r="G3" s="36">
        <v>116</v>
      </c>
      <c r="H3" s="36">
        <v>116</v>
      </c>
      <c r="I3" s="36">
        <v>119</v>
      </c>
      <c r="J3" s="35">
        <v>4</v>
      </c>
      <c r="K3" s="52" t="s">
        <v>170</v>
      </c>
      <c r="L3" t="s">
        <v>168</v>
      </c>
    </row>
    <row r="4" spans="1:12" x14ac:dyDescent="0.25">
      <c r="A4" s="61" t="s">
        <v>98</v>
      </c>
      <c r="B4" s="1" t="s">
        <v>15</v>
      </c>
      <c r="C4" s="6">
        <v>60</v>
      </c>
      <c r="D4" s="33" t="s">
        <v>168</v>
      </c>
      <c r="E4" s="34" t="s">
        <v>168</v>
      </c>
      <c r="F4" s="32" t="s">
        <v>168</v>
      </c>
      <c r="G4" s="32" t="s">
        <v>168</v>
      </c>
      <c r="H4" s="32" t="s">
        <v>168</v>
      </c>
      <c r="I4" s="32" t="s">
        <v>168</v>
      </c>
      <c r="J4" s="35">
        <v>8</v>
      </c>
      <c r="K4" s="52" t="s">
        <v>170</v>
      </c>
      <c r="L4" t="s">
        <v>168</v>
      </c>
    </row>
    <row r="5" spans="1:12" x14ac:dyDescent="0.25">
      <c r="A5" s="61" t="s">
        <v>98</v>
      </c>
      <c r="B5" s="1" t="s">
        <v>48</v>
      </c>
      <c r="C5" s="6">
        <v>59</v>
      </c>
      <c r="D5" s="33">
        <v>83</v>
      </c>
      <c r="E5" s="34">
        <v>88</v>
      </c>
      <c r="F5" s="36">
        <v>123</v>
      </c>
      <c r="G5" s="36">
        <v>123</v>
      </c>
      <c r="H5" s="36">
        <v>126</v>
      </c>
      <c r="I5" s="36">
        <v>126</v>
      </c>
      <c r="J5" s="35">
        <v>4</v>
      </c>
      <c r="K5" s="52" t="s">
        <v>170</v>
      </c>
      <c r="L5" t="s">
        <v>168</v>
      </c>
    </row>
    <row r="6" spans="1:12" x14ac:dyDescent="0.25">
      <c r="A6" s="61" t="s">
        <v>98</v>
      </c>
      <c r="B6" s="1" t="s">
        <v>73</v>
      </c>
      <c r="C6" s="6">
        <v>39</v>
      </c>
      <c r="D6" s="33">
        <v>59</v>
      </c>
      <c r="E6" s="34">
        <v>59</v>
      </c>
      <c r="F6" s="36">
        <v>104</v>
      </c>
      <c r="G6" s="36">
        <v>130</v>
      </c>
      <c r="H6" s="36">
        <v>130</v>
      </c>
      <c r="I6" s="36">
        <v>134</v>
      </c>
      <c r="J6" s="35">
        <v>4</v>
      </c>
      <c r="K6" s="52" t="s">
        <v>170</v>
      </c>
      <c r="L6" t="s">
        <v>168</v>
      </c>
    </row>
    <row r="7" spans="1:12" x14ac:dyDescent="0.25">
      <c r="A7" s="61" t="s">
        <v>98</v>
      </c>
      <c r="B7" s="1" t="s">
        <v>20</v>
      </c>
      <c r="C7" s="6">
        <v>52</v>
      </c>
      <c r="D7" s="33">
        <v>59</v>
      </c>
      <c r="E7" s="34">
        <v>59</v>
      </c>
      <c r="F7" s="36">
        <v>65</v>
      </c>
      <c r="G7" s="36">
        <v>65</v>
      </c>
      <c r="H7" s="36">
        <v>65</v>
      </c>
      <c r="I7" s="36">
        <v>67</v>
      </c>
      <c r="J7" s="35">
        <v>32</v>
      </c>
      <c r="K7" s="52" t="s">
        <v>170</v>
      </c>
      <c r="L7" t="s">
        <v>168</v>
      </c>
    </row>
    <row r="8" spans="1:12" x14ac:dyDescent="0.25">
      <c r="A8" s="61" t="s">
        <v>98</v>
      </c>
      <c r="B8" s="1" t="s">
        <v>50</v>
      </c>
      <c r="C8" s="6">
        <v>42</v>
      </c>
      <c r="D8" s="33">
        <v>61</v>
      </c>
      <c r="E8" s="34">
        <v>61</v>
      </c>
      <c r="F8" s="36">
        <v>73</v>
      </c>
      <c r="G8" s="36">
        <v>74</v>
      </c>
      <c r="H8" s="36">
        <v>76</v>
      </c>
      <c r="I8" s="36">
        <v>76</v>
      </c>
      <c r="J8" s="35">
        <v>16</v>
      </c>
      <c r="K8" s="52" t="s">
        <v>170</v>
      </c>
      <c r="L8" t="s">
        <v>168</v>
      </c>
    </row>
    <row r="9" spans="1:12" x14ac:dyDescent="0.25">
      <c r="A9" s="61" t="s">
        <v>98</v>
      </c>
      <c r="B9" s="1" t="s">
        <v>51</v>
      </c>
      <c r="C9" s="6">
        <v>39</v>
      </c>
      <c r="D9" s="33">
        <v>54</v>
      </c>
      <c r="E9" s="34">
        <v>54</v>
      </c>
      <c r="F9" s="36">
        <v>67</v>
      </c>
      <c r="G9" s="36">
        <v>67</v>
      </c>
      <c r="H9" s="36">
        <v>67</v>
      </c>
      <c r="I9" s="36">
        <v>67</v>
      </c>
      <c r="J9" s="35">
        <v>27</v>
      </c>
      <c r="K9" s="52" t="s">
        <v>170</v>
      </c>
      <c r="L9" t="s">
        <v>168</v>
      </c>
    </row>
    <row r="10" spans="1:12" x14ac:dyDescent="0.25">
      <c r="A10" s="61" t="s">
        <v>98</v>
      </c>
      <c r="B10" s="1" t="s">
        <v>23</v>
      </c>
      <c r="C10" s="6">
        <v>42</v>
      </c>
      <c r="D10" s="33">
        <v>54</v>
      </c>
      <c r="E10" s="34">
        <v>56</v>
      </c>
      <c r="F10" s="36">
        <v>103</v>
      </c>
      <c r="G10" s="36">
        <v>104</v>
      </c>
      <c r="H10" s="36">
        <v>113</v>
      </c>
      <c r="I10" s="36">
        <v>122</v>
      </c>
      <c r="J10" s="35">
        <v>4</v>
      </c>
      <c r="K10" s="52" t="s">
        <v>170</v>
      </c>
      <c r="L10" t="s">
        <v>168</v>
      </c>
    </row>
    <row r="11" spans="1:12" x14ac:dyDescent="0.25">
      <c r="A11" s="61" t="s">
        <v>98</v>
      </c>
      <c r="B11" s="1" t="s">
        <v>24</v>
      </c>
      <c r="C11" s="6">
        <v>46</v>
      </c>
      <c r="D11" s="33">
        <v>65</v>
      </c>
      <c r="E11" s="34">
        <v>66</v>
      </c>
      <c r="F11" s="36">
        <v>81</v>
      </c>
      <c r="G11" s="36">
        <v>82</v>
      </c>
      <c r="H11" s="36">
        <v>83</v>
      </c>
      <c r="I11" s="36">
        <v>83</v>
      </c>
      <c r="J11" s="35">
        <v>11</v>
      </c>
      <c r="K11" s="52" t="s">
        <v>170</v>
      </c>
      <c r="L11" t="s">
        <v>168</v>
      </c>
    </row>
    <row r="12" spans="1:12" x14ac:dyDescent="0.25">
      <c r="A12" s="61" t="s">
        <v>98</v>
      </c>
      <c r="B12" s="1" t="s">
        <v>90</v>
      </c>
      <c r="C12" s="6">
        <v>50</v>
      </c>
      <c r="D12" s="33">
        <v>70</v>
      </c>
      <c r="E12" s="34">
        <v>70</v>
      </c>
      <c r="F12" s="36">
        <v>90</v>
      </c>
      <c r="G12" s="36">
        <v>91</v>
      </c>
      <c r="H12" s="36">
        <v>92</v>
      </c>
      <c r="I12" s="36">
        <v>104</v>
      </c>
      <c r="J12" s="35">
        <v>7</v>
      </c>
      <c r="K12" s="52" t="s">
        <v>170</v>
      </c>
      <c r="L12" t="s">
        <v>168</v>
      </c>
    </row>
    <row r="13" spans="1:12" x14ac:dyDescent="0.25">
      <c r="A13" s="61" t="s">
        <v>98</v>
      </c>
      <c r="B13" s="1" t="s">
        <v>55</v>
      </c>
      <c r="C13" s="6">
        <v>44</v>
      </c>
      <c r="D13" s="33">
        <v>60</v>
      </c>
      <c r="E13" s="34">
        <v>60</v>
      </c>
      <c r="F13" s="36">
        <v>76</v>
      </c>
      <c r="G13" s="36">
        <v>80</v>
      </c>
      <c r="H13" s="36">
        <v>80</v>
      </c>
      <c r="I13" s="36">
        <v>80</v>
      </c>
      <c r="J13" s="35">
        <v>14</v>
      </c>
      <c r="K13" s="52" t="s">
        <v>170</v>
      </c>
      <c r="L13" t="s">
        <v>168</v>
      </c>
    </row>
    <row r="14" spans="1:12" x14ac:dyDescent="0.25">
      <c r="A14" s="61" t="s">
        <v>98</v>
      </c>
      <c r="B14" s="1" t="s">
        <v>27</v>
      </c>
      <c r="C14" s="6">
        <v>74</v>
      </c>
      <c r="D14" s="33">
        <v>109</v>
      </c>
      <c r="E14" s="34">
        <v>109</v>
      </c>
      <c r="F14" s="36">
        <v>133</v>
      </c>
      <c r="G14" s="36">
        <v>138</v>
      </c>
      <c r="H14" s="32" t="s">
        <v>168</v>
      </c>
      <c r="I14" s="32" t="s">
        <v>168</v>
      </c>
      <c r="J14" s="35">
        <v>2</v>
      </c>
      <c r="K14" s="52" t="s">
        <v>170</v>
      </c>
      <c r="L14" t="s">
        <v>168</v>
      </c>
    </row>
    <row r="15" spans="1:12" x14ac:dyDescent="0.25">
      <c r="A15" s="61" t="s">
        <v>98</v>
      </c>
      <c r="B15" s="1" t="s">
        <v>30</v>
      </c>
      <c r="C15" s="6">
        <v>37</v>
      </c>
      <c r="D15" s="33">
        <v>64</v>
      </c>
      <c r="E15" s="34">
        <v>65</v>
      </c>
      <c r="F15" s="36">
        <v>96</v>
      </c>
      <c r="G15" s="36">
        <v>96</v>
      </c>
      <c r="H15" s="36">
        <v>96</v>
      </c>
      <c r="I15" s="36">
        <v>96</v>
      </c>
      <c r="J15" s="35">
        <v>8</v>
      </c>
      <c r="K15" s="52" t="s">
        <v>170</v>
      </c>
      <c r="L15" t="s">
        <v>168</v>
      </c>
    </row>
    <row r="16" spans="1:12" x14ac:dyDescent="0.25">
      <c r="A16" s="61" t="s">
        <v>98</v>
      </c>
      <c r="B16" s="1" t="s">
        <v>32</v>
      </c>
      <c r="C16" s="6">
        <v>44</v>
      </c>
      <c r="D16" s="33">
        <v>60</v>
      </c>
      <c r="E16" s="34">
        <v>60</v>
      </c>
      <c r="F16" s="36">
        <v>74</v>
      </c>
      <c r="G16" s="36">
        <v>74</v>
      </c>
      <c r="H16" s="36">
        <v>74</v>
      </c>
      <c r="I16" s="36">
        <v>74</v>
      </c>
      <c r="J16" s="35">
        <v>12</v>
      </c>
      <c r="K16" s="52" t="s">
        <v>170</v>
      </c>
      <c r="L16" t="s">
        <v>168</v>
      </c>
    </row>
    <row r="17" spans="1:12" x14ac:dyDescent="0.25">
      <c r="A17" s="61" t="s">
        <v>98</v>
      </c>
      <c r="B17" s="1" t="s">
        <v>33</v>
      </c>
      <c r="C17" s="6">
        <v>44</v>
      </c>
      <c r="D17" s="33">
        <v>61</v>
      </c>
      <c r="E17" s="34">
        <v>63</v>
      </c>
      <c r="F17" s="36">
        <v>77</v>
      </c>
      <c r="G17" s="36">
        <v>79</v>
      </c>
      <c r="H17" s="36">
        <v>79</v>
      </c>
      <c r="I17" s="36">
        <v>80</v>
      </c>
      <c r="J17" s="35">
        <v>12</v>
      </c>
      <c r="K17" s="52" t="s">
        <v>170</v>
      </c>
      <c r="L17" t="s">
        <v>168</v>
      </c>
    </row>
    <row r="18" spans="1:12" x14ac:dyDescent="0.25">
      <c r="A18" s="61" t="s">
        <v>98</v>
      </c>
      <c r="B18" s="1" t="s">
        <v>58</v>
      </c>
      <c r="C18" s="6">
        <v>48</v>
      </c>
      <c r="D18" s="33">
        <v>65</v>
      </c>
      <c r="E18" s="34">
        <v>66</v>
      </c>
      <c r="F18" s="36">
        <v>79</v>
      </c>
      <c r="G18" s="36">
        <v>80</v>
      </c>
      <c r="H18" s="36">
        <v>80</v>
      </c>
      <c r="I18" s="36">
        <v>80</v>
      </c>
      <c r="J18" s="35">
        <v>16</v>
      </c>
      <c r="K18" s="52" t="s">
        <v>170</v>
      </c>
      <c r="L18" t="s">
        <v>168</v>
      </c>
    </row>
    <row r="19" spans="1:12" x14ac:dyDescent="0.25">
      <c r="A19" s="61" t="s">
        <v>98</v>
      </c>
      <c r="B19" s="1" t="s">
        <v>34</v>
      </c>
      <c r="C19" s="6">
        <v>56</v>
      </c>
      <c r="D19" s="33">
        <v>70</v>
      </c>
      <c r="E19" s="34">
        <v>70</v>
      </c>
      <c r="F19" s="36">
        <v>87</v>
      </c>
      <c r="G19" s="36">
        <v>87</v>
      </c>
      <c r="H19" s="36">
        <v>95</v>
      </c>
      <c r="I19" s="36">
        <v>95</v>
      </c>
      <c r="J19" s="35">
        <v>8</v>
      </c>
      <c r="K19" s="52" t="s">
        <v>170</v>
      </c>
      <c r="L19" t="s">
        <v>168</v>
      </c>
    </row>
    <row r="20" spans="1:12" x14ac:dyDescent="0.25">
      <c r="A20" s="61" t="s">
        <v>98</v>
      </c>
      <c r="B20" s="1" t="s">
        <v>59</v>
      </c>
      <c r="C20" s="6">
        <v>67</v>
      </c>
      <c r="D20" s="33">
        <v>77</v>
      </c>
      <c r="E20" s="34">
        <v>83</v>
      </c>
      <c r="F20" s="36">
        <v>148</v>
      </c>
      <c r="G20" s="36">
        <v>148</v>
      </c>
      <c r="H20" s="36">
        <v>148</v>
      </c>
      <c r="I20" s="36">
        <v>148</v>
      </c>
      <c r="J20" s="35">
        <v>4</v>
      </c>
      <c r="K20" s="52" t="s">
        <v>170</v>
      </c>
      <c r="L20" t="s">
        <v>168</v>
      </c>
    </row>
    <row r="21" spans="1:12" x14ac:dyDescent="0.25">
      <c r="A21" s="61" t="s">
        <v>98</v>
      </c>
      <c r="B21" s="1" t="s">
        <v>60</v>
      </c>
      <c r="C21" s="6">
        <v>39</v>
      </c>
      <c r="D21" s="33">
        <v>50</v>
      </c>
      <c r="E21" s="34">
        <v>54</v>
      </c>
      <c r="F21" s="36">
        <v>63</v>
      </c>
      <c r="G21" s="36">
        <v>63</v>
      </c>
      <c r="H21" s="36">
        <v>65</v>
      </c>
      <c r="I21" s="36">
        <v>65</v>
      </c>
      <c r="J21" s="35">
        <v>25</v>
      </c>
      <c r="K21" s="52" t="s">
        <v>170</v>
      </c>
      <c r="L21" t="s">
        <v>168</v>
      </c>
    </row>
    <row r="22" spans="1:12" x14ac:dyDescent="0.25">
      <c r="A22" s="61" t="s">
        <v>98</v>
      </c>
      <c r="B22" s="1" t="s">
        <v>96</v>
      </c>
      <c r="C22" s="6">
        <v>82</v>
      </c>
      <c r="D22" s="33">
        <v>91</v>
      </c>
      <c r="E22" s="34">
        <v>107</v>
      </c>
      <c r="F22" s="36">
        <v>123</v>
      </c>
      <c r="G22" s="36">
        <v>124</v>
      </c>
      <c r="H22" s="32" t="s">
        <v>168</v>
      </c>
      <c r="I22" s="32" t="s">
        <v>168</v>
      </c>
      <c r="J22" s="35">
        <v>3</v>
      </c>
      <c r="K22" s="52" t="s">
        <v>170</v>
      </c>
      <c r="L22" t="s">
        <v>168</v>
      </c>
    </row>
    <row r="23" spans="1:12" x14ac:dyDescent="0.25">
      <c r="A23" s="61" t="s">
        <v>98</v>
      </c>
      <c r="B23" s="1" t="s">
        <v>61</v>
      </c>
      <c r="C23" s="6">
        <v>51</v>
      </c>
      <c r="D23" s="33">
        <v>63</v>
      </c>
      <c r="E23" s="34">
        <v>63</v>
      </c>
      <c r="F23" s="36">
        <v>76</v>
      </c>
      <c r="G23" s="36">
        <v>76</v>
      </c>
      <c r="H23" s="36">
        <v>76</v>
      </c>
      <c r="I23" s="36">
        <v>76</v>
      </c>
      <c r="J23" s="35">
        <v>16</v>
      </c>
      <c r="K23" s="52" t="s">
        <v>170</v>
      </c>
      <c r="L23" t="s">
        <v>168</v>
      </c>
    </row>
    <row r="24" spans="1:12" x14ac:dyDescent="0.25">
      <c r="A24" s="61" t="s">
        <v>98</v>
      </c>
      <c r="B24" s="1" t="s">
        <v>35</v>
      </c>
      <c r="C24" s="6">
        <v>47</v>
      </c>
      <c r="D24" s="33">
        <v>65</v>
      </c>
      <c r="E24" s="34">
        <v>65</v>
      </c>
      <c r="F24" s="36">
        <v>83</v>
      </c>
      <c r="G24" s="36">
        <v>83</v>
      </c>
      <c r="H24" s="36">
        <v>86</v>
      </c>
      <c r="I24" s="36">
        <v>86</v>
      </c>
      <c r="J24" s="35">
        <v>8</v>
      </c>
      <c r="K24" s="52" t="s">
        <v>170</v>
      </c>
      <c r="L24" t="s">
        <v>168</v>
      </c>
    </row>
    <row r="25" spans="1:12" x14ac:dyDescent="0.25">
      <c r="A25" s="61" t="s">
        <v>98</v>
      </c>
      <c r="B25" s="1" t="s">
        <v>63</v>
      </c>
      <c r="C25" s="6">
        <v>39</v>
      </c>
      <c r="D25" s="33">
        <v>50</v>
      </c>
      <c r="E25" s="34">
        <v>50</v>
      </c>
      <c r="F25" s="36">
        <v>61</v>
      </c>
      <c r="G25" s="36">
        <v>61</v>
      </c>
      <c r="H25" s="36">
        <v>63</v>
      </c>
      <c r="I25" s="36">
        <v>63</v>
      </c>
      <c r="J25" s="35">
        <v>32</v>
      </c>
      <c r="K25" s="52" t="s">
        <v>170</v>
      </c>
      <c r="L25" t="s">
        <v>168</v>
      </c>
    </row>
    <row r="26" spans="1:12" x14ac:dyDescent="0.25">
      <c r="A26" s="61" t="s">
        <v>98</v>
      </c>
      <c r="B26" s="1" t="s">
        <v>87</v>
      </c>
      <c r="C26" s="6">
        <v>34</v>
      </c>
      <c r="D26" s="33">
        <v>48</v>
      </c>
      <c r="E26" s="34">
        <v>48</v>
      </c>
      <c r="F26" s="36">
        <v>65</v>
      </c>
      <c r="G26" s="36">
        <v>65</v>
      </c>
      <c r="H26" s="36">
        <v>67</v>
      </c>
      <c r="I26" s="36">
        <v>67</v>
      </c>
      <c r="J26" s="35">
        <v>12</v>
      </c>
      <c r="K26" s="52" t="s">
        <v>170</v>
      </c>
      <c r="L26" t="s">
        <v>168</v>
      </c>
    </row>
    <row r="27" spans="1:12" x14ac:dyDescent="0.25">
      <c r="A27" s="61" t="s">
        <v>98</v>
      </c>
      <c r="B27" s="1" t="s">
        <v>65</v>
      </c>
      <c r="C27" s="6">
        <v>39</v>
      </c>
      <c r="D27" s="33">
        <v>51</v>
      </c>
      <c r="E27" s="34">
        <v>55</v>
      </c>
      <c r="F27" s="36">
        <v>68</v>
      </c>
      <c r="G27" s="36">
        <v>68</v>
      </c>
      <c r="H27" s="36">
        <v>70</v>
      </c>
      <c r="I27" s="36">
        <v>73</v>
      </c>
      <c r="J27" s="35">
        <v>54</v>
      </c>
      <c r="K27" s="52" t="s">
        <v>170</v>
      </c>
      <c r="L27" t="s">
        <v>168</v>
      </c>
    </row>
    <row r="28" spans="1:12" x14ac:dyDescent="0.25">
      <c r="A28" s="61" t="s">
        <v>98</v>
      </c>
      <c r="B28" s="1" t="s">
        <v>79</v>
      </c>
      <c r="C28" s="6">
        <v>57</v>
      </c>
      <c r="D28" s="33">
        <v>64</v>
      </c>
      <c r="E28" s="34">
        <v>70</v>
      </c>
      <c r="F28" s="36">
        <v>122</v>
      </c>
      <c r="G28" s="36">
        <v>122</v>
      </c>
      <c r="H28" s="36">
        <v>124</v>
      </c>
      <c r="I28" s="36">
        <v>124</v>
      </c>
      <c r="J28" s="35">
        <v>4</v>
      </c>
      <c r="K28" s="52" t="s">
        <v>170</v>
      </c>
      <c r="L28" t="s">
        <v>168</v>
      </c>
    </row>
    <row r="29" spans="1:12" x14ac:dyDescent="0.25">
      <c r="A29" s="61" t="s">
        <v>98</v>
      </c>
      <c r="B29" s="1" t="s">
        <v>92</v>
      </c>
      <c r="C29" s="6">
        <v>56</v>
      </c>
      <c r="D29" s="33">
        <v>73</v>
      </c>
      <c r="E29" s="34">
        <v>73</v>
      </c>
      <c r="F29" s="36">
        <v>91</v>
      </c>
      <c r="G29" s="36">
        <v>99</v>
      </c>
      <c r="H29" s="36">
        <v>105</v>
      </c>
      <c r="I29" s="36">
        <v>110</v>
      </c>
      <c r="J29" s="35">
        <v>5</v>
      </c>
      <c r="K29" s="52" t="s">
        <v>170</v>
      </c>
      <c r="L29" t="s">
        <v>168</v>
      </c>
    </row>
    <row r="30" spans="1:12" x14ac:dyDescent="0.25">
      <c r="A30" s="61" t="s">
        <v>98</v>
      </c>
      <c r="B30" s="1" t="s">
        <v>68</v>
      </c>
      <c r="C30" s="6" t="s">
        <v>168</v>
      </c>
      <c r="D30" s="33" t="s">
        <v>168</v>
      </c>
      <c r="E30" s="34" t="s">
        <v>168</v>
      </c>
      <c r="F30" s="32" t="s">
        <v>168</v>
      </c>
      <c r="G30" s="32" t="s">
        <v>168</v>
      </c>
      <c r="H30" s="32" t="s">
        <v>168</v>
      </c>
      <c r="I30" s="32" t="s">
        <v>168</v>
      </c>
      <c r="J30" s="35">
        <v>23</v>
      </c>
      <c r="K30" s="52" t="s">
        <v>170</v>
      </c>
      <c r="L30" t="s">
        <v>168</v>
      </c>
    </row>
    <row r="31" spans="1:12" x14ac:dyDescent="0.25">
      <c r="A31" s="61" t="s">
        <v>98</v>
      </c>
      <c r="B31" s="1" t="s">
        <v>40</v>
      </c>
      <c r="C31" s="6">
        <v>54</v>
      </c>
      <c r="D31" s="33">
        <v>72</v>
      </c>
      <c r="E31" s="34">
        <v>73</v>
      </c>
      <c r="F31" s="36">
        <v>89</v>
      </c>
      <c r="G31" s="36">
        <v>90</v>
      </c>
      <c r="H31" s="36">
        <v>91</v>
      </c>
      <c r="I31" s="36">
        <v>91</v>
      </c>
      <c r="J31" s="35">
        <v>8</v>
      </c>
      <c r="K31" s="52" t="s">
        <v>170</v>
      </c>
      <c r="L31" t="s">
        <v>168</v>
      </c>
    </row>
    <row r="32" spans="1:12" x14ac:dyDescent="0.25">
      <c r="A32" s="61" t="s">
        <v>98</v>
      </c>
      <c r="B32" s="1" t="s">
        <v>80</v>
      </c>
      <c r="C32" s="6">
        <v>50</v>
      </c>
      <c r="D32" s="33">
        <v>56</v>
      </c>
      <c r="E32" s="34">
        <v>56</v>
      </c>
      <c r="F32" s="36">
        <v>68</v>
      </c>
      <c r="G32" s="36">
        <v>68</v>
      </c>
      <c r="H32" s="36">
        <v>70</v>
      </c>
      <c r="I32" s="36">
        <v>70</v>
      </c>
      <c r="J32" s="35">
        <v>18</v>
      </c>
      <c r="K32" s="52" t="s">
        <v>170</v>
      </c>
      <c r="L32" t="s">
        <v>168</v>
      </c>
    </row>
    <row r="33" spans="1:12" x14ac:dyDescent="0.25">
      <c r="A33" s="61" t="s">
        <v>98</v>
      </c>
      <c r="B33" s="1" t="s">
        <v>169</v>
      </c>
      <c r="C33" s="6">
        <v>70</v>
      </c>
      <c r="D33" s="33">
        <v>75</v>
      </c>
      <c r="E33" s="34">
        <v>75</v>
      </c>
      <c r="F33" s="36">
        <v>92</v>
      </c>
      <c r="G33" s="36">
        <v>93</v>
      </c>
      <c r="H33" s="36">
        <v>97</v>
      </c>
      <c r="I33" s="36">
        <v>97</v>
      </c>
      <c r="J33" s="35">
        <v>6</v>
      </c>
      <c r="K33" s="52" t="s">
        <v>170</v>
      </c>
      <c r="L33" t="s">
        <v>168</v>
      </c>
    </row>
    <row r="34" spans="1:12" x14ac:dyDescent="0.25">
      <c r="A34" s="1" t="s">
        <v>98</v>
      </c>
      <c r="B34" s="1" t="s">
        <v>72</v>
      </c>
      <c r="C34" s="6">
        <v>48</v>
      </c>
      <c r="D34" s="33">
        <v>61</v>
      </c>
      <c r="E34" s="34">
        <v>62</v>
      </c>
      <c r="F34" s="36">
        <v>78</v>
      </c>
      <c r="G34" s="36">
        <v>78</v>
      </c>
      <c r="H34" s="36">
        <v>86</v>
      </c>
      <c r="I34" s="36">
        <v>93</v>
      </c>
      <c r="J34" s="35">
        <v>9</v>
      </c>
      <c r="K34" s="52" t="s">
        <v>196</v>
      </c>
      <c r="L34" t="s">
        <v>168</v>
      </c>
    </row>
    <row r="35" spans="1:12" x14ac:dyDescent="0.25">
      <c r="A35" s="1" t="s">
        <v>98</v>
      </c>
      <c r="B35" s="1" t="s">
        <v>12</v>
      </c>
      <c r="C35" s="6">
        <v>38</v>
      </c>
      <c r="D35" s="33">
        <v>52</v>
      </c>
      <c r="E35" s="34">
        <v>52</v>
      </c>
      <c r="F35" s="36">
        <v>66</v>
      </c>
      <c r="G35" s="36">
        <v>66</v>
      </c>
      <c r="H35" s="36">
        <v>66</v>
      </c>
      <c r="I35" s="36">
        <v>66</v>
      </c>
      <c r="J35" s="35">
        <v>24</v>
      </c>
      <c r="K35" s="52" t="s">
        <v>196</v>
      </c>
      <c r="L35" t="s">
        <v>168</v>
      </c>
    </row>
    <row r="36" spans="1:12" x14ac:dyDescent="0.25">
      <c r="A36" s="1" t="s">
        <v>98</v>
      </c>
      <c r="B36" s="1" t="s">
        <v>13</v>
      </c>
      <c r="C36" s="6">
        <v>52</v>
      </c>
      <c r="D36" s="33">
        <v>66</v>
      </c>
      <c r="E36" s="34">
        <v>66</v>
      </c>
      <c r="F36" s="36">
        <v>81</v>
      </c>
      <c r="G36" s="36">
        <v>81</v>
      </c>
      <c r="H36" s="36">
        <v>84</v>
      </c>
      <c r="I36" s="36">
        <v>84</v>
      </c>
      <c r="J36" s="35">
        <v>11</v>
      </c>
      <c r="K36" s="52" t="s">
        <v>196</v>
      </c>
      <c r="L36" t="s">
        <v>168</v>
      </c>
    </row>
    <row r="37" spans="1:12" x14ac:dyDescent="0.25">
      <c r="A37" s="1" t="s">
        <v>98</v>
      </c>
      <c r="B37" s="1" t="s">
        <v>14</v>
      </c>
      <c r="C37" s="6">
        <v>32</v>
      </c>
      <c r="D37" s="33">
        <v>48</v>
      </c>
      <c r="E37" s="34">
        <v>50</v>
      </c>
      <c r="F37" s="36">
        <v>67</v>
      </c>
      <c r="G37" s="36">
        <v>67</v>
      </c>
      <c r="H37" s="36">
        <v>70</v>
      </c>
      <c r="I37" s="36">
        <v>76</v>
      </c>
      <c r="J37" s="35">
        <v>16</v>
      </c>
      <c r="K37" s="52" t="s">
        <v>196</v>
      </c>
      <c r="L37" t="s">
        <v>168</v>
      </c>
    </row>
    <row r="38" spans="1:12" x14ac:dyDescent="0.25">
      <c r="A38" s="1" t="s">
        <v>98</v>
      </c>
      <c r="B38" s="1" t="s">
        <v>15</v>
      </c>
      <c r="C38" s="6">
        <v>51</v>
      </c>
      <c r="D38" s="33">
        <v>72</v>
      </c>
      <c r="E38" s="34">
        <v>75</v>
      </c>
      <c r="F38" s="36">
        <v>93</v>
      </c>
      <c r="G38" s="36">
        <v>95</v>
      </c>
      <c r="H38" s="36">
        <v>96</v>
      </c>
      <c r="I38" s="36">
        <v>96</v>
      </c>
      <c r="J38" s="35">
        <v>8</v>
      </c>
      <c r="K38" s="52" t="s">
        <v>196</v>
      </c>
      <c r="L38" t="s">
        <v>168</v>
      </c>
    </row>
    <row r="39" spans="1:12" x14ac:dyDescent="0.25">
      <c r="A39" s="1" t="s">
        <v>98</v>
      </c>
      <c r="B39" s="1" t="s">
        <v>81</v>
      </c>
      <c r="C39" s="6">
        <v>35</v>
      </c>
      <c r="D39" s="33">
        <v>58</v>
      </c>
      <c r="E39" s="34">
        <v>59</v>
      </c>
      <c r="F39" s="36">
        <v>77</v>
      </c>
      <c r="G39" s="36">
        <v>77</v>
      </c>
      <c r="H39" s="36">
        <v>78</v>
      </c>
      <c r="I39" s="36">
        <v>90</v>
      </c>
      <c r="J39" s="35">
        <v>11</v>
      </c>
      <c r="K39" s="52" t="s">
        <v>196</v>
      </c>
      <c r="L39" t="s">
        <v>168</v>
      </c>
    </row>
    <row r="40" spans="1:12" x14ac:dyDescent="0.25">
      <c r="A40" s="1" t="s">
        <v>98</v>
      </c>
      <c r="B40" s="1" t="s">
        <v>88</v>
      </c>
      <c r="C40" s="6">
        <v>36</v>
      </c>
      <c r="D40" s="33">
        <v>51</v>
      </c>
      <c r="E40" s="34">
        <v>51</v>
      </c>
      <c r="F40" s="36">
        <v>64</v>
      </c>
      <c r="G40" s="36">
        <v>66</v>
      </c>
      <c r="H40" s="36">
        <v>67</v>
      </c>
      <c r="I40" s="36">
        <v>68</v>
      </c>
      <c r="J40" s="35">
        <v>21</v>
      </c>
      <c r="K40" s="52" t="s">
        <v>196</v>
      </c>
      <c r="L40" t="s">
        <v>168</v>
      </c>
    </row>
    <row r="41" spans="1:12" x14ac:dyDescent="0.25">
      <c r="A41" s="1" t="s">
        <v>98</v>
      </c>
      <c r="B41" s="1" t="s">
        <v>16</v>
      </c>
      <c r="C41" s="6">
        <v>43</v>
      </c>
      <c r="D41" s="33">
        <v>55</v>
      </c>
      <c r="E41" s="34">
        <v>58</v>
      </c>
      <c r="F41" s="36">
        <v>69</v>
      </c>
      <c r="G41" s="36">
        <v>70</v>
      </c>
      <c r="H41" s="36">
        <v>79</v>
      </c>
      <c r="I41" s="36">
        <v>79</v>
      </c>
      <c r="J41" s="35">
        <v>14</v>
      </c>
      <c r="K41" s="52" t="s">
        <v>196</v>
      </c>
      <c r="L41" t="s">
        <v>168</v>
      </c>
    </row>
    <row r="42" spans="1:12" x14ac:dyDescent="0.25">
      <c r="A42" s="1" t="s">
        <v>98</v>
      </c>
      <c r="B42" s="1" t="s">
        <v>17</v>
      </c>
      <c r="C42" s="6">
        <v>47</v>
      </c>
      <c r="D42" s="33">
        <v>70</v>
      </c>
      <c r="E42" s="34">
        <v>74</v>
      </c>
      <c r="F42" s="62" t="s">
        <v>168</v>
      </c>
      <c r="G42" s="62" t="s">
        <v>168</v>
      </c>
      <c r="H42" s="62" t="s">
        <v>168</v>
      </c>
      <c r="I42" s="62" t="s">
        <v>168</v>
      </c>
      <c r="J42" s="35" t="s">
        <v>168</v>
      </c>
      <c r="K42" s="52" t="s">
        <v>196</v>
      </c>
      <c r="L42" t="s">
        <v>168</v>
      </c>
    </row>
    <row r="43" spans="1:12" x14ac:dyDescent="0.25">
      <c r="A43" s="1" t="s">
        <v>98</v>
      </c>
      <c r="B43" s="1" t="s">
        <v>197</v>
      </c>
      <c r="C43" s="6">
        <v>51</v>
      </c>
      <c r="D43" s="33">
        <v>69</v>
      </c>
      <c r="E43" s="34">
        <v>70</v>
      </c>
      <c r="F43" s="62" t="s">
        <v>168</v>
      </c>
      <c r="G43" s="62" t="s">
        <v>168</v>
      </c>
      <c r="H43" s="62" t="s">
        <v>168</v>
      </c>
      <c r="I43" s="62" t="s">
        <v>168</v>
      </c>
      <c r="J43" s="35">
        <v>4</v>
      </c>
      <c r="K43" s="52" t="s">
        <v>196</v>
      </c>
      <c r="L43" t="s">
        <v>168</v>
      </c>
    </row>
    <row r="44" spans="1:12" x14ac:dyDescent="0.25">
      <c r="A44" s="1" t="s">
        <v>98</v>
      </c>
      <c r="B44" s="1" t="s">
        <v>47</v>
      </c>
      <c r="C44" s="6">
        <v>48</v>
      </c>
      <c r="D44" s="33">
        <v>75</v>
      </c>
      <c r="E44" s="34">
        <v>75</v>
      </c>
      <c r="F44" s="36">
        <v>85</v>
      </c>
      <c r="G44" s="36">
        <v>85</v>
      </c>
      <c r="H44" s="62" t="s">
        <v>168</v>
      </c>
      <c r="I44" s="62" t="s">
        <v>168</v>
      </c>
      <c r="J44" s="35">
        <v>6</v>
      </c>
      <c r="K44" s="52" t="s">
        <v>196</v>
      </c>
      <c r="L44" t="s">
        <v>168</v>
      </c>
    </row>
    <row r="45" spans="1:12" x14ac:dyDescent="0.25">
      <c r="A45" s="1" t="s">
        <v>98</v>
      </c>
      <c r="B45" s="1" t="s">
        <v>18</v>
      </c>
      <c r="C45" s="6">
        <v>47</v>
      </c>
      <c r="D45" s="33">
        <v>61</v>
      </c>
      <c r="E45" s="34">
        <v>62</v>
      </c>
      <c r="F45" s="36">
        <v>76</v>
      </c>
      <c r="G45" s="36">
        <v>76</v>
      </c>
      <c r="H45" s="36">
        <v>77</v>
      </c>
      <c r="I45" s="36">
        <v>77</v>
      </c>
      <c r="J45" s="35">
        <v>10</v>
      </c>
      <c r="K45" s="52" t="s">
        <v>196</v>
      </c>
      <c r="L45" t="s">
        <v>168</v>
      </c>
    </row>
    <row r="46" spans="1:12" x14ac:dyDescent="0.25">
      <c r="A46" s="1" t="s">
        <v>98</v>
      </c>
      <c r="B46" s="1" t="s">
        <v>48</v>
      </c>
      <c r="C46" s="6">
        <v>46</v>
      </c>
      <c r="D46" s="33">
        <v>61</v>
      </c>
      <c r="E46" s="34">
        <v>63</v>
      </c>
      <c r="F46" s="36">
        <v>78</v>
      </c>
      <c r="G46" s="36">
        <v>78</v>
      </c>
      <c r="H46" s="36">
        <v>85</v>
      </c>
      <c r="I46" s="36">
        <v>86</v>
      </c>
      <c r="J46" s="35">
        <v>12</v>
      </c>
      <c r="K46" s="52" t="s">
        <v>196</v>
      </c>
      <c r="L46" t="s">
        <v>168</v>
      </c>
    </row>
    <row r="47" spans="1:12" x14ac:dyDescent="0.25">
      <c r="A47" s="1" t="s">
        <v>98</v>
      </c>
      <c r="B47" s="1" t="s">
        <v>89</v>
      </c>
      <c r="C47" s="6">
        <v>47</v>
      </c>
      <c r="D47" s="33">
        <v>63</v>
      </c>
      <c r="E47" s="34">
        <v>64</v>
      </c>
      <c r="F47" s="36">
        <v>77</v>
      </c>
      <c r="G47" s="36">
        <v>77</v>
      </c>
      <c r="H47" s="36">
        <v>79</v>
      </c>
      <c r="I47" s="36">
        <v>85</v>
      </c>
      <c r="J47" s="35">
        <v>14</v>
      </c>
      <c r="K47" s="52" t="s">
        <v>196</v>
      </c>
      <c r="L47" t="s">
        <v>168</v>
      </c>
    </row>
    <row r="48" spans="1:12" x14ac:dyDescent="0.25">
      <c r="A48" s="1" t="s">
        <v>98</v>
      </c>
      <c r="B48" s="1" t="s">
        <v>73</v>
      </c>
      <c r="C48" s="6">
        <v>34</v>
      </c>
      <c r="D48" s="33">
        <v>50</v>
      </c>
      <c r="E48" s="34">
        <v>50</v>
      </c>
      <c r="F48" s="36">
        <v>60</v>
      </c>
      <c r="G48" s="36">
        <v>60</v>
      </c>
      <c r="H48" s="36">
        <v>61</v>
      </c>
      <c r="I48" s="36">
        <v>61</v>
      </c>
      <c r="J48" s="35">
        <v>37</v>
      </c>
      <c r="K48" s="52" t="s">
        <v>196</v>
      </c>
      <c r="L48" t="s">
        <v>168</v>
      </c>
    </row>
    <row r="49" spans="1:12" x14ac:dyDescent="0.25">
      <c r="A49" s="1" t="s">
        <v>98</v>
      </c>
      <c r="B49" s="1" t="s">
        <v>49</v>
      </c>
      <c r="C49" s="6">
        <v>40</v>
      </c>
      <c r="D49" s="33">
        <v>55</v>
      </c>
      <c r="E49" s="34">
        <v>56</v>
      </c>
      <c r="F49" s="36">
        <v>70</v>
      </c>
      <c r="G49" s="36">
        <v>70</v>
      </c>
      <c r="H49" s="36">
        <v>72</v>
      </c>
      <c r="I49" s="36">
        <v>77</v>
      </c>
      <c r="J49" s="35">
        <v>14</v>
      </c>
      <c r="K49" s="52" t="s">
        <v>196</v>
      </c>
      <c r="L49" t="s">
        <v>168</v>
      </c>
    </row>
    <row r="50" spans="1:12" x14ac:dyDescent="0.25">
      <c r="A50" s="1" t="s">
        <v>98</v>
      </c>
      <c r="B50" s="1" t="s">
        <v>82</v>
      </c>
      <c r="C50" s="6">
        <v>43</v>
      </c>
      <c r="D50" s="33">
        <v>55</v>
      </c>
      <c r="E50" s="34">
        <v>55</v>
      </c>
      <c r="F50" s="36">
        <v>68</v>
      </c>
      <c r="G50" s="36">
        <v>69</v>
      </c>
      <c r="H50" s="36">
        <v>70</v>
      </c>
      <c r="I50" s="36">
        <v>72</v>
      </c>
      <c r="J50" s="35">
        <v>15</v>
      </c>
      <c r="K50" s="52" t="s">
        <v>196</v>
      </c>
      <c r="L50" t="s">
        <v>168</v>
      </c>
    </row>
    <row r="51" spans="1:12" x14ac:dyDescent="0.25">
      <c r="A51" s="1" t="s">
        <v>98</v>
      </c>
      <c r="B51" s="1" t="s">
        <v>74</v>
      </c>
      <c r="C51" s="6">
        <v>43</v>
      </c>
      <c r="D51" s="33">
        <v>58</v>
      </c>
      <c r="E51" s="34">
        <v>58</v>
      </c>
      <c r="F51" s="36">
        <v>70</v>
      </c>
      <c r="G51" s="36">
        <v>71</v>
      </c>
      <c r="H51" s="36">
        <v>73</v>
      </c>
      <c r="I51" s="36">
        <v>74</v>
      </c>
      <c r="J51" s="35">
        <v>18</v>
      </c>
      <c r="K51" s="52" t="s">
        <v>196</v>
      </c>
      <c r="L51" t="s">
        <v>168</v>
      </c>
    </row>
    <row r="52" spans="1:12" x14ac:dyDescent="0.25">
      <c r="A52" s="1" t="s">
        <v>98</v>
      </c>
      <c r="B52" s="1" t="s">
        <v>19</v>
      </c>
      <c r="C52" s="6">
        <v>43</v>
      </c>
      <c r="D52" s="33">
        <v>58</v>
      </c>
      <c r="E52" s="34">
        <v>59</v>
      </c>
      <c r="F52" s="36">
        <v>72</v>
      </c>
      <c r="G52" s="36">
        <v>74</v>
      </c>
      <c r="H52" s="36">
        <v>76</v>
      </c>
      <c r="I52" s="36">
        <v>88</v>
      </c>
      <c r="J52" s="35">
        <v>12</v>
      </c>
      <c r="K52" s="52" t="s">
        <v>196</v>
      </c>
      <c r="L52" t="s">
        <v>168</v>
      </c>
    </row>
    <row r="53" spans="1:12" x14ac:dyDescent="0.25">
      <c r="A53" s="1" t="s">
        <v>98</v>
      </c>
      <c r="B53" s="1" t="s">
        <v>20</v>
      </c>
      <c r="C53" s="6">
        <v>41</v>
      </c>
      <c r="D53" s="33">
        <v>59</v>
      </c>
      <c r="E53" s="34">
        <v>60</v>
      </c>
      <c r="F53" s="36">
        <v>73</v>
      </c>
      <c r="G53" s="36">
        <v>74</v>
      </c>
      <c r="H53" s="36">
        <v>75</v>
      </c>
      <c r="I53" s="36">
        <v>75</v>
      </c>
      <c r="J53" s="35">
        <v>12</v>
      </c>
      <c r="K53" s="52" t="s">
        <v>196</v>
      </c>
      <c r="L53" t="s">
        <v>168</v>
      </c>
    </row>
    <row r="54" spans="1:12" x14ac:dyDescent="0.25">
      <c r="A54" s="1" t="s">
        <v>98</v>
      </c>
      <c r="B54" s="1" t="s">
        <v>50</v>
      </c>
      <c r="C54" s="6">
        <v>56</v>
      </c>
      <c r="D54" s="33">
        <v>66</v>
      </c>
      <c r="E54" s="34">
        <v>66</v>
      </c>
      <c r="F54" s="36">
        <v>85</v>
      </c>
      <c r="G54" s="36">
        <v>94</v>
      </c>
      <c r="H54" s="62" t="s">
        <v>168</v>
      </c>
      <c r="I54" s="62" t="s">
        <v>168</v>
      </c>
      <c r="J54" s="35">
        <v>6</v>
      </c>
      <c r="K54" s="52" t="s">
        <v>196</v>
      </c>
      <c r="L54" t="s">
        <v>168</v>
      </c>
    </row>
    <row r="55" spans="1:12" x14ac:dyDescent="0.25">
      <c r="A55" s="1" t="s">
        <v>98</v>
      </c>
      <c r="B55" s="1" t="s">
        <v>51</v>
      </c>
      <c r="C55" s="6">
        <v>38</v>
      </c>
      <c r="D55" s="33">
        <v>55</v>
      </c>
      <c r="E55" s="34">
        <v>64</v>
      </c>
      <c r="F55" s="36">
        <v>72</v>
      </c>
      <c r="G55" s="36">
        <v>85</v>
      </c>
      <c r="H55" s="36">
        <v>88</v>
      </c>
      <c r="I55" s="62" t="s">
        <v>168</v>
      </c>
      <c r="J55" s="35">
        <v>7</v>
      </c>
      <c r="K55" s="52" t="s">
        <v>196</v>
      </c>
      <c r="L55" t="s">
        <v>168</v>
      </c>
    </row>
    <row r="56" spans="1:12" x14ac:dyDescent="0.25">
      <c r="A56" s="1" t="s">
        <v>98</v>
      </c>
      <c r="B56" s="1" t="s">
        <v>21</v>
      </c>
      <c r="C56" s="6">
        <v>44</v>
      </c>
      <c r="D56" s="33">
        <v>58</v>
      </c>
      <c r="E56" s="34">
        <v>58</v>
      </c>
      <c r="F56" s="36">
        <v>70</v>
      </c>
      <c r="G56" s="36">
        <v>71</v>
      </c>
      <c r="H56" s="36">
        <v>71</v>
      </c>
      <c r="I56" s="36">
        <v>72</v>
      </c>
      <c r="J56" s="35">
        <v>24</v>
      </c>
      <c r="K56" s="52" t="s">
        <v>196</v>
      </c>
      <c r="L56" t="s">
        <v>168</v>
      </c>
    </row>
    <row r="57" spans="1:12" x14ac:dyDescent="0.25">
      <c r="A57" s="1" t="s">
        <v>98</v>
      </c>
      <c r="B57" s="1" t="s">
        <v>52</v>
      </c>
      <c r="C57" s="6">
        <v>36</v>
      </c>
      <c r="D57" s="33">
        <v>50</v>
      </c>
      <c r="E57" s="34">
        <v>58</v>
      </c>
      <c r="F57" s="36">
        <v>66</v>
      </c>
      <c r="G57" s="36">
        <v>67</v>
      </c>
      <c r="H57" s="36">
        <v>71</v>
      </c>
      <c r="I57" s="36">
        <v>81</v>
      </c>
      <c r="J57" s="35">
        <v>12</v>
      </c>
      <c r="K57" s="52" t="s">
        <v>196</v>
      </c>
      <c r="L57" t="s">
        <v>168</v>
      </c>
    </row>
    <row r="58" spans="1:12" x14ac:dyDescent="0.25">
      <c r="A58" s="1" t="s">
        <v>98</v>
      </c>
      <c r="B58" s="1" t="s">
        <v>22</v>
      </c>
      <c r="C58" s="6">
        <v>32</v>
      </c>
      <c r="D58" s="33">
        <v>45</v>
      </c>
      <c r="E58" s="34">
        <v>46</v>
      </c>
      <c r="F58" s="36">
        <v>55</v>
      </c>
      <c r="G58" s="36">
        <v>56</v>
      </c>
      <c r="H58" s="36">
        <v>58</v>
      </c>
      <c r="I58" s="36">
        <v>58</v>
      </c>
      <c r="J58" s="35">
        <v>24</v>
      </c>
      <c r="K58" s="52" t="s">
        <v>196</v>
      </c>
      <c r="L58" t="s">
        <v>168</v>
      </c>
    </row>
    <row r="59" spans="1:12" x14ac:dyDescent="0.25">
      <c r="A59" s="1" t="s">
        <v>98</v>
      </c>
      <c r="B59" s="1" t="s">
        <v>53</v>
      </c>
      <c r="C59" s="6">
        <v>26</v>
      </c>
      <c r="D59" s="33">
        <v>43</v>
      </c>
      <c r="E59" s="34">
        <v>43</v>
      </c>
      <c r="F59" s="36">
        <v>55</v>
      </c>
      <c r="G59" s="36">
        <v>58</v>
      </c>
      <c r="H59" s="36">
        <v>58</v>
      </c>
      <c r="I59" s="36">
        <v>58</v>
      </c>
      <c r="J59" s="35">
        <v>24</v>
      </c>
      <c r="K59" s="52" t="s">
        <v>196</v>
      </c>
      <c r="L59" t="s">
        <v>168</v>
      </c>
    </row>
    <row r="60" spans="1:12" x14ac:dyDescent="0.25">
      <c r="A60" s="1" t="s">
        <v>98</v>
      </c>
      <c r="B60" s="1" t="s">
        <v>23</v>
      </c>
      <c r="C60" s="6">
        <v>38</v>
      </c>
      <c r="D60" s="33">
        <v>46</v>
      </c>
      <c r="E60" s="34">
        <v>58</v>
      </c>
      <c r="F60" s="36">
        <v>60</v>
      </c>
      <c r="G60" s="36">
        <v>60</v>
      </c>
      <c r="H60" s="36">
        <v>62</v>
      </c>
      <c r="I60" s="36">
        <v>62</v>
      </c>
      <c r="J60" s="35">
        <v>25</v>
      </c>
      <c r="K60" s="52" t="s">
        <v>196</v>
      </c>
      <c r="L60" t="s">
        <v>168</v>
      </c>
    </row>
    <row r="61" spans="1:12" x14ac:dyDescent="0.25">
      <c r="A61" s="1" t="s">
        <v>98</v>
      </c>
      <c r="B61" s="1" t="s">
        <v>54</v>
      </c>
      <c r="C61" s="6">
        <v>47</v>
      </c>
      <c r="D61" s="33">
        <v>68</v>
      </c>
      <c r="E61" s="34">
        <v>69</v>
      </c>
      <c r="F61" s="36">
        <v>90</v>
      </c>
      <c r="G61" s="36">
        <v>91</v>
      </c>
      <c r="H61" s="36">
        <v>92</v>
      </c>
      <c r="I61" s="62" t="s">
        <v>168</v>
      </c>
      <c r="J61" s="35">
        <v>7</v>
      </c>
      <c r="K61" s="52" t="s">
        <v>196</v>
      </c>
      <c r="L61" t="s">
        <v>168</v>
      </c>
    </row>
    <row r="62" spans="1:12" x14ac:dyDescent="0.25">
      <c r="A62" s="1" t="s">
        <v>98</v>
      </c>
      <c r="B62" s="1" t="s">
        <v>83</v>
      </c>
      <c r="C62" s="6">
        <v>47</v>
      </c>
      <c r="D62" s="33">
        <v>62</v>
      </c>
      <c r="E62" s="34">
        <v>66</v>
      </c>
      <c r="F62" s="36">
        <v>76</v>
      </c>
      <c r="G62" s="36">
        <v>77</v>
      </c>
      <c r="H62" s="36">
        <v>84</v>
      </c>
      <c r="I62" s="36">
        <v>90</v>
      </c>
      <c r="J62" s="35">
        <v>11</v>
      </c>
      <c r="K62" s="52" t="s">
        <v>196</v>
      </c>
      <c r="L62" t="s">
        <v>168</v>
      </c>
    </row>
    <row r="63" spans="1:12" x14ac:dyDescent="0.25">
      <c r="A63" s="1" t="s">
        <v>98</v>
      </c>
      <c r="B63" s="1" t="s">
        <v>24</v>
      </c>
      <c r="C63" s="6">
        <v>41</v>
      </c>
      <c r="D63" s="33">
        <v>55</v>
      </c>
      <c r="E63" s="34">
        <v>61</v>
      </c>
      <c r="F63" s="36">
        <v>72</v>
      </c>
      <c r="G63" s="36">
        <v>78</v>
      </c>
      <c r="H63" s="36">
        <v>78</v>
      </c>
      <c r="I63" s="36">
        <v>86</v>
      </c>
      <c r="J63" s="35">
        <v>12</v>
      </c>
      <c r="K63" s="52" t="s">
        <v>196</v>
      </c>
      <c r="L63" t="s">
        <v>168</v>
      </c>
    </row>
    <row r="64" spans="1:12" x14ac:dyDescent="0.25">
      <c r="A64" s="1" t="s">
        <v>98</v>
      </c>
      <c r="B64" s="1" t="s">
        <v>90</v>
      </c>
      <c r="C64" s="6">
        <v>37</v>
      </c>
      <c r="D64" s="33">
        <v>51</v>
      </c>
      <c r="E64" s="34">
        <v>55</v>
      </c>
      <c r="F64" s="36">
        <v>64</v>
      </c>
      <c r="G64" s="36">
        <v>66</v>
      </c>
      <c r="H64" s="36">
        <v>68</v>
      </c>
      <c r="I64" s="36">
        <v>70</v>
      </c>
      <c r="J64" s="35">
        <v>30</v>
      </c>
      <c r="K64" s="52" t="s">
        <v>196</v>
      </c>
      <c r="L64" t="s">
        <v>168</v>
      </c>
    </row>
    <row r="65" spans="1:12" x14ac:dyDescent="0.25">
      <c r="A65" s="1" t="s">
        <v>98</v>
      </c>
      <c r="B65" s="1" t="s">
        <v>55</v>
      </c>
      <c r="C65" s="6" t="s">
        <v>168</v>
      </c>
      <c r="D65" s="33" t="s">
        <v>168</v>
      </c>
      <c r="E65" s="34">
        <v>55</v>
      </c>
      <c r="F65" s="36">
        <v>56</v>
      </c>
      <c r="G65" s="36">
        <v>58</v>
      </c>
      <c r="H65" s="36">
        <v>58</v>
      </c>
      <c r="I65" s="36">
        <v>71</v>
      </c>
      <c r="J65" s="35">
        <v>12</v>
      </c>
      <c r="K65" s="52" t="s">
        <v>196</v>
      </c>
      <c r="L65" t="s">
        <v>168</v>
      </c>
    </row>
    <row r="66" spans="1:12" x14ac:dyDescent="0.25">
      <c r="A66" s="1" t="s">
        <v>98</v>
      </c>
      <c r="B66" s="1" t="s">
        <v>25</v>
      </c>
      <c r="C66" s="6">
        <v>35</v>
      </c>
      <c r="D66" s="33">
        <v>51</v>
      </c>
      <c r="E66" s="34">
        <v>55</v>
      </c>
      <c r="F66" s="36">
        <v>63</v>
      </c>
      <c r="G66" s="36">
        <v>63</v>
      </c>
      <c r="H66" s="36">
        <v>66</v>
      </c>
      <c r="I66" s="36">
        <v>75</v>
      </c>
      <c r="J66" s="35">
        <v>18</v>
      </c>
      <c r="K66" s="52" t="s">
        <v>196</v>
      </c>
      <c r="L66" t="s">
        <v>168</v>
      </c>
    </row>
    <row r="67" spans="1:12" x14ac:dyDescent="0.25">
      <c r="A67" s="1" t="s">
        <v>98</v>
      </c>
      <c r="B67" s="1" t="s">
        <v>26</v>
      </c>
      <c r="C67" s="6">
        <v>55</v>
      </c>
      <c r="D67" s="33">
        <v>82</v>
      </c>
      <c r="E67" s="34">
        <v>82</v>
      </c>
      <c r="F67" s="62" t="s">
        <v>168</v>
      </c>
      <c r="G67" s="62" t="s">
        <v>168</v>
      </c>
      <c r="H67" s="62" t="s">
        <v>168</v>
      </c>
      <c r="I67" s="62" t="s">
        <v>168</v>
      </c>
      <c r="J67" s="35">
        <v>4</v>
      </c>
      <c r="K67" s="52" t="s">
        <v>196</v>
      </c>
      <c r="L67" t="s">
        <v>168</v>
      </c>
    </row>
    <row r="68" spans="1:12" x14ac:dyDescent="0.25">
      <c r="A68" s="1" t="s">
        <v>98</v>
      </c>
      <c r="B68" s="1" t="s">
        <v>75</v>
      </c>
      <c r="C68" s="6">
        <v>40</v>
      </c>
      <c r="D68" s="33">
        <v>55</v>
      </c>
      <c r="E68" s="34">
        <v>55</v>
      </c>
      <c r="F68" s="36">
        <v>69</v>
      </c>
      <c r="G68" s="36">
        <v>70</v>
      </c>
      <c r="H68" s="36">
        <v>70</v>
      </c>
      <c r="I68" s="36">
        <v>75</v>
      </c>
      <c r="J68" s="35">
        <v>12</v>
      </c>
      <c r="K68" s="52" t="s">
        <v>196</v>
      </c>
      <c r="L68" t="s">
        <v>168</v>
      </c>
    </row>
    <row r="69" spans="1:12" x14ac:dyDescent="0.25">
      <c r="A69" s="1" t="s">
        <v>98</v>
      </c>
      <c r="B69" s="1" t="s">
        <v>27</v>
      </c>
      <c r="C69" s="6">
        <v>32</v>
      </c>
      <c r="D69" s="33">
        <v>55</v>
      </c>
      <c r="E69" s="34">
        <v>55</v>
      </c>
      <c r="F69" s="36">
        <v>79</v>
      </c>
      <c r="G69" s="36">
        <v>85</v>
      </c>
      <c r="H69" s="36">
        <v>91</v>
      </c>
      <c r="I69" s="62" t="s">
        <v>168</v>
      </c>
      <c r="J69" s="35">
        <v>7</v>
      </c>
      <c r="K69" s="52" t="s">
        <v>196</v>
      </c>
      <c r="L69" t="s">
        <v>168</v>
      </c>
    </row>
    <row r="70" spans="1:12" x14ac:dyDescent="0.25">
      <c r="A70" s="1" t="s">
        <v>98</v>
      </c>
      <c r="B70" s="1" t="s">
        <v>28</v>
      </c>
      <c r="C70" s="6">
        <v>46</v>
      </c>
      <c r="D70" s="33">
        <v>69</v>
      </c>
      <c r="E70" s="34">
        <v>69</v>
      </c>
      <c r="F70" s="36">
        <v>80</v>
      </c>
      <c r="G70" s="36">
        <v>85</v>
      </c>
      <c r="H70" s="36">
        <v>87</v>
      </c>
      <c r="I70" s="36">
        <v>90</v>
      </c>
      <c r="J70" s="35">
        <v>8</v>
      </c>
      <c r="K70" s="52" t="s">
        <v>196</v>
      </c>
      <c r="L70" t="s">
        <v>168</v>
      </c>
    </row>
    <row r="71" spans="1:12" x14ac:dyDescent="0.25">
      <c r="A71" s="1" t="s">
        <v>98</v>
      </c>
      <c r="B71" s="1" t="s">
        <v>29</v>
      </c>
      <c r="C71" s="6">
        <v>43</v>
      </c>
      <c r="D71" s="33">
        <v>59</v>
      </c>
      <c r="E71" s="34">
        <v>62</v>
      </c>
      <c r="F71" s="36">
        <v>76</v>
      </c>
      <c r="G71" s="36">
        <v>79</v>
      </c>
      <c r="H71" s="36">
        <v>82</v>
      </c>
      <c r="I71" s="36">
        <v>86</v>
      </c>
      <c r="J71" s="35">
        <v>12</v>
      </c>
      <c r="K71" s="52" t="s">
        <v>196</v>
      </c>
      <c r="L71" t="s">
        <v>168</v>
      </c>
    </row>
    <row r="72" spans="1:12" x14ac:dyDescent="0.25">
      <c r="A72" s="1" t="s">
        <v>98</v>
      </c>
      <c r="B72" s="1" t="s">
        <v>57</v>
      </c>
      <c r="C72" s="6">
        <v>46</v>
      </c>
      <c r="D72" s="33">
        <v>62</v>
      </c>
      <c r="E72" s="34">
        <v>62</v>
      </c>
      <c r="F72" s="36">
        <v>74</v>
      </c>
      <c r="G72" s="36">
        <v>74</v>
      </c>
      <c r="H72" s="36">
        <v>74</v>
      </c>
      <c r="I72" s="36">
        <v>76</v>
      </c>
      <c r="J72" s="35">
        <v>15</v>
      </c>
      <c r="K72" s="52" t="s">
        <v>196</v>
      </c>
      <c r="L72" t="s">
        <v>168</v>
      </c>
    </row>
    <row r="73" spans="1:12" x14ac:dyDescent="0.25">
      <c r="A73" s="1" t="s">
        <v>98</v>
      </c>
      <c r="B73" s="1" t="s">
        <v>30</v>
      </c>
      <c r="C73" s="6">
        <v>41</v>
      </c>
      <c r="D73" s="33">
        <v>55</v>
      </c>
      <c r="E73" s="34">
        <v>60</v>
      </c>
      <c r="F73" s="36">
        <v>67</v>
      </c>
      <c r="G73" s="36">
        <v>69</v>
      </c>
      <c r="H73" s="36">
        <v>73</v>
      </c>
      <c r="I73" s="36">
        <v>79</v>
      </c>
      <c r="J73" s="35">
        <v>13</v>
      </c>
      <c r="K73" s="52" t="s">
        <v>196</v>
      </c>
      <c r="L73" t="s">
        <v>168</v>
      </c>
    </row>
    <row r="74" spans="1:12" x14ac:dyDescent="0.25">
      <c r="A74" s="1" t="s">
        <v>98</v>
      </c>
      <c r="B74" s="1" t="s">
        <v>31</v>
      </c>
      <c r="C74" s="6">
        <v>45</v>
      </c>
      <c r="D74" s="33">
        <v>59</v>
      </c>
      <c r="E74" s="34">
        <v>61</v>
      </c>
      <c r="F74" s="36">
        <v>73</v>
      </c>
      <c r="G74" s="36">
        <v>74</v>
      </c>
      <c r="H74" s="36">
        <v>75</v>
      </c>
      <c r="I74" s="36">
        <v>79</v>
      </c>
      <c r="J74" s="35">
        <v>16</v>
      </c>
      <c r="K74" s="52" t="s">
        <v>196</v>
      </c>
      <c r="L74" t="s">
        <v>168</v>
      </c>
    </row>
    <row r="75" spans="1:12" x14ac:dyDescent="0.25">
      <c r="A75" s="1" t="s">
        <v>98</v>
      </c>
      <c r="B75" s="1" t="s">
        <v>32</v>
      </c>
      <c r="C75" s="6">
        <v>31</v>
      </c>
      <c r="D75" s="33">
        <v>46</v>
      </c>
      <c r="E75" s="34">
        <v>46</v>
      </c>
      <c r="F75" s="36">
        <v>58</v>
      </c>
      <c r="G75" s="36">
        <v>58</v>
      </c>
      <c r="H75" s="36">
        <v>59</v>
      </c>
      <c r="I75" s="36">
        <v>60</v>
      </c>
      <c r="J75" s="35">
        <v>16</v>
      </c>
      <c r="K75" s="52" t="s">
        <v>196</v>
      </c>
      <c r="L75" t="s">
        <v>168</v>
      </c>
    </row>
    <row r="76" spans="1:12" x14ac:dyDescent="0.25">
      <c r="A76" s="1" t="s">
        <v>98</v>
      </c>
      <c r="B76" s="1" t="s">
        <v>33</v>
      </c>
      <c r="C76" s="6">
        <v>40</v>
      </c>
      <c r="D76" s="33">
        <v>56</v>
      </c>
      <c r="E76" s="34">
        <v>58</v>
      </c>
      <c r="F76" s="36">
        <v>66</v>
      </c>
      <c r="G76" s="36">
        <v>67</v>
      </c>
      <c r="H76" s="36">
        <v>67</v>
      </c>
      <c r="I76" s="36">
        <v>68</v>
      </c>
      <c r="J76" s="35">
        <v>25</v>
      </c>
      <c r="K76" s="52" t="s">
        <v>196</v>
      </c>
      <c r="L76" t="s">
        <v>168</v>
      </c>
    </row>
    <row r="77" spans="1:12" x14ac:dyDescent="0.25">
      <c r="A77" s="1" t="s">
        <v>98</v>
      </c>
      <c r="B77" s="1" t="s">
        <v>58</v>
      </c>
      <c r="C77" s="6">
        <v>37</v>
      </c>
      <c r="D77" s="33">
        <v>51</v>
      </c>
      <c r="E77" s="34">
        <v>51</v>
      </c>
      <c r="F77" s="36">
        <v>63</v>
      </c>
      <c r="G77" s="36">
        <v>64</v>
      </c>
      <c r="H77" s="36">
        <v>64</v>
      </c>
      <c r="I77" s="36">
        <v>64</v>
      </c>
      <c r="J77" s="35">
        <v>25</v>
      </c>
      <c r="K77" s="52" t="s">
        <v>196</v>
      </c>
      <c r="L77" t="s">
        <v>168</v>
      </c>
    </row>
    <row r="78" spans="1:12" x14ac:dyDescent="0.25">
      <c r="A78" s="1" t="s">
        <v>98</v>
      </c>
      <c r="B78" s="1" t="s">
        <v>84</v>
      </c>
      <c r="C78" s="6">
        <v>52</v>
      </c>
      <c r="D78" s="33" t="s">
        <v>168</v>
      </c>
      <c r="E78" s="34" t="s">
        <v>168</v>
      </c>
      <c r="F78" s="62" t="s">
        <v>168</v>
      </c>
      <c r="G78" s="62" t="s">
        <v>168</v>
      </c>
      <c r="H78" s="62" t="s">
        <v>168</v>
      </c>
      <c r="I78" s="62" t="s">
        <v>168</v>
      </c>
      <c r="J78" s="35">
        <v>0</v>
      </c>
      <c r="K78" s="52" t="s">
        <v>196</v>
      </c>
      <c r="L78" t="s">
        <v>168</v>
      </c>
    </row>
    <row r="79" spans="1:12" x14ac:dyDescent="0.25">
      <c r="A79" s="1" t="s">
        <v>98</v>
      </c>
      <c r="B79" s="1" t="s">
        <v>34</v>
      </c>
      <c r="C79" s="6">
        <v>40</v>
      </c>
      <c r="D79" s="33">
        <v>55</v>
      </c>
      <c r="E79" s="34">
        <v>56</v>
      </c>
      <c r="F79" s="62" t="s">
        <v>168</v>
      </c>
      <c r="G79" s="62" t="s">
        <v>168</v>
      </c>
      <c r="H79" s="62" t="s">
        <v>168</v>
      </c>
      <c r="I79" s="62" t="s">
        <v>168</v>
      </c>
      <c r="J79" s="35">
        <v>4</v>
      </c>
      <c r="K79" s="52" t="s">
        <v>196</v>
      </c>
      <c r="L79" t="s">
        <v>168</v>
      </c>
    </row>
    <row r="80" spans="1:12" x14ac:dyDescent="0.25">
      <c r="A80" s="1" t="s">
        <v>98</v>
      </c>
      <c r="B80" s="1" t="s">
        <v>59</v>
      </c>
      <c r="C80" s="6">
        <v>55</v>
      </c>
      <c r="D80" s="33">
        <v>69</v>
      </c>
      <c r="E80" s="34">
        <v>70</v>
      </c>
      <c r="F80" s="36">
        <v>85</v>
      </c>
      <c r="G80" s="36">
        <v>86</v>
      </c>
      <c r="H80" s="62" t="s">
        <v>190</v>
      </c>
      <c r="I80" s="62" t="s">
        <v>168</v>
      </c>
      <c r="J80" s="35">
        <v>7</v>
      </c>
      <c r="K80" s="52" t="s">
        <v>196</v>
      </c>
      <c r="L80" t="s">
        <v>168</v>
      </c>
    </row>
    <row r="81" spans="1:12" x14ac:dyDescent="0.25">
      <c r="A81" s="1" t="s">
        <v>98</v>
      </c>
      <c r="B81" s="1" t="s">
        <v>85</v>
      </c>
      <c r="C81" s="6">
        <v>55</v>
      </c>
      <c r="D81" s="33">
        <v>80</v>
      </c>
      <c r="E81" s="34">
        <v>83</v>
      </c>
      <c r="F81" s="62" t="s">
        <v>168</v>
      </c>
      <c r="G81" s="62" t="s">
        <v>168</v>
      </c>
      <c r="H81" s="62" t="s">
        <v>168</v>
      </c>
      <c r="I81" s="62" t="s">
        <v>168</v>
      </c>
      <c r="J81" s="35">
        <v>4</v>
      </c>
      <c r="K81" s="52" t="s">
        <v>196</v>
      </c>
      <c r="L81" t="s">
        <v>168</v>
      </c>
    </row>
    <row r="82" spans="1:12" x14ac:dyDescent="0.25">
      <c r="A82" s="1" t="s">
        <v>98</v>
      </c>
      <c r="B82" s="1" t="s">
        <v>76</v>
      </c>
      <c r="C82" s="6">
        <v>43</v>
      </c>
      <c r="D82" s="33">
        <v>55</v>
      </c>
      <c r="E82" s="34">
        <v>58</v>
      </c>
      <c r="F82" s="36">
        <v>69</v>
      </c>
      <c r="G82" s="36">
        <v>70</v>
      </c>
      <c r="H82" s="36">
        <v>77</v>
      </c>
      <c r="I82" s="36">
        <v>84</v>
      </c>
      <c r="J82" s="35">
        <v>12</v>
      </c>
      <c r="K82" s="52" t="s">
        <v>196</v>
      </c>
      <c r="L82" t="s">
        <v>168</v>
      </c>
    </row>
    <row r="83" spans="1:12" x14ac:dyDescent="0.25">
      <c r="A83" s="1" t="s">
        <v>98</v>
      </c>
      <c r="B83" s="1" t="s">
        <v>60</v>
      </c>
      <c r="C83" s="6">
        <v>50</v>
      </c>
      <c r="D83" s="33">
        <v>69</v>
      </c>
      <c r="E83" s="34">
        <v>72</v>
      </c>
      <c r="F83" s="62" t="s">
        <v>168</v>
      </c>
      <c r="G83" s="62" t="s">
        <v>168</v>
      </c>
      <c r="H83" s="62" t="s">
        <v>168</v>
      </c>
      <c r="I83" s="62" t="s">
        <v>168</v>
      </c>
      <c r="J83" s="35">
        <v>4</v>
      </c>
      <c r="K83" s="52" t="s">
        <v>196</v>
      </c>
      <c r="L83" t="s">
        <v>168</v>
      </c>
    </row>
    <row r="84" spans="1:12" x14ac:dyDescent="0.25">
      <c r="A84" s="1" t="s">
        <v>98</v>
      </c>
      <c r="B84" s="1" t="s">
        <v>96</v>
      </c>
      <c r="C84" s="6">
        <v>36</v>
      </c>
      <c r="D84" s="33">
        <v>52</v>
      </c>
      <c r="E84" s="34">
        <v>55</v>
      </c>
      <c r="F84" s="36">
        <v>66</v>
      </c>
      <c r="G84" s="36">
        <v>66</v>
      </c>
      <c r="H84" s="36">
        <v>67</v>
      </c>
      <c r="I84" s="36">
        <v>67</v>
      </c>
      <c r="J84" s="35">
        <v>16</v>
      </c>
      <c r="K84" s="52" t="s">
        <v>196</v>
      </c>
      <c r="L84" t="s">
        <v>168</v>
      </c>
    </row>
    <row r="85" spans="1:12" x14ac:dyDescent="0.25">
      <c r="A85" s="1" t="s">
        <v>98</v>
      </c>
      <c r="B85" s="1" t="s">
        <v>61</v>
      </c>
      <c r="C85" s="86">
        <v>31</v>
      </c>
      <c r="D85" s="33">
        <v>43</v>
      </c>
      <c r="E85" s="34">
        <v>43</v>
      </c>
      <c r="F85" s="36">
        <v>55</v>
      </c>
      <c r="G85" s="36">
        <v>55</v>
      </c>
      <c r="H85" s="36">
        <v>55</v>
      </c>
      <c r="I85" s="36">
        <v>56</v>
      </c>
      <c r="J85" s="35">
        <v>36</v>
      </c>
      <c r="K85" s="52" t="s">
        <v>196</v>
      </c>
      <c r="L85" t="s">
        <v>168</v>
      </c>
    </row>
    <row r="86" spans="1:12" x14ac:dyDescent="0.25">
      <c r="A86" s="1" t="s">
        <v>98</v>
      </c>
      <c r="B86" s="1" t="s">
        <v>86</v>
      </c>
      <c r="C86" s="6">
        <v>44</v>
      </c>
      <c r="D86" s="33">
        <v>59</v>
      </c>
      <c r="E86" s="34">
        <v>59</v>
      </c>
      <c r="F86" s="36">
        <v>71</v>
      </c>
      <c r="G86" s="36">
        <v>71</v>
      </c>
      <c r="H86" s="36">
        <v>72</v>
      </c>
      <c r="I86" s="36">
        <v>73</v>
      </c>
      <c r="J86" s="35">
        <v>16</v>
      </c>
      <c r="K86" s="52" t="s">
        <v>196</v>
      </c>
      <c r="L86" t="s">
        <v>168</v>
      </c>
    </row>
    <row r="87" spans="1:12" x14ac:dyDescent="0.25">
      <c r="A87" s="1" t="s">
        <v>98</v>
      </c>
      <c r="B87" s="1" t="s">
        <v>77</v>
      </c>
      <c r="C87" s="6">
        <v>46</v>
      </c>
      <c r="D87" s="33">
        <v>69</v>
      </c>
      <c r="E87" s="34">
        <v>70</v>
      </c>
      <c r="F87" s="36">
        <v>94</v>
      </c>
      <c r="G87" s="62" t="s">
        <v>168</v>
      </c>
      <c r="H87" s="62" t="s">
        <v>168</v>
      </c>
      <c r="I87" s="62" t="s">
        <v>168</v>
      </c>
      <c r="J87" s="35">
        <v>5</v>
      </c>
      <c r="K87" s="52" t="s">
        <v>196</v>
      </c>
      <c r="L87" t="s">
        <v>168</v>
      </c>
    </row>
    <row r="88" spans="1:12" x14ac:dyDescent="0.25">
      <c r="A88" s="1" t="s">
        <v>98</v>
      </c>
      <c r="B88" s="1" t="s">
        <v>35</v>
      </c>
      <c r="C88" s="6">
        <v>28</v>
      </c>
      <c r="D88" s="33">
        <v>44</v>
      </c>
      <c r="E88" s="34">
        <v>45</v>
      </c>
      <c r="F88" s="36">
        <v>58</v>
      </c>
      <c r="G88" s="36">
        <v>59</v>
      </c>
      <c r="H88" s="36">
        <v>60</v>
      </c>
      <c r="I88" s="36">
        <v>62</v>
      </c>
      <c r="J88" s="35">
        <v>27</v>
      </c>
      <c r="K88" s="52" t="s">
        <v>196</v>
      </c>
      <c r="L88" t="s">
        <v>168</v>
      </c>
    </row>
    <row r="89" spans="1:12" x14ac:dyDescent="0.25">
      <c r="A89" s="1" t="s">
        <v>98</v>
      </c>
      <c r="B89" s="1" t="s">
        <v>62</v>
      </c>
      <c r="C89" s="6">
        <v>45</v>
      </c>
      <c r="D89" s="33">
        <v>61</v>
      </c>
      <c r="E89" s="34">
        <v>63</v>
      </c>
      <c r="F89" s="36">
        <v>82</v>
      </c>
      <c r="G89" s="36">
        <v>94</v>
      </c>
      <c r="H89" s="36">
        <v>94</v>
      </c>
      <c r="I89" s="62" t="s">
        <v>168</v>
      </c>
      <c r="J89" s="35">
        <v>7</v>
      </c>
      <c r="K89" s="52" t="s">
        <v>196</v>
      </c>
      <c r="L89" t="s">
        <v>168</v>
      </c>
    </row>
    <row r="90" spans="1:12" x14ac:dyDescent="0.25">
      <c r="A90" s="1" t="s">
        <v>98</v>
      </c>
      <c r="B90" s="1" t="s">
        <v>91</v>
      </c>
      <c r="C90" s="6">
        <v>35</v>
      </c>
      <c r="D90" s="33">
        <v>50</v>
      </c>
      <c r="E90" s="34">
        <v>50</v>
      </c>
      <c r="F90" s="36">
        <v>61</v>
      </c>
      <c r="G90" s="36">
        <v>62</v>
      </c>
      <c r="H90" s="36">
        <v>66</v>
      </c>
      <c r="I90" s="36">
        <v>67</v>
      </c>
      <c r="J90" s="35">
        <v>31</v>
      </c>
      <c r="K90" s="52" t="s">
        <v>196</v>
      </c>
      <c r="L90" t="s">
        <v>168</v>
      </c>
    </row>
    <row r="91" spans="1:12" x14ac:dyDescent="0.25">
      <c r="A91" s="1" t="s">
        <v>98</v>
      </c>
      <c r="B91" s="1" t="s">
        <v>36</v>
      </c>
      <c r="C91" s="6">
        <v>41</v>
      </c>
      <c r="D91" s="33">
        <v>58</v>
      </c>
      <c r="E91" s="34">
        <v>58</v>
      </c>
      <c r="F91" s="36">
        <v>71</v>
      </c>
      <c r="G91" s="36">
        <v>72</v>
      </c>
      <c r="H91" s="36">
        <v>72</v>
      </c>
      <c r="I91" s="36">
        <v>75</v>
      </c>
      <c r="J91" s="35">
        <v>16</v>
      </c>
      <c r="K91" s="52" t="s">
        <v>196</v>
      </c>
      <c r="L91" t="s">
        <v>168</v>
      </c>
    </row>
    <row r="92" spans="1:12" x14ac:dyDescent="0.25">
      <c r="A92" s="1" t="s">
        <v>98</v>
      </c>
      <c r="B92" s="1" t="s">
        <v>63</v>
      </c>
      <c r="C92" s="6">
        <v>36</v>
      </c>
      <c r="D92" s="33">
        <v>48</v>
      </c>
      <c r="E92" s="34">
        <v>50</v>
      </c>
      <c r="F92" s="36">
        <v>66</v>
      </c>
      <c r="G92" s="36">
        <v>66</v>
      </c>
      <c r="H92" s="36">
        <v>66</v>
      </c>
      <c r="I92" s="36" t="s">
        <v>168</v>
      </c>
      <c r="J92" s="35">
        <v>15</v>
      </c>
      <c r="K92" s="52" t="s">
        <v>196</v>
      </c>
      <c r="L92" t="s">
        <v>168</v>
      </c>
    </row>
    <row r="93" spans="1:12" x14ac:dyDescent="0.25">
      <c r="A93" s="1" t="s">
        <v>98</v>
      </c>
      <c r="B93" s="1" t="s">
        <v>78</v>
      </c>
      <c r="C93" s="6">
        <v>38</v>
      </c>
      <c r="D93" s="33">
        <v>52</v>
      </c>
      <c r="E93" s="34">
        <v>52</v>
      </c>
      <c r="F93" s="36">
        <v>66</v>
      </c>
      <c r="G93" s="36">
        <v>67</v>
      </c>
      <c r="H93" s="36">
        <v>67</v>
      </c>
      <c r="I93" s="36">
        <v>68</v>
      </c>
      <c r="J93" s="35">
        <v>16</v>
      </c>
      <c r="K93" s="52" t="s">
        <v>196</v>
      </c>
      <c r="L93" t="s">
        <v>168</v>
      </c>
    </row>
    <row r="94" spans="1:12" x14ac:dyDescent="0.25">
      <c r="A94" s="1" t="s">
        <v>98</v>
      </c>
      <c r="B94" s="1" t="s">
        <v>37</v>
      </c>
      <c r="C94" s="6">
        <v>32</v>
      </c>
      <c r="D94" s="33">
        <v>43</v>
      </c>
      <c r="E94" s="34">
        <v>44</v>
      </c>
      <c r="F94" s="36">
        <v>55</v>
      </c>
      <c r="G94" s="36">
        <v>55</v>
      </c>
      <c r="H94" s="36">
        <v>55</v>
      </c>
      <c r="I94" s="36">
        <v>66</v>
      </c>
      <c r="J94" s="64">
        <v>36</v>
      </c>
      <c r="K94" s="52" t="s">
        <v>196</v>
      </c>
      <c r="L94" t="s">
        <v>168</v>
      </c>
    </row>
    <row r="95" spans="1:12" x14ac:dyDescent="0.25">
      <c r="A95" s="1" t="s">
        <v>98</v>
      </c>
      <c r="B95" s="1" t="s">
        <v>64</v>
      </c>
      <c r="C95" s="6">
        <v>38</v>
      </c>
      <c r="D95" s="33">
        <v>55</v>
      </c>
      <c r="E95" s="34">
        <v>55</v>
      </c>
      <c r="F95" s="36">
        <v>66</v>
      </c>
      <c r="G95" s="36">
        <v>66</v>
      </c>
      <c r="H95" s="36">
        <v>68</v>
      </c>
      <c r="I95" s="36">
        <v>68</v>
      </c>
      <c r="J95" s="35">
        <v>18</v>
      </c>
      <c r="K95" s="52" t="s">
        <v>196</v>
      </c>
      <c r="L95" t="s">
        <v>168</v>
      </c>
    </row>
    <row r="96" spans="1:12" x14ac:dyDescent="0.25">
      <c r="A96" s="1" t="s">
        <v>98</v>
      </c>
      <c r="B96" s="1" t="s">
        <v>38</v>
      </c>
      <c r="C96" s="6">
        <v>37</v>
      </c>
      <c r="D96" s="33">
        <v>51</v>
      </c>
      <c r="E96" s="34">
        <v>52</v>
      </c>
      <c r="F96" s="36">
        <v>64</v>
      </c>
      <c r="G96" s="36">
        <v>64</v>
      </c>
      <c r="H96" s="36">
        <v>66</v>
      </c>
      <c r="I96" s="36">
        <v>66</v>
      </c>
      <c r="J96" s="35">
        <v>23</v>
      </c>
      <c r="K96" s="52" t="s">
        <v>196</v>
      </c>
      <c r="L96" t="s">
        <v>168</v>
      </c>
    </row>
    <row r="97" spans="1:12" x14ac:dyDescent="0.25">
      <c r="A97" s="1" t="s">
        <v>98</v>
      </c>
      <c r="B97" s="1" t="s">
        <v>39</v>
      </c>
      <c r="C97" s="6">
        <v>34</v>
      </c>
      <c r="D97" s="33">
        <v>47</v>
      </c>
      <c r="E97" s="34">
        <v>47</v>
      </c>
      <c r="F97" s="36">
        <v>59</v>
      </c>
      <c r="G97" s="36">
        <v>59</v>
      </c>
      <c r="H97" s="36">
        <v>62</v>
      </c>
      <c r="I97" s="36">
        <v>62</v>
      </c>
      <c r="J97" s="35">
        <v>22</v>
      </c>
      <c r="K97" s="52" t="s">
        <v>196</v>
      </c>
      <c r="L97" t="s">
        <v>168</v>
      </c>
    </row>
    <row r="98" spans="1:12" x14ac:dyDescent="0.25">
      <c r="A98" s="1" t="s">
        <v>98</v>
      </c>
      <c r="B98" s="1" t="s">
        <v>87</v>
      </c>
      <c r="C98" s="6">
        <v>37</v>
      </c>
      <c r="D98" s="33">
        <v>52</v>
      </c>
      <c r="E98" s="34">
        <v>55</v>
      </c>
      <c r="F98" s="36">
        <v>66</v>
      </c>
      <c r="G98" s="36">
        <v>66</v>
      </c>
      <c r="H98" s="36">
        <v>71</v>
      </c>
      <c r="I98" s="36">
        <v>71</v>
      </c>
      <c r="J98" s="35">
        <v>16</v>
      </c>
      <c r="K98" s="52" t="s">
        <v>196</v>
      </c>
      <c r="L98" t="s">
        <v>168</v>
      </c>
    </row>
    <row r="99" spans="1:12" x14ac:dyDescent="0.25">
      <c r="A99" s="1" t="s">
        <v>98</v>
      </c>
      <c r="B99" s="1" t="s">
        <v>65</v>
      </c>
      <c r="C99" s="6">
        <v>44</v>
      </c>
      <c r="D99" s="33">
        <v>64</v>
      </c>
      <c r="E99" s="34">
        <v>64</v>
      </c>
      <c r="F99" s="36">
        <v>78</v>
      </c>
      <c r="G99" s="36">
        <v>78</v>
      </c>
      <c r="H99" s="36">
        <v>78</v>
      </c>
      <c r="I99" s="36">
        <v>81</v>
      </c>
      <c r="J99" s="35">
        <v>11</v>
      </c>
      <c r="K99" s="52" t="s">
        <v>196</v>
      </c>
      <c r="L99" t="s">
        <v>168</v>
      </c>
    </row>
    <row r="100" spans="1:12" x14ac:dyDescent="0.25">
      <c r="A100" s="1" t="s">
        <v>98</v>
      </c>
      <c r="B100" s="1" t="s">
        <v>79</v>
      </c>
      <c r="C100" s="6" t="s">
        <v>168</v>
      </c>
      <c r="D100" s="33" t="s">
        <v>168</v>
      </c>
      <c r="E100" s="34" t="s">
        <v>168</v>
      </c>
      <c r="F100" s="62" t="s">
        <v>168</v>
      </c>
      <c r="G100" s="62" t="s">
        <v>168</v>
      </c>
      <c r="H100" s="62" t="s">
        <v>168</v>
      </c>
      <c r="I100" s="62" t="s">
        <v>168</v>
      </c>
      <c r="J100" s="35">
        <v>8</v>
      </c>
      <c r="K100" s="52" t="s">
        <v>196</v>
      </c>
      <c r="L100" t="s">
        <v>168</v>
      </c>
    </row>
    <row r="101" spans="1:12" x14ac:dyDescent="0.25">
      <c r="A101" s="1" t="s">
        <v>98</v>
      </c>
      <c r="B101" s="1" t="s">
        <v>66</v>
      </c>
      <c r="C101" s="6">
        <v>43</v>
      </c>
      <c r="D101" s="33">
        <v>59</v>
      </c>
      <c r="E101" s="34">
        <v>59</v>
      </c>
      <c r="F101" s="36">
        <v>72</v>
      </c>
      <c r="G101" s="36">
        <v>72</v>
      </c>
      <c r="H101" s="36">
        <v>72</v>
      </c>
      <c r="I101" s="36">
        <v>73</v>
      </c>
      <c r="J101" s="35">
        <v>13</v>
      </c>
      <c r="K101" s="52" t="s">
        <v>196</v>
      </c>
      <c r="L101" t="s">
        <v>168</v>
      </c>
    </row>
    <row r="102" spans="1:12" x14ac:dyDescent="0.25">
      <c r="A102" s="1" t="s">
        <v>98</v>
      </c>
      <c r="B102" s="1" t="s">
        <v>92</v>
      </c>
      <c r="C102" s="6">
        <v>44</v>
      </c>
      <c r="D102" s="33">
        <v>58</v>
      </c>
      <c r="E102" s="34">
        <v>59</v>
      </c>
      <c r="F102" s="36">
        <v>72</v>
      </c>
      <c r="G102" s="36">
        <v>72</v>
      </c>
      <c r="H102" s="36">
        <v>72</v>
      </c>
      <c r="I102" s="36">
        <v>75</v>
      </c>
      <c r="J102" s="35">
        <v>16</v>
      </c>
      <c r="K102" s="52" t="s">
        <v>196</v>
      </c>
      <c r="L102" t="s">
        <v>168</v>
      </c>
    </row>
    <row r="103" spans="1:12" x14ac:dyDescent="0.25">
      <c r="A103" s="1" t="s">
        <v>98</v>
      </c>
      <c r="B103" s="1" t="s">
        <v>67</v>
      </c>
      <c r="C103" s="6">
        <v>40</v>
      </c>
      <c r="D103" s="33">
        <v>55</v>
      </c>
      <c r="E103" s="34">
        <v>55</v>
      </c>
      <c r="F103" s="36">
        <v>68</v>
      </c>
      <c r="G103" s="36">
        <v>68</v>
      </c>
      <c r="H103" s="36">
        <v>69</v>
      </c>
      <c r="I103" s="36">
        <v>70</v>
      </c>
      <c r="J103" s="35">
        <v>16</v>
      </c>
      <c r="K103" s="52" t="s">
        <v>196</v>
      </c>
      <c r="L103" t="s">
        <v>168</v>
      </c>
    </row>
    <row r="104" spans="1:12" x14ac:dyDescent="0.25">
      <c r="A104" s="1" t="s">
        <v>98</v>
      </c>
      <c r="B104" s="1" t="s">
        <v>68</v>
      </c>
      <c r="C104" s="6">
        <v>47</v>
      </c>
      <c r="D104" s="33">
        <v>67</v>
      </c>
      <c r="E104" s="34">
        <v>68</v>
      </c>
      <c r="F104" s="62" t="s">
        <v>168</v>
      </c>
      <c r="G104" s="62" t="s">
        <v>168</v>
      </c>
      <c r="H104" s="62" t="s">
        <v>168</v>
      </c>
      <c r="I104" s="62" t="s">
        <v>168</v>
      </c>
      <c r="J104" s="35">
        <v>4</v>
      </c>
      <c r="K104" s="52" t="s">
        <v>196</v>
      </c>
      <c r="L104" t="s">
        <v>168</v>
      </c>
    </row>
    <row r="105" spans="1:12" x14ac:dyDescent="0.25">
      <c r="A105" s="1" t="s">
        <v>98</v>
      </c>
      <c r="B105" s="1" t="s">
        <v>40</v>
      </c>
      <c r="C105" s="6">
        <v>40</v>
      </c>
      <c r="D105" s="33">
        <v>57</v>
      </c>
      <c r="E105" s="34">
        <v>60</v>
      </c>
      <c r="F105" s="36">
        <v>92</v>
      </c>
      <c r="G105" s="62" t="s">
        <v>168</v>
      </c>
      <c r="H105" s="62" t="s">
        <v>168</v>
      </c>
      <c r="I105" s="62" t="s">
        <v>168</v>
      </c>
      <c r="J105" s="35">
        <v>5</v>
      </c>
      <c r="K105" s="52" t="s">
        <v>196</v>
      </c>
      <c r="L105" t="s">
        <v>168</v>
      </c>
    </row>
    <row r="106" spans="1:12" x14ac:dyDescent="0.25">
      <c r="A106" s="1" t="s">
        <v>98</v>
      </c>
      <c r="B106" s="1" t="s">
        <v>69</v>
      </c>
      <c r="C106" s="6">
        <v>43</v>
      </c>
      <c r="D106" s="33">
        <v>60</v>
      </c>
      <c r="E106" s="34">
        <v>61</v>
      </c>
      <c r="F106" s="36">
        <v>72</v>
      </c>
      <c r="G106" s="36">
        <v>73</v>
      </c>
      <c r="H106" s="36">
        <v>80</v>
      </c>
      <c r="I106" s="36">
        <v>81</v>
      </c>
      <c r="J106" s="35">
        <v>13</v>
      </c>
      <c r="K106" s="52" t="s">
        <v>196</v>
      </c>
      <c r="L106" t="s">
        <v>168</v>
      </c>
    </row>
    <row r="107" spans="1:12" x14ac:dyDescent="0.25">
      <c r="A107" s="1" t="s">
        <v>98</v>
      </c>
      <c r="B107" s="1" t="s">
        <v>41</v>
      </c>
      <c r="C107" s="6">
        <v>26</v>
      </c>
      <c r="D107" s="33">
        <v>43</v>
      </c>
      <c r="E107" s="34">
        <v>45</v>
      </c>
      <c r="F107" s="36">
        <v>55</v>
      </c>
      <c r="G107" s="36">
        <v>56</v>
      </c>
      <c r="H107" s="36">
        <v>58</v>
      </c>
      <c r="I107" s="36">
        <v>59</v>
      </c>
      <c r="J107" s="35">
        <v>39</v>
      </c>
      <c r="K107" s="52" t="s">
        <v>196</v>
      </c>
      <c r="L107" t="s">
        <v>168</v>
      </c>
    </row>
    <row r="108" spans="1:12" x14ac:dyDescent="0.25">
      <c r="A108" s="1" t="s">
        <v>98</v>
      </c>
      <c r="B108" s="1" t="s">
        <v>42</v>
      </c>
      <c r="C108" s="6">
        <v>31</v>
      </c>
      <c r="D108" s="33">
        <v>46</v>
      </c>
      <c r="E108" s="34">
        <v>56</v>
      </c>
      <c r="F108" s="36">
        <v>58</v>
      </c>
      <c r="G108" s="36">
        <v>58</v>
      </c>
      <c r="H108" s="36">
        <v>60</v>
      </c>
      <c r="I108" s="36">
        <v>60</v>
      </c>
      <c r="J108" s="35">
        <v>15</v>
      </c>
      <c r="K108" s="52" t="s">
        <v>196</v>
      </c>
      <c r="L108" t="s">
        <v>168</v>
      </c>
    </row>
    <row r="109" spans="1:12" x14ac:dyDescent="0.25">
      <c r="A109" s="1" t="s">
        <v>98</v>
      </c>
      <c r="B109" s="1" t="s">
        <v>43</v>
      </c>
      <c r="C109" s="6">
        <v>44</v>
      </c>
      <c r="D109" s="33">
        <v>61</v>
      </c>
      <c r="E109" s="34">
        <v>63</v>
      </c>
      <c r="F109" s="36">
        <v>77</v>
      </c>
      <c r="G109" s="36">
        <v>81</v>
      </c>
      <c r="H109" s="36">
        <v>82</v>
      </c>
      <c r="I109" s="36">
        <v>90</v>
      </c>
      <c r="J109" s="35">
        <v>9</v>
      </c>
      <c r="K109" s="52" t="s">
        <v>196</v>
      </c>
      <c r="L109" t="s">
        <v>168</v>
      </c>
    </row>
    <row r="110" spans="1:12" x14ac:dyDescent="0.25">
      <c r="A110" s="1" t="s">
        <v>98</v>
      </c>
      <c r="B110" s="1" t="s">
        <v>70</v>
      </c>
      <c r="C110" s="6">
        <v>31</v>
      </c>
      <c r="D110" s="33">
        <v>52</v>
      </c>
      <c r="E110" s="34">
        <v>52</v>
      </c>
      <c r="F110" s="36">
        <v>63</v>
      </c>
      <c r="G110" s="36">
        <v>63</v>
      </c>
      <c r="H110" s="36">
        <v>66</v>
      </c>
      <c r="I110" s="36">
        <v>70</v>
      </c>
      <c r="J110" s="35">
        <v>24</v>
      </c>
      <c r="K110" s="52" t="s">
        <v>196</v>
      </c>
      <c r="L110" t="s">
        <v>168</v>
      </c>
    </row>
    <row r="111" spans="1:12" x14ac:dyDescent="0.25">
      <c r="A111" s="1" t="s">
        <v>98</v>
      </c>
      <c r="B111" s="1" t="s">
        <v>44</v>
      </c>
      <c r="C111" s="6">
        <v>50</v>
      </c>
      <c r="D111" s="33">
        <v>66</v>
      </c>
      <c r="E111" s="34">
        <v>66</v>
      </c>
      <c r="F111" s="36">
        <v>79</v>
      </c>
      <c r="G111" s="36">
        <v>80</v>
      </c>
      <c r="H111" s="36">
        <v>81</v>
      </c>
      <c r="I111" s="36">
        <v>82</v>
      </c>
      <c r="J111" s="35">
        <v>10</v>
      </c>
      <c r="K111" s="52" t="s">
        <v>196</v>
      </c>
      <c r="L111" t="s">
        <v>168</v>
      </c>
    </row>
    <row r="112" spans="1:12" x14ac:dyDescent="0.25">
      <c r="A112" s="1" t="s">
        <v>98</v>
      </c>
      <c r="B112" s="1" t="s">
        <v>80</v>
      </c>
      <c r="C112" s="6">
        <v>44</v>
      </c>
      <c r="D112" s="33">
        <v>62</v>
      </c>
      <c r="E112" s="34">
        <v>63</v>
      </c>
      <c r="F112" s="36">
        <v>77</v>
      </c>
      <c r="G112" s="36">
        <v>77</v>
      </c>
      <c r="H112" s="36">
        <v>78</v>
      </c>
      <c r="I112" s="36">
        <v>79</v>
      </c>
      <c r="J112" s="35">
        <v>12</v>
      </c>
      <c r="K112" s="52" t="s">
        <v>196</v>
      </c>
      <c r="L112" t="s">
        <v>168</v>
      </c>
    </row>
    <row r="113" spans="1:12" x14ac:dyDescent="0.25">
      <c r="A113" s="1" t="s">
        <v>98</v>
      </c>
      <c r="B113" s="1" t="s">
        <v>99</v>
      </c>
      <c r="C113" s="6">
        <v>38</v>
      </c>
      <c r="D113" s="33">
        <v>55</v>
      </c>
      <c r="E113" s="34">
        <v>56</v>
      </c>
      <c r="F113" s="36">
        <v>69</v>
      </c>
      <c r="G113" s="36">
        <v>69</v>
      </c>
      <c r="H113" s="36">
        <v>70</v>
      </c>
      <c r="I113" s="36">
        <v>70</v>
      </c>
      <c r="J113" s="35">
        <v>14</v>
      </c>
      <c r="K113" s="52" t="s">
        <v>196</v>
      </c>
      <c r="L113" t="s">
        <v>168</v>
      </c>
    </row>
    <row r="114" spans="1:12" x14ac:dyDescent="0.25">
      <c r="A114" s="1" t="s">
        <v>98</v>
      </c>
      <c r="B114" s="1" t="s">
        <v>169</v>
      </c>
      <c r="C114" s="6" t="s">
        <v>168</v>
      </c>
      <c r="D114" s="33" t="s">
        <v>168</v>
      </c>
      <c r="E114" s="34" t="s">
        <v>168</v>
      </c>
      <c r="F114" s="36">
        <v>63</v>
      </c>
      <c r="G114" s="36">
        <v>64</v>
      </c>
      <c r="H114" s="36">
        <v>68</v>
      </c>
      <c r="I114" s="36">
        <v>71</v>
      </c>
      <c r="J114" s="35">
        <v>9</v>
      </c>
      <c r="K114" s="52" t="s">
        <v>196</v>
      </c>
      <c r="L114" t="s">
        <v>168</v>
      </c>
    </row>
    <row r="115" spans="1:12" x14ac:dyDescent="0.25">
      <c r="A115" s="1" t="s">
        <v>98</v>
      </c>
      <c r="B115" s="1" t="s">
        <v>97</v>
      </c>
      <c r="C115" s="6">
        <v>64</v>
      </c>
      <c r="D115" s="33">
        <v>79</v>
      </c>
      <c r="E115" s="34">
        <v>80</v>
      </c>
      <c r="F115" s="36">
        <v>96</v>
      </c>
      <c r="G115" s="36">
        <v>96</v>
      </c>
      <c r="H115" s="36">
        <v>96</v>
      </c>
      <c r="I115" s="62" t="s">
        <v>168</v>
      </c>
      <c r="J115" s="35">
        <v>7</v>
      </c>
      <c r="K115" s="52" t="s">
        <v>196</v>
      </c>
      <c r="L115" t="s">
        <v>168</v>
      </c>
    </row>
    <row r="116" spans="1:12" x14ac:dyDescent="0.25">
      <c r="A116" s="1" t="s">
        <v>98</v>
      </c>
      <c r="B116" s="1" t="s">
        <v>71</v>
      </c>
      <c r="C116" s="6">
        <v>41</v>
      </c>
      <c r="D116" s="33">
        <v>59</v>
      </c>
      <c r="E116" s="34">
        <v>61</v>
      </c>
      <c r="F116" s="36">
        <v>74</v>
      </c>
      <c r="G116" s="36">
        <v>75</v>
      </c>
      <c r="H116" s="36">
        <v>75</v>
      </c>
      <c r="I116" s="36">
        <v>77</v>
      </c>
      <c r="J116" s="35">
        <v>14</v>
      </c>
      <c r="K116" s="52" t="s">
        <v>196</v>
      </c>
      <c r="L116" t="s">
        <v>168</v>
      </c>
    </row>
    <row r="117" spans="1:12" x14ac:dyDescent="0.25">
      <c r="A117" s="1" t="s">
        <v>98</v>
      </c>
      <c r="B117" s="1" t="s">
        <v>45</v>
      </c>
      <c r="C117" s="6">
        <v>40</v>
      </c>
      <c r="D117" s="33">
        <v>58</v>
      </c>
      <c r="E117" s="34">
        <v>58</v>
      </c>
      <c r="F117" s="36">
        <v>71</v>
      </c>
      <c r="G117" s="36">
        <v>72</v>
      </c>
      <c r="H117" s="36">
        <v>72</v>
      </c>
      <c r="I117" s="36">
        <v>75</v>
      </c>
      <c r="J117" s="35">
        <v>15</v>
      </c>
      <c r="K117" s="52" t="s">
        <v>196</v>
      </c>
      <c r="L117" t="s">
        <v>168</v>
      </c>
    </row>
    <row r="118" spans="1:12" x14ac:dyDescent="0.25">
      <c r="A118" s="1" t="s">
        <v>98</v>
      </c>
      <c r="B118" s="1" t="s">
        <v>93</v>
      </c>
      <c r="C118" s="6">
        <v>45</v>
      </c>
      <c r="D118" s="33">
        <v>60</v>
      </c>
      <c r="E118" s="34">
        <v>71</v>
      </c>
      <c r="F118" s="36">
        <v>72</v>
      </c>
      <c r="G118" s="36">
        <v>73</v>
      </c>
      <c r="H118" s="36">
        <v>82</v>
      </c>
      <c r="I118" s="36">
        <v>85</v>
      </c>
      <c r="J118" s="35">
        <v>12</v>
      </c>
      <c r="K118" s="52" t="s">
        <v>196</v>
      </c>
      <c r="L118" t="s">
        <v>168</v>
      </c>
    </row>
    <row r="119" spans="1:12" x14ac:dyDescent="0.25">
      <c r="A119" s="1" t="s">
        <v>10</v>
      </c>
      <c r="B119" s="1" t="s">
        <v>12</v>
      </c>
      <c r="C119" s="6">
        <v>49</v>
      </c>
      <c r="D119" s="33">
        <v>67</v>
      </c>
      <c r="E119" s="34">
        <v>68</v>
      </c>
      <c r="F119" s="36">
        <v>83</v>
      </c>
      <c r="G119" s="36">
        <v>85</v>
      </c>
      <c r="H119" s="36">
        <v>86</v>
      </c>
      <c r="I119" s="36">
        <v>87</v>
      </c>
      <c r="J119" s="35">
        <v>8</v>
      </c>
      <c r="K119" s="52" t="s">
        <v>170</v>
      </c>
      <c r="L119" t="s">
        <v>168</v>
      </c>
    </row>
    <row r="120" spans="1:12" x14ac:dyDescent="0.25">
      <c r="A120" s="1" t="s">
        <v>10</v>
      </c>
      <c r="B120" s="1" t="s">
        <v>13</v>
      </c>
      <c r="C120" s="6">
        <v>67</v>
      </c>
      <c r="D120" s="33">
        <v>79</v>
      </c>
      <c r="E120" s="34">
        <v>79</v>
      </c>
      <c r="F120" s="36">
        <v>96</v>
      </c>
      <c r="G120" s="36">
        <v>96</v>
      </c>
      <c r="H120" s="36" t="s">
        <v>168</v>
      </c>
      <c r="I120" s="36" t="s">
        <v>168</v>
      </c>
      <c r="J120" s="35">
        <v>6</v>
      </c>
      <c r="K120" s="52" t="s">
        <v>170</v>
      </c>
      <c r="L120" t="s">
        <v>168</v>
      </c>
    </row>
    <row r="121" spans="1:12" x14ac:dyDescent="0.25">
      <c r="A121" s="1" t="s">
        <v>10</v>
      </c>
      <c r="B121" s="1" t="s">
        <v>81</v>
      </c>
      <c r="C121" s="6" t="s">
        <v>168</v>
      </c>
      <c r="D121" s="33" t="s">
        <v>168</v>
      </c>
      <c r="E121" s="34" t="s">
        <v>168</v>
      </c>
      <c r="F121" s="36" t="s">
        <v>168</v>
      </c>
      <c r="G121" s="36" t="s">
        <v>168</v>
      </c>
      <c r="H121" s="36" t="s">
        <v>168</v>
      </c>
      <c r="I121" s="36" t="s">
        <v>168</v>
      </c>
      <c r="J121" s="35">
        <v>20</v>
      </c>
      <c r="K121" s="52" t="s">
        <v>170</v>
      </c>
      <c r="L121" t="s">
        <v>168</v>
      </c>
    </row>
    <row r="122" spans="1:12" x14ac:dyDescent="0.25">
      <c r="A122" s="1" t="s">
        <v>10</v>
      </c>
      <c r="B122" s="1" t="s">
        <v>88</v>
      </c>
      <c r="C122" s="6">
        <v>52</v>
      </c>
      <c r="D122" s="33">
        <v>69</v>
      </c>
      <c r="E122" s="34">
        <v>69</v>
      </c>
      <c r="F122" s="36">
        <v>92</v>
      </c>
      <c r="G122" s="36">
        <v>104</v>
      </c>
      <c r="H122" s="36">
        <v>106</v>
      </c>
      <c r="I122" s="36">
        <v>111</v>
      </c>
      <c r="J122" s="35">
        <v>5</v>
      </c>
      <c r="K122" s="52" t="s">
        <v>170</v>
      </c>
      <c r="L122" t="s">
        <v>168</v>
      </c>
    </row>
    <row r="123" spans="1:12" x14ac:dyDescent="0.25">
      <c r="A123" s="1" t="s">
        <v>10</v>
      </c>
      <c r="B123" s="1" t="s">
        <v>16</v>
      </c>
      <c r="C123" s="6">
        <v>35</v>
      </c>
      <c r="D123" s="33">
        <v>47</v>
      </c>
      <c r="E123" s="34">
        <v>48</v>
      </c>
      <c r="F123" s="36">
        <v>58</v>
      </c>
      <c r="G123" s="36">
        <v>59</v>
      </c>
      <c r="H123" s="36">
        <v>59</v>
      </c>
      <c r="I123" s="36">
        <v>59</v>
      </c>
      <c r="J123" s="35">
        <v>22</v>
      </c>
      <c r="K123" s="52" t="s">
        <v>170</v>
      </c>
      <c r="L123" t="s">
        <v>168</v>
      </c>
    </row>
    <row r="124" spans="1:12" x14ac:dyDescent="0.25">
      <c r="A124" s="1" t="s">
        <v>10</v>
      </c>
      <c r="B124" s="1" t="s">
        <v>47</v>
      </c>
      <c r="C124" s="6" t="s">
        <v>168</v>
      </c>
      <c r="D124" s="33" t="s">
        <v>168</v>
      </c>
      <c r="E124" s="34" t="s">
        <v>168</v>
      </c>
      <c r="F124" s="32" t="s">
        <v>168</v>
      </c>
      <c r="G124" s="32" t="s">
        <v>168</v>
      </c>
      <c r="H124" s="32" t="s">
        <v>168</v>
      </c>
      <c r="I124" s="32" t="s">
        <v>168</v>
      </c>
      <c r="J124" s="35">
        <v>21</v>
      </c>
      <c r="K124" s="52" t="s">
        <v>170</v>
      </c>
      <c r="L124" t="s">
        <v>168</v>
      </c>
    </row>
    <row r="125" spans="1:12" x14ac:dyDescent="0.25">
      <c r="A125" s="1" t="s">
        <v>10</v>
      </c>
      <c r="B125" s="1" t="s">
        <v>49</v>
      </c>
      <c r="C125" s="6">
        <v>52</v>
      </c>
      <c r="D125" s="33">
        <v>63</v>
      </c>
      <c r="E125" s="34">
        <v>63</v>
      </c>
      <c r="F125" s="36">
        <v>80</v>
      </c>
      <c r="G125" s="36">
        <v>84</v>
      </c>
      <c r="H125" s="36">
        <v>86</v>
      </c>
      <c r="I125" s="36">
        <v>86</v>
      </c>
      <c r="J125" s="35">
        <v>8</v>
      </c>
      <c r="K125" s="52" t="s">
        <v>170</v>
      </c>
      <c r="L125" t="s">
        <v>168</v>
      </c>
    </row>
    <row r="126" spans="1:12" x14ac:dyDescent="0.25">
      <c r="A126" s="1" t="s">
        <v>10</v>
      </c>
      <c r="B126" s="1" t="s">
        <v>82</v>
      </c>
      <c r="C126" s="6">
        <v>53</v>
      </c>
      <c r="D126" s="33">
        <v>60</v>
      </c>
      <c r="E126" s="34">
        <v>63</v>
      </c>
      <c r="F126" s="36">
        <v>79</v>
      </c>
      <c r="G126" s="36">
        <v>79</v>
      </c>
      <c r="H126" s="36">
        <v>79</v>
      </c>
      <c r="I126" s="36">
        <v>79</v>
      </c>
      <c r="J126" s="35">
        <v>16</v>
      </c>
      <c r="K126" s="52" t="s">
        <v>170</v>
      </c>
      <c r="L126" t="s">
        <v>168</v>
      </c>
    </row>
    <row r="127" spans="1:12" x14ac:dyDescent="0.25">
      <c r="A127" s="1" t="s">
        <v>10</v>
      </c>
      <c r="B127" s="1" t="s">
        <v>20</v>
      </c>
      <c r="C127" s="6">
        <v>46</v>
      </c>
      <c r="D127" s="33">
        <v>67</v>
      </c>
      <c r="E127" s="34">
        <v>69</v>
      </c>
      <c r="F127" s="36">
        <v>81</v>
      </c>
      <c r="G127" s="36">
        <v>88</v>
      </c>
      <c r="H127" s="36">
        <v>90</v>
      </c>
      <c r="I127" s="36">
        <v>91</v>
      </c>
      <c r="J127" s="35">
        <v>8</v>
      </c>
      <c r="K127" s="52" t="s">
        <v>170</v>
      </c>
      <c r="L127" t="s">
        <v>168</v>
      </c>
    </row>
    <row r="128" spans="1:12" x14ac:dyDescent="0.25">
      <c r="A128" s="1" t="s">
        <v>10</v>
      </c>
      <c r="B128" s="1" t="s">
        <v>51</v>
      </c>
      <c r="C128" s="6">
        <v>60</v>
      </c>
      <c r="D128" s="33">
        <v>90</v>
      </c>
      <c r="E128" s="34">
        <v>90</v>
      </c>
      <c r="F128" s="36">
        <v>143</v>
      </c>
      <c r="G128" s="36">
        <v>143</v>
      </c>
      <c r="H128" s="36">
        <v>143</v>
      </c>
      <c r="I128" s="36">
        <v>143</v>
      </c>
      <c r="J128" s="35">
        <v>4</v>
      </c>
      <c r="K128" s="52" t="s">
        <v>170</v>
      </c>
      <c r="L128" t="s">
        <v>168</v>
      </c>
    </row>
    <row r="129" spans="1:12" x14ac:dyDescent="0.25">
      <c r="A129" s="1" t="s">
        <v>10</v>
      </c>
      <c r="B129" s="1" t="s">
        <v>21</v>
      </c>
      <c r="C129" s="6">
        <v>52</v>
      </c>
      <c r="D129" s="33">
        <v>67</v>
      </c>
      <c r="E129" s="34">
        <v>67</v>
      </c>
      <c r="F129" s="36">
        <v>77</v>
      </c>
      <c r="G129" s="36">
        <v>77</v>
      </c>
      <c r="H129" s="36">
        <v>79</v>
      </c>
      <c r="I129" s="36">
        <v>79</v>
      </c>
      <c r="J129" s="35">
        <v>16</v>
      </c>
      <c r="K129" s="52" t="s">
        <v>170</v>
      </c>
      <c r="L129" t="s">
        <v>168</v>
      </c>
    </row>
    <row r="130" spans="1:12" x14ac:dyDescent="0.25">
      <c r="A130" s="1" t="s">
        <v>10</v>
      </c>
      <c r="B130" s="1" t="s">
        <v>52</v>
      </c>
      <c r="C130" s="6">
        <v>62</v>
      </c>
      <c r="D130" s="33">
        <v>79</v>
      </c>
      <c r="E130" s="34">
        <v>80</v>
      </c>
      <c r="F130" s="36">
        <v>95</v>
      </c>
      <c r="G130" s="36">
        <v>95</v>
      </c>
      <c r="H130" s="36">
        <v>97</v>
      </c>
      <c r="I130" s="36">
        <v>101</v>
      </c>
      <c r="J130" s="35">
        <v>6</v>
      </c>
      <c r="K130" s="52" t="s">
        <v>170</v>
      </c>
      <c r="L130" t="s">
        <v>168</v>
      </c>
    </row>
    <row r="131" spans="1:12" x14ac:dyDescent="0.25">
      <c r="A131" s="1" t="s">
        <v>10</v>
      </c>
      <c r="B131" s="1" t="s">
        <v>22</v>
      </c>
      <c r="C131" s="6">
        <v>49</v>
      </c>
      <c r="D131" s="33">
        <v>70</v>
      </c>
      <c r="E131" s="34">
        <v>73</v>
      </c>
      <c r="F131" s="36">
        <v>94</v>
      </c>
      <c r="G131" s="36">
        <v>95</v>
      </c>
      <c r="H131" s="36">
        <v>100</v>
      </c>
      <c r="I131" s="36">
        <v>100</v>
      </c>
      <c r="J131" s="35">
        <v>6</v>
      </c>
      <c r="K131" s="52" t="s">
        <v>170</v>
      </c>
      <c r="L131" t="s">
        <v>168</v>
      </c>
    </row>
    <row r="132" spans="1:12" x14ac:dyDescent="0.25">
      <c r="A132" s="1" t="s">
        <v>10</v>
      </c>
      <c r="B132" s="1" t="s">
        <v>54</v>
      </c>
      <c r="C132" s="6">
        <v>56</v>
      </c>
      <c r="D132" s="33">
        <v>79</v>
      </c>
      <c r="E132" s="34">
        <v>79</v>
      </c>
      <c r="F132" s="36">
        <v>102</v>
      </c>
      <c r="G132" s="36">
        <v>102</v>
      </c>
      <c r="H132" s="36">
        <v>105</v>
      </c>
      <c r="I132" s="36">
        <v>109</v>
      </c>
      <c r="J132" s="35">
        <v>4</v>
      </c>
      <c r="K132" s="52" t="s">
        <v>170</v>
      </c>
      <c r="L132" t="s">
        <v>168</v>
      </c>
    </row>
    <row r="133" spans="1:12" x14ac:dyDescent="0.25">
      <c r="A133" s="1" t="s">
        <v>10</v>
      </c>
      <c r="B133" s="1" t="s">
        <v>24</v>
      </c>
      <c r="C133" s="6">
        <v>58</v>
      </c>
      <c r="D133" s="33" t="s">
        <v>168</v>
      </c>
      <c r="E133" s="34" t="s">
        <v>168</v>
      </c>
      <c r="F133" s="36">
        <v>102</v>
      </c>
      <c r="G133" s="36">
        <v>102</v>
      </c>
      <c r="H133" s="36">
        <v>104</v>
      </c>
      <c r="I133" s="36">
        <v>112</v>
      </c>
      <c r="J133" s="35">
        <v>6</v>
      </c>
      <c r="K133" s="52" t="s">
        <v>170</v>
      </c>
      <c r="L133" t="s">
        <v>168</v>
      </c>
    </row>
    <row r="134" spans="1:12" x14ac:dyDescent="0.25">
      <c r="A134" s="1" t="s">
        <v>10</v>
      </c>
      <c r="B134" s="1" t="s">
        <v>25</v>
      </c>
      <c r="C134" s="6">
        <v>42</v>
      </c>
      <c r="D134" s="33">
        <v>71</v>
      </c>
      <c r="E134" s="34">
        <v>71</v>
      </c>
      <c r="F134" s="36">
        <v>101</v>
      </c>
      <c r="G134" s="36">
        <v>101</v>
      </c>
      <c r="H134" s="36">
        <v>121</v>
      </c>
      <c r="I134" s="36">
        <v>121</v>
      </c>
      <c r="J134" s="35">
        <v>4</v>
      </c>
      <c r="K134" s="52" t="s">
        <v>170</v>
      </c>
      <c r="L134" t="s">
        <v>168</v>
      </c>
    </row>
    <row r="135" spans="1:12" x14ac:dyDescent="0.25">
      <c r="A135" s="1" t="s">
        <v>10</v>
      </c>
      <c r="B135" s="1" t="s">
        <v>26</v>
      </c>
      <c r="C135" s="6">
        <v>48</v>
      </c>
      <c r="D135" s="33">
        <v>67</v>
      </c>
      <c r="E135" s="34">
        <v>67</v>
      </c>
      <c r="F135" s="36">
        <v>92</v>
      </c>
      <c r="G135" s="36">
        <v>92</v>
      </c>
      <c r="H135" s="36">
        <v>96</v>
      </c>
      <c r="I135" s="36">
        <v>98</v>
      </c>
      <c r="J135" s="35">
        <v>7</v>
      </c>
      <c r="K135" s="52" t="s">
        <v>170</v>
      </c>
      <c r="L135" t="s">
        <v>168</v>
      </c>
    </row>
    <row r="136" spans="1:12" x14ac:dyDescent="0.25">
      <c r="A136" s="1" t="s">
        <v>10</v>
      </c>
      <c r="B136" s="1" t="s">
        <v>56</v>
      </c>
      <c r="C136" s="6">
        <v>53</v>
      </c>
      <c r="D136" s="33">
        <v>79</v>
      </c>
      <c r="E136" s="34">
        <v>79</v>
      </c>
      <c r="F136" s="36">
        <v>107</v>
      </c>
      <c r="G136" s="36">
        <v>107</v>
      </c>
      <c r="H136" s="36">
        <v>107</v>
      </c>
      <c r="I136" s="36">
        <v>107</v>
      </c>
      <c r="J136" s="35">
        <v>4</v>
      </c>
      <c r="K136" s="52" t="s">
        <v>170</v>
      </c>
      <c r="L136" t="s">
        <v>168</v>
      </c>
    </row>
    <row r="137" spans="1:12" x14ac:dyDescent="0.25">
      <c r="A137" s="1" t="s">
        <v>10</v>
      </c>
      <c r="B137" s="1" t="s">
        <v>30</v>
      </c>
      <c r="C137" s="6">
        <v>52</v>
      </c>
      <c r="D137" s="33">
        <v>73</v>
      </c>
      <c r="E137" s="34">
        <v>76</v>
      </c>
      <c r="F137" s="36">
        <v>90</v>
      </c>
      <c r="G137" s="36">
        <v>96</v>
      </c>
      <c r="H137" s="36">
        <v>100</v>
      </c>
      <c r="I137" s="36">
        <v>103</v>
      </c>
      <c r="J137" s="35">
        <v>6</v>
      </c>
      <c r="K137" s="52" t="s">
        <v>170</v>
      </c>
      <c r="L137" t="s">
        <v>168</v>
      </c>
    </row>
    <row r="138" spans="1:12" x14ac:dyDescent="0.25">
      <c r="A138" s="1" t="s">
        <v>10</v>
      </c>
      <c r="B138" s="1" t="s">
        <v>31</v>
      </c>
      <c r="C138" s="6">
        <v>45</v>
      </c>
      <c r="D138" s="33">
        <v>63</v>
      </c>
      <c r="E138" s="34">
        <v>64</v>
      </c>
      <c r="F138" s="36">
        <v>79</v>
      </c>
      <c r="G138" s="36">
        <v>79</v>
      </c>
      <c r="H138" s="36">
        <v>82</v>
      </c>
      <c r="I138" s="36">
        <v>85</v>
      </c>
      <c r="J138" s="35">
        <v>11</v>
      </c>
      <c r="K138" s="52" t="s">
        <v>170</v>
      </c>
      <c r="L138" t="s">
        <v>168</v>
      </c>
    </row>
    <row r="139" spans="1:12" x14ac:dyDescent="0.25">
      <c r="A139" s="1" t="s">
        <v>10</v>
      </c>
      <c r="B139" s="1" t="s">
        <v>33</v>
      </c>
      <c r="C139" s="6">
        <v>52</v>
      </c>
      <c r="D139" s="33">
        <v>69</v>
      </c>
      <c r="E139" s="34">
        <v>71</v>
      </c>
      <c r="F139" s="36">
        <v>87</v>
      </c>
      <c r="G139" s="36">
        <v>88</v>
      </c>
      <c r="H139" s="36">
        <v>95</v>
      </c>
      <c r="I139" s="36">
        <v>95</v>
      </c>
      <c r="J139" s="35">
        <v>8</v>
      </c>
      <c r="K139" s="52" t="s">
        <v>170</v>
      </c>
      <c r="L139" t="s">
        <v>168</v>
      </c>
    </row>
    <row r="140" spans="1:12" x14ac:dyDescent="0.25">
      <c r="A140" s="1" t="s">
        <v>10</v>
      </c>
      <c r="B140" s="1" t="s">
        <v>58</v>
      </c>
      <c r="C140" s="6">
        <v>52</v>
      </c>
      <c r="D140" s="33">
        <v>72</v>
      </c>
      <c r="E140" s="34">
        <v>73</v>
      </c>
      <c r="F140" s="36">
        <v>97</v>
      </c>
      <c r="G140" s="36">
        <v>100</v>
      </c>
      <c r="H140" s="36">
        <v>101</v>
      </c>
      <c r="I140" s="36">
        <v>101</v>
      </c>
      <c r="J140" s="35">
        <v>4</v>
      </c>
      <c r="K140" s="52" t="s">
        <v>170</v>
      </c>
      <c r="L140" t="s">
        <v>168</v>
      </c>
    </row>
    <row r="141" spans="1:12" x14ac:dyDescent="0.25">
      <c r="A141" s="1" t="s">
        <v>10</v>
      </c>
      <c r="B141" s="1" t="s">
        <v>84</v>
      </c>
      <c r="C141" s="6">
        <v>47</v>
      </c>
      <c r="D141" s="33">
        <v>72</v>
      </c>
      <c r="E141" s="34">
        <v>72</v>
      </c>
      <c r="F141" s="36">
        <v>83</v>
      </c>
      <c r="G141" s="36">
        <v>84</v>
      </c>
      <c r="H141" s="36">
        <v>85</v>
      </c>
      <c r="I141" s="36">
        <v>85</v>
      </c>
      <c r="J141" s="35">
        <v>8</v>
      </c>
      <c r="K141" s="52" t="s">
        <v>170</v>
      </c>
      <c r="L141" t="s">
        <v>168</v>
      </c>
    </row>
    <row r="142" spans="1:12" x14ac:dyDescent="0.25">
      <c r="A142" s="1" t="s">
        <v>10</v>
      </c>
      <c r="B142" s="1" t="s">
        <v>34</v>
      </c>
      <c r="C142" s="6">
        <v>38</v>
      </c>
      <c r="D142" s="33">
        <v>54</v>
      </c>
      <c r="E142" s="34">
        <v>56</v>
      </c>
      <c r="F142" s="36">
        <v>72</v>
      </c>
      <c r="G142" s="36">
        <v>72</v>
      </c>
      <c r="H142" s="36">
        <v>72</v>
      </c>
      <c r="I142" s="36">
        <v>73</v>
      </c>
      <c r="J142" s="35">
        <v>14</v>
      </c>
      <c r="K142" s="52" t="s">
        <v>170</v>
      </c>
      <c r="L142" t="s">
        <v>168</v>
      </c>
    </row>
    <row r="143" spans="1:12" x14ac:dyDescent="0.25">
      <c r="A143" s="1" t="s">
        <v>10</v>
      </c>
      <c r="B143" s="1" t="s">
        <v>59</v>
      </c>
      <c r="C143" s="6">
        <v>38</v>
      </c>
      <c r="D143" s="33">
        <v>57</v>
      </c>
      <c r="E143" s="34">
        <v>65</v>
      </c>
      <c r="F143" s="36">
        <v>67</v>
      </c>
      <c r="G143" s="36">
        <v>77</v>
      </c>
      <c r="H143" s="36">
        <v>86</v>
      </c>
      <c r="I143" s="36">
        <v>86</v>
      </c>
      <c r="J143" s="35">
        <v>10</v>
      </c>
      <c r="K143" s="52" t="s">
        <v>170</v>
      </c>
      <c r="L143" t="s">
        <v>168</v>
      </c>
    </row>
    <row r="144" spans="1:12" x14ac:dyDescent="0.25">
      <c r="A144" s="1" t="s">
        <v>10</v>
      </c>
      <c r="B144" s="1" t="s">
        <v>60</v>
      </c>
      <c r="C144" s="6">
        <v>45</v>
      </c>
      <c r="D144" s="33">
        <v>63</v>
      </c>
      <c r="E144" s="34">
        <v>67</v>
      </c>
      <c r="F144" s="36">
        <v>87</v>
      </c>
      <c r="G144" s="36">
        <v>90</v>
      </c>
      <c r="H144" s="36">
        <v>104</v>
      </c>
      <c r="I144" s="36">
        <v>104</v>
      </c>
      <c r="J144" s="35">
        <v>6</v>
      </c>
      <c r="K144" s="52" t="s">
        <v>170</v>
      </c>
      <c r="L144" t="s">
        <v>168</v>
      </c>
    </row>
    <row r="145" spans="1:12" x14ac:dyDescent="0.25">
      <c r="A145" s="1" t="s">
        <v>10</v>
      </c>
      <c r="B145" s="1" t="s">
        <v>96</v>
      </c>
      <c r="C145" s="6">
        <v>46</v>
      </c>
      <c r="D145" s="33">
        <v>59</v>
      </c>
      <c r="E145" s="34">
        <v>59</v>
      </c>
      <c r="F145" s="36">
        <v>75</v>
      </c>
      <c r="G145" s="36">
        <v>75</v>
      </c>
      <c r="H145" s="36">
        <v>77</v>
      </c>
      <c r="I145" s="36">
        <v>78</v>
      </c>
      <c r="J145" s="35">
        <v>13</v>
      </c>
      <c r="K145" s="52" t="s">
        <v>170</v>
      </c>
      <c r="L145" t="s">
        <v>168</v>
      </c>
    </row>
    <row r="146" spans="1:12" x14ac:dyDescent="0.25">
      <c r="A146" s="1" t="s">
        <v>10</v>
      </c>
      <c r="B146" s="1" t="s">
        <v>61</v>
      </c>
      <c r="C146" s="6">
        <v>44</v>
      </c>
      <c r="D146" s="33">
        <v>61</v>
      </c>
      <c r="E146" s="34">
        <v>62</v>
      </c>
      <c r="F146" s="36">
        <v>75</v>
      </c>
      <c r="G146" s="36">
        <v>77</v>
      </c>
      <c r="H146" s="36">
        <v>79</v>
      </c>
      <c r="I146" s="36">
        <v>81</v>
      </c>
      <c r="J146" s="35">
        <v>15</v>
      </c>
      <c r="K146" s="52" t="s">
        <v>170</v>
      </c>
      <c r="L146" t="s">
        <v>168</v>
      </c>
    </row>
    <row r="147" spans="1:12" x14ac:dyDescent="0.25">
      <c r="A147" s="1" t="s">
        <v>10</v>
      </c>
      <c r="B147" s="1" t="s">
        <v>86</v>
      </c>
      <c r="C147" s="6">
        <v>60</v>
      </c>
      <c r="D147" s="33">
        <v>78</v>
      </c>
      <c r="E147" s="34">
        <v>78</v>
      </c>
      <c r="F147" s="36">
        <v>95</v>
      </c>
      <c r="G147" s="36">
        <v>95</v>
      </c>
      <c r="H147" s="36">
        <v>97</v>
      </c>
      <c r="I147" s="36">
        <v>105</v>
      </c>
      <c r="J147" s="35">
        <v>6</v>
      </c>
      <c r="K147" s="52" t="s">
        <v>170</v>
      </c>
      <c r="L147" t="s">
        <v>168</v>
      </c>
    </row>
    <row r="148" spans="1:12" x14ac:dyDescent="0.25">
      <c r="A148" s="1" t="s">
        <v>10</v>
      </c>
      <c r="B148" s="1" t="s">
        <v>63</v>
      </c>
      <c r="C148" s="6">
        <v>52</v>
      </c>
      <c r="D148" s="33">
        <v>69</v>
      </c>
      <c r="E148" s="34">
        <v>71</v>
      </c>
      <c r="F148" s="36">
        <v>92</v>
      </c>
      <c r="G148" s="36">
        <v>97</v>
      </c>
      <c r="H148" s="36">
        <v>98</v>
      </c>
      <c r="I148" s="36">
        <v>98</v>
      </c>
      <c r="J148" s="35">
        <v>5</v>
      </c>
      <c r="K148" s="52" t="s">
        <v>170</v>
      </c>
      <c r="L148" t="s">
        <v>168</v>
      </c>
    </row>
    <row r="149" spans="1:12" x14ac:dyDescent="0.25">
      <c r="A149" s="1" t="s">
        <v>10</v>
      </c>
      <c r="B149" s="1" t="s">
        <v>78</v>
      </c>
      <c r="C149" s="6">
        <v>58</v>
      </c>
      <c r="D149" s="33">
        <v>77</v>
      </c>
      <c r="E149" s="34">
        <v>78</v>
      </c>
      <c r="F149" s="36">
        <v>102</v>
      </c>
      <c r="G149" s="36">
        <v>105</v>
      </c>
      <c r="H149" s="36">
        <v>106</v>
      </c>
      <c r="I149" s="36">
        <v>111</v>
      </c>
      <c r="J149" s="35">
        <v>4</v>
      </c>
      <c r="K149" s="52" t="s">
        <v>170</v>
      </c>
      <c r="L149" t="s">
        <v>168</v>
      </c>
    </row>
    <row r="150" spans="1:12" x14ac:dyDescent="0.25">
      <c r="A150" s="1" t="s">
        <v>10</v>
      </c>
      <c r="B150" s="1" t="s">
        <v>37</v>
      </c>
      <c r="C150" s="6">
        <v>42</v>
      </c>
      <c r="D150" s="33">
        <v>60</v>
      </c>
      <c r="E150" s="34">
        <v>62</v>
      </c>
      <c r="F150" s="36">
        <v>79</v>
      </c>
      <c r="G150" s="36">
        <v>80</v>
      </c>
      <c r="H150" s="36">
        <v>80</v>
      </c>
      <c r="I150" s="36">
        <v>83</v>
      </c>
      <c r="J150" s="35">
        <v>8</v>
      </c>
      <c r="K150" s="52" t="s">
        <v>170</v>
      </c>
      <c r="L150" t="s">
        <v>168</v>
      </c>
    </row>
    <row r="151" spans="1:12" x14ac:dyDescent="0.25">
      <c r="A151" s="1" t="s">
        <v>10</v>
      </c>
      <c r="B151" s="1" t="s">
        <v>64</v>
      </c>
      <c r="C151" s="6">
        <v>60</v>
      </c>
      <c r="D151" s="33">
        <v>78</v>
      </c>
      <c r="E151" s="34">
        <v>78</v>
      </c>
      <c r="F151" s="36">
        <v>98</v>
      </c>
      <c r="G151" s="36">
        <v>100</v>
      </c>
      <c r="H151" s="36">
        <v>104</v>
      </c>
      <c r="I151" s="36">
        <v>104</v>
      </c>
      <c r="J151" s="35">
        <v>4</v>
      </c>
      <c r="K151" s="52" t="s">
        <v>170</v>
      </c>
      <c r="L151" t="s">
        <v>168</v>
      </c>
    </row>
    <row r="152" spans="1:12" x14ac:dyDescent="0.25">
      <c r="A152" s="1" t="s">
        <v>10</v>
      </c>
      <c r="B152" s="1" t="s">
        <v>38</v>
      </c>
      <c r="C152" s="6">
        <v>59</v>
      </c>
      <c r="D152" s="33">
        <v>75</v>
      </c>
      <c r="E152" s="34">
        <v>76</v>
      </c>
      <c r="F152" s="36">
        <v>92</v>
      </c>
      <c r="G152" s="36">
        <v>95</v>
      </c>
      <c r="H152" s="36">
        <v>96</v>
      </c>
      <c r="I152" s="36">
        <v>98</v>
      </c>
      <c r="J152" s="35">
        <v>7</v>
      </c>
      <c r="K152" s="52" t="s">
        <v>170</v>
      </c>
      <c r="L152" t="s">
        <v>168</v>
      </c>
    </row>
    <row r="153" spans="1:12" x14ac:dyDescent="0.25">
      <c r="A153" s="1" t="s">
        <v>10</v>
      </c>
      <c r="B153" s="1" t="s">
        <v>87</v>
      </c>
      <c r="C153" s="6">
        <v>71</v>
      </c>
      <c r="D153" s="33">
        <v>105</v>
      </c>
      <c r="E153" s="34">
        <v>113</v>
      </c>
      <c r="F153" s="36">
        <v>148</v>
      </c>
      <c r="G153" s="36">
        <v>148</v>
      </c>
      <c r="H153" s="36">
        <v>161</v>
      </c>
      <c r="I153" s="36">
        <v>161</v>
      </c>
      <c r="J153" s="35">
        <v>2</v>
      </c>
      <c r="K153" s="52" t="s">
        <v>170</v>
      </c>
      <c r="L153" t="s">
        <v>168</v>
      </c>
    </row>
    <row r="154" spans="1:12" x14ac:dyDescent="0.25">
      <c r="A154" s="1" t="s">
        <v>10</v>
      </c>
      <c r="B154" s="1" t="s">
        <v>65</v>
      </c>
      <c r="C154" s="6">
        <v>48</v>
      </c>
      <c r="D154" s="33">
        <v>70</v>
      </c>
      <c r="E154" s="34">
        <v>70</v>
      </c>
      <c r="F154" s="36">
        <v>84</v>
      </c>
      <c r="G154" s="36">
        <v>84</v>
      </c>
      <c r="H154" s="36">
        <v>84</v>
      </c>
      <c r="I154" s="36">
        <v>86</v>
      </c>
      <c r="J154" s="35">
        <v>8</v>
      </c>
      <c r="K154" s="52" t="s">
        <v>170</v>
      </c>
      <c r="L154" t="s">
        <v>168</v>
      </c>
    </row>
    <row r="155" spans="1:12" x14ac:dyDescent="0.25">
      <c r="A155" s="1" t="s">
        <v>10</v>
      </c>
      <c r="B155" s="1" t="s">
        <v>66</v>
      </c>
      <c r="C155" s="6">
        <v>46</v>
      </c>
      <c r="D155" s="33">
        <v>64</v>
      </c>
      <c r="E155" s="34">
        <v>64</v>
      </c>
      <c r="F155" s="36">
        <v>79</v>
      </c>
      <c r="G155" s="36">
        <v>79</v>
      </c>
      <c r="H155" s="36">
        <v>82</v>
      </c>
      <c r="I155" s="36">
        <v>82</v>
      </c>
      <c r="J155" s="35">
        <v>8</v>
      </c>
      <c r="K155" s="52" t="s">
        <v>170</v>
      </c>
      <c r="L155" t="s">
        <v>168</v>
      </c>
    </row>
    <row r="156" spans="1:12" x14ac:dyDescent="0.25">
      <c r="A156" s="1" t="s">
        <v>10</v>
      </c>
      <c r="B156" s="1" t="s">
        <v>92</v>
      </c>
      <c r="C156" s="6" t="s">
        <v>168</v>
      </c>
      <c r="D156" s="33" t="s">
        <v>168</v>
      </c>
      <c r="E156" s="34" t="s">
        <v>168</v>
      </c>
      <c r="F156" s="36">
        <v>68</v>
      </c>
      <c r="G156" s="36">
        <v>69</v>
      </c>
      <c r="H156" s="36">
        <v>70</v>
      </c>
      <c r="I156" s="36">
        <v>73</v>
      </c>
      <c r="J156" s="35">
        <v>25</v>
      </c>
      <c r="K156" s="52" t="s">
        <v>170</v>
      </c>
      <c r="L156" t="s">
        <v>168</v>
      </c>
    </row>
    <row r="157" spans="1:12" x14ac:dyDescent="0.25">
      <c r="A157" s="1" t="s">
        <v>10</v>
      </c>
      <c r="B157" s="1" t="s">
        <v>69</v>
      </c>
      <c r="C157" s="6">
        <v>61</v>
      </c>
      <c r="D157" s="33">
        <v>72</v>
      </c>
      <c r="E157" s="34">
        <v>74</v>
      </c>
      <c r="F157" s="36">
        <v>89</v>
      </c>
      <c r="G157" s="36">
        <v>89</v>
      </c>
      <c r="H157" s="36">
        <v>97</v>
      </c>
      <c r="I157" s="36">
        <v>100</v>
      </c>
      <c r="J157" s="35">
        <v>6</v>
      </c>
      <c r="K157" s="52" t="s">
        <v>170</v>
      </c>
      <c r="L157" t="s">
        <v>168</v>
      </c>
    </row>
    <row r="158" spans="1:12" x14ac:dyDescent="0.25">
      <c r="A158" s="1" t="s">
        <v>10</v>
      </c>
      <c r="B158" s="1" t="s">
        <v>41</v>
      </c>
      <c r="C158" s="6">
        <v>47</v>
      </c>
      <c r="D158" s="33">
        <v>64</v>
      </c>
      <c r="E158" s="34">
        <v>64</v>
      </c>
      <c r="F158" s="36">
        <v>80</v>
      </c>
      <c r="G158" s="36">
        <v>82</v>
      </c>
      <c r="H158" s="36">
        <v>87</v>
      </c>
      <c r="I158" s="36">
        <v>95</v>
      </c>
      <c r="J158" s="35">
        <v>8</v>
      </c>
      <c r="K158" s="52" t="s">
        <v>170</v>
      </c>
      <c r="L158" t="s">
        <v>168</v>
      </c>
    </row>
    <row r="159" spans="1:12" x14ac:dyDescent="0.25">
      <c r="A159" s="1" t="s">
        <v>10</v>
      </c>
      <c r="B159" s="1" t="s">
        <v>42</v>
      </c>
      <c r="C159" s="6">
        <v>62</v>
      </c>
      <c r="D159" s="33">
        <v>71</v>
      </c>
      <c r="E159" s="34">
        <v>77</v>
      </c>
      <c r="F159" s="36">
        <v>112</v>
      </c>
      <c r="G159" s="36">
        <v>112</v>
      </c>
      <c r="H159" s="36">
        <v>117</v>
      </c>
      <c r="I159" s="36">
        <v>117</v>
      </c>
      <c r="J159" s="35">
        <v>4</v>
      </c>
      <c r="K159" s="52" t="s">
        <v>170</v>
      </c>
      <c r="L159" t="s">
        <v>168</v>
      </c>
    </row>
    <row r="160" spans="1:12" x14ac:dyDescent="0.25">
      <c r="A160" s="1" t="s">
        <v>10</v>
      </c>
      <c r="B160" s="1" t="s">
        <v>43</v>
      </c>
      <c r="C160" s="6">
        <v>45</v>
      </c>
      <c r="D160" s="33">
        <v>67</v>
      </c>
      <c r="E160" s="34">
        <v>68</v>
      </c>
      <c r="F160" s="36">
        <v>87</v>
      </c>
      <c r="G160" s="36">
        <v>87</v>
      </c>
      <c r="H160" s="36">
        <v>88</v>
      </c>
      <c r="I160" s="36">
        <v>88</v>
      </c>
      <c r="J160" s="35">
        <v>8</v>
      </c>
      <c r="K160" s="52" t="s">
        <v>170</v>
      </c>
      <c r="L160" t="s">
        <v>168</v>
      </c>
    </row>
    <row r="161" spans="1:12" x14ac:dyDescent="0.25">
      <c r="A161" s="1" t="s">
        <v>10</v>
      </c>
      <c r="B161" s="1" t="s">
        <v>70</v>
      </c>
      <c r="C161" s="6" t="s">
        <v>168</v>
      </c>
      <c r="D161" s="33" t="s">
        <v>168</v>
      </c>
      <c r="E161" s="34" t="s">
        <v>168</v>
      </c>
      <c r="F161" s="32" t="s">
        <v>168</v>
      </c>
      <c r="G161" s="32" t="s">
        <v>168</v>
      </c>
      <c r="H161" s="32" t="s">
        <v>168</v>
      </c>
      <c r="I161" s="32" t="s">
        <v>168</v>
      </c>
      <c r="J161" s="35" t="s">
        <v>168</v>
      </c>
      <c r="K161" s="52" t="s">
        <v>170</v>
      </c>
      <c r="L161" t="s">
        <v>168</v>
      </c>
    </row>
    <row r="162" spans="1:12" x14ac:dyDescent="0.25">
      <c r="A162" s="1" t="s">
        <v>10</v>
      </c>
      <c r="B162" s="1" t="s">
        <v>80</v>
      </c>
      <c r="C162" s="6">
        <v>67</v>
      </c>
      <c r="D162" s="33">
        <v>80</v>
      </c>
      <c r="E162" s="34">
        <v>80</v>
      </c>
      <c r="F162" s="36">
        <v>158</v>
      </c>
      <c r="G162" s="36">
        <v>158</v>
      </c>
      <c r="H162" s="36">
        <v>158</v>
      </c>
      <c r="I162" s="36">
        <v>158</v>
      </c>
      <c r="J162" s="35">
        <v>4</v>
      </c>
      <c r="K162" s="52" t="s">
        <v>170</v>
      </c>
      <c r="L162" t="s">
        <v>168</v>
      </c>
    </row>
    <row r="163" spans="1:12" x14ac:dyDescent="0.25">
      <c r="A163" s="1" t="s">
        <v>10</v>
      </c>
      <c r="B163" s="1" t="s">
        <v>99</v>
      </c>
      <c r="C163" s="6">
        <v>47</v>
      </c>
      <c r="D163" s="33">
        <v>61</v>
      </c>
      <c r="E163" s="34">
        <v>62</v>
      </c>
      <c r="F163" s="36">
        <v>77</v>
      </c>
      <c r="G163" s="36">
        <v>77</v>
      </c>
      <c r="H163" s="36">
        <v>79</v>
      </c>
      <c r="I163" s="36">
        <v>81</v>
      </c>
      <c r="J163" s="35">
        <v>13</v>
      </c>
      <c r="K163" s="52" t="s">
        <v>170</v>
      </c>
      <c r="L163" t="s">
        <v>168</v>
      </c>
    </row>
    <row r="164" spans="1:12" x14ac:dyDescent="0.25">
      <c r="A164" s="1" t="s">
        <v>10</v>
      </c>
      <c r="B164" s="1" t="s">
        <v>97</v>
      </c>
      <c r="C164" s="6" t="s">
        <v>168</v>
      </c>
      <c r="D164" s="33" t="s">
        <v>168</v>
      </c>
      <c r="E164" s="34" t="s">
        <v>168</v>
      </c>
      <c r="F164" s="32" t="s">
        <v>168</v>
      </c>
      <c r="G164" s="32" t="s">
        <v>168</v>
      </c>
      <c r="H164" s="32" t="s">
        <v>168</v>
      </c>
      <c r="I164" s="32" t="s">
        <v>168</v>
      </c>
      <c r="J164" s="35">
        <v>12</v>
      </c>
      <c r="K164" s="52" t="s">
        <v>170</v>
      </c>
      <c r="L164" t="s">
        <v>168</v>
      </c>
    </row>
    <row r="165" spans="1:12" x14ac:dyDescent="0.25">
      <c r="A165" s="1" t="s">
        <v>10</v>
      </c>
      <c r="B165" s="1" t="s">
        <v>71</v>
      </c>
      <c r="C165" s="6">
        <v>68</v>
      </c>
      <c r="D165" s="33">
        <v>81</v>
      </c>
      <c r="E165" s="34">
        <v>81</v>
      </c>
      <c r="F165" s="36">
        <v>90</v>
      </c>
      <c r="G165" s="36">
        <v>90</v>
      </c>
      <c r="H165" s="36">
        <v>90</v>
      </c>
      <c r="I165" s="36">
        <v>90</v>
      </c>
      <c r="J165" s="35">
        <v>8</v>
      </c>
      <c r="K165" s="52" t="s">
        <v>170</v>
      </c>
      <c r="L165" t="s">
        <v>168</v>
      </c>
    </row>
    <row r="166" spans="1:12" x14ac:dyDescent="0.25">
      <c r="A166" s="1" t="s">
        <v>10</v>
      </c>
      <c r="B166" s="1" t="s">
        <v>45</v>
      </c>
      <c r="C166" s="6">
        <v>47</v>
      </c>
      <c r="D166" s="33">
        <v>62</v>
      </c>
      <c r="E166" s="34">
        <v>62</v>
      </c>
      <c r="F166" s="36">
        <v>82</v>
      </c>
      <c r="G166" s="36">
        <v>82</v>
      </c>
      <c r="H166" s="36">
        <v>88</v>
      </c>
      <c r="I166" s="36">
        <v>95</v>
      </c>
      <c r="J166" s="35">
        <v>8</v>
      </c>
      <c r="K166" s="52" t="s">
        <v>170</v>
      </c>
      <c r="L166" t="s">
        <v>168</v>
      </c>
    </row>
    <row r="167" spans="1:12" x14ac:dyDescent="0.25">
      <c r="A167" s="1" t="s">
        <v>10</v>
      </c>
      <c r="B167" s="1" t="s">
        <v>93</v>
      </c>
      <c r="C167" s="6">
        <v>61</v>
      </c>
      <c r="D167" s="33">
        <v>83</v>
      </c>
      <c r="E167" s="34">
        <v>88</v>
      </c>
      <c r="F167" s="36">
        <v>111</v>
      </c>
      <c r="G167" s="36">
        <v>113</v>
      </c>
      <c r="H167" s="36">
        <v>114</v>
      </c>
      <c r="I167" s="36">
        <v>118</v>
      </c>
      <c r="J167" s="35">
        <v>4</v>
      </c>
      <c r="K167" s="52" t="s">
        <v>170</v>
      </c>
      <c r="L167" t="s">
        <v>168</v>
      </c>
    </row>
    <row r="168" spans="1:12" x14ac:dyDescent="0.25">
      <c r="A168" s="1" t="s">
        <v>10</v>
      </c>
      <c r="B168" s="1" t="s">
        <v>94</v>
      </c>
      <c r="C168" s="6" t="s">
        <v>168</v>
      </c>
      <c r="D168" s="33" t="s">
        <v>168</v>
      </c>
      <c r="E168" s="34" t="s">
        <v>168</v>
      </c>
      <c r="F168" s="32" t="s">
        <v>168</v>
      </c>
      <c r="G168" s="32" t="s">
        <v>168</v>
      </c>
      <c r="H168" s="32" t="s">
        <v>168</v>
      </c>
      <c r="I168" s="32" t="s">
        <v>168</v>
      </c>
      <c r="J168" s="35" t="s">
        <v>168</v>
      </c>
      <c r="K168" s="52" t="s">
        <v>170</v>
      </c>
      <c r="L168" t="s">
        <v>168</v>
      </c>
    </row>
    <row r="169" spans="1:12" x14ac:dyDescent="0.25">
      <c r="A169" s="1" t="s">
        <v>10</v>
      </c>
      <c r="B169" s="1" t="s">
        <v>72</v>
      </c>
      <c r="C169" s="6">
        <v>46</v>
      </c>
      <c r="D169" s="33">
        <v>69</v>
      </c>
      <c r="E169" s="34">
        <v>71</v>
      </c>
      <c r="F169" s="36">
        <v>84</v>
      </c>
      <c r="G169" s="36">
        <v>84</v>
      </c>
      <c r="H169" s="36">
        <v>84</v>
      </c>
      <c r="I169" s="36">
        <v>84</v>
      </c>
      <c r="J169" s="35">
        <v>8</v>
      </c>
      <c r="K169" s="52" t="s">
        <v>196</v>
      </c>
      <c r="L169" t="s">
        <v>168</v>
      </c>
    </row>
    <row r="170" spans="1:12" x14ac:dyDescent="0.25">
      <c r="A170" s="1" t="s">
        <v>10</v>
      </c>
      <c r="B170" s="1" t="s">
        <v>11</v>
      </c>
      <c r="C170" s="6">
        <v>44</v>
      </c>
      <c r="D170" s="33">
        <v>58</v>
      </c>
      <c r="E170" s="34">
        <v>72</v>
      </c>
      <c r="F170" s="36">
        <v>73</v>
      </c>
      <c r="G170" s="36">
        <v>75</v>
      </c>
      <c r="H170" s="36">
        <v>76</v>
      </c>
      <c r="I170" s="36">
        <v>76</v>
      </c>
      <c r="J170" s="35">
        <v>12</v>
      </c>
      <c r="K170" s="52" t="s">
        <v>196</v>
      </c>
      <c r="L170" t="s">
        <v>168</v>
      </c>
    </row>
    <row r="171" spans="1:12" x14ac:dyDescent="0.25">
      <c r="A171" s="1" t="s">
        <v>10</v>
      </c>
      <c r="B171" s="1" t="s">
        <v>12</v>
      </c>
      <c r="C171" s="6">
        <v>43</v>
      </c>
      <c r="D171" s="33">
        <v>56</v>
      </c>
      <c r="E171" s="34">
        <v>58</v>
      </c>
      <c r="F171" s="36">
        <v>68</v>
      </c>
      <c r="G171" s="36">
        <v>71</v>
      </c>
      <c r="H171" s="36">
        <v>72</v>
      </c>
      <c r="I171" s="36">
        <v>74</v>
      </c>
      <c r="J171" s="35">
        <v>14</v>
      </c>
      <c r="K171" s="52" t="s">
        <v>196</v>
      </c>
      <c r="L171" t="s">
        <v>168</v>
      </c>
    </row>
    <row r="172" spans="1:12" x14ac:dyDescent="0.25">
      <c r="A172" s="1" t="s">
        <v>10</v>
      </c>
      <c r="B172" s="1" t="s">
        <v>13</v>
      </c>
      <c r="C172" s="6">
        <v>48</v>
      </c>
      <c r="D172" s="33">
        <v>72</v>
      </c>
      <c r="E172" s="34">
        <v>83</v>
      </c>
      <c r="F172" s="36">
        <v>89</v>
      </c>
      <c r="G172" s="36">
        <v>89</v>
      </c>
      <c r="H172" s="36" t="s">
        <v>168</v>
      </c>
      <c r="I172" s="36" t="s">
        <v>168</v>
      </c>
      <c r="J172" s="35">
        <v>6</v>
      </c>
      <c r="K172" s="52" t="s">
        <v>196</v>
      </c>
      <c r="L172" t="s">
        <v>168</v>
      </c>
    </row>
    <row r="173" spans="1:12" x14ac:dyDescent="0.25">
      <c r="A173" s="1" t="s">
        <v>10</v>
      </c>
      <c r="B173" s="1" t="s">
        <v>14</v>
      </c>
      <c r="C173" s="6">
        <v>56</v>
      </c>
      <c r="D173" s="33">
        <v>74</v>
      </c>
      <c r="E173" s="34">
        <v>77</v>
      </c>
      <c r="F173" s="62" t="s">
        <v>168</v>
      </c>
      <c r="G173" s="62" t="s">
        <v>168</v>
      </c>
      <c r="H173" s="62" t="s">
        <v>168</v>
      </c>
      <c r="I173" s="62" t="s">
        <v>168</v>
      </c>
      <c r="J173" s="35">
        <v>4</v>
      </c>
      <c r="K173" s="52" t="s">
        <v>196</v>
      </c>
      <c r="L173" t="s">
        <v>168</v>
      </c>
    </row>
    <row r="174" spans="1:12" x14ac:dyDescent="0.25">
      <c r="A174" s="1" t="s">
        <v>10</v>
      </c>
      <c r="B174" s="1" t="s">
        <v>15</v>
      </c>
      <c r="C174" s="6">
        <v>61</v>
      </c>
      <c r="D174" s="33">
        <v>78</v>
      </c>
      <c r="E174" s="34">
        <v>92</v>
      </c>
      <c r="F174" s="62" t="s">
        <v>168</v>
      </c>
      <c r="G174" s="62" t="s">
        <v>168</v>
      </c>
      <c r="H174" s="62" t="s">
        <v>168</v>
      </c>
      <c r="I174" s="62" t="s">
        <v>168</v>
      </c>
      <c r="J174" s="35">
        <v>4</v>
      </c>
      <c r="K174" s="52" t="s">
        <v>196</v>
      </c>
      <c r="L174" t="s">
        <v>168</v>
      </c>
    </row>
    <row r="175" spans="1:12" x14ac:dyDescent="0.25">
      <c r="A175" s="1" t="s">
        <v>10</v>
      </c>
      <c r="B175" s="1" t="s">
        <v>81</v>
      </c>
      <c r="C175" s="6">
        <v>43</v>
      </c>
      <c r="D175" s="33">
        <v>59</v>
      </c>
      <c r="E175" s="34">
        <v>59</v>
      </c>
      <c r="F175" s="36">
        <v>75</v>
      </c>
      <c r="G175" s="36">
        <v>76</v>
      </c>
      <c r="H175" s="36">
        <v>78</v>
      </c>
      <c r="I175" s="36">
        <v>78</v>
      </c>
      <c r="J175" s="35">
        <v>12</v>
      </c>
      <c r="K175" s="52" t="s">
        <v>196</v>
      </c>
      <c r="L175" t="s">
        <v>168</v>
      </c>
    </row>
    <row r="176" spans="1:12" x14ac:dyDescent="0.25">
      <c r="A176" s="1" t="s">
        <v>10</v>
      </c>
      <c r="B176" s="1" t="s">
        <v>88</v>
      </c>
      <c r="C176" s="6">
        <v>42</v>
      </c>
      <c r="D176" s="33">
        <v>70</v>
      </c>
      <c r="E176" s="34">
        <v>78</v>
      </c>
      <c r="F176" s="62" t="s">
        <v>168</v>
      </c>
      <c r="G176" s="62" t="s">
        <v>168</v>
      </c>
      <c r="H176" s="62" t="s">
        <v>168</v>
      </c>
      <c r="I176" s="62" t="s">
        <v>168</v>
      </c>
      <c r="J176" s="35">
        <v>4</v>
      </c>
      <c r="K176" s="52" t="s">
        <v>196</v>
      </c>
      <c r="L176" t="s">
        <v>168</v>
      </c>
    </row>
    <row r="177" spans="1:12" x14ac:dyDescent="0.25">
      <c r="A177" s="1" t="s">
        <v>10</v>
      </c>
      <c r="B177" s="1" t="s">
        <v>16</v>
      </c>
      <c r="C177" s="6">
        <v>60</v>
      </c>
      <c r="D177" s="33">
        <v>73</v>
      </c>
      <c r="E177" s="34">
        <v>87</v>
      </c>
      <c r="F177" s="36">
        <v>88</v>
      </c>
      <c r="G177" s="36">
        <v>92</v>
      </c>
      <c r="H177" s="62" t="s">
        <v>168</v>
      </c>
      <c r="I177" s="62" t="s">
        <v>168</v>
      </c>
      <c r="J177" s="35">
        <v>6</v>
      </c>
      <c r="K177" s="52" t="s">
        <v>196</v>
      </c>
      <c r="L177" t="s">
        <v>168</v>
      </c>
    </row>
    <row r="178" spans="1:12" x14ac:dyDescent="0.25">
      <c r="A178" s="1" t="s">
        <v>10</v>
      </c>
      <c r="B178" s="1" t="s">
        <v>17</v>
      </c>
      <c r="C178" s="6">
        <v>48</v>
      </c>
      <c r="D178" s="33">
        <v>63</v>
      </c>
      <c r="E178" s="34">
        <v>63</v>
      </c>
      <c r="F178" s="36">
        <v>75</v>
      </c>
      <c r="G178" s="36">
        <v>75</v>
      </c>
      <c r="H178" s="36">
        <v>76</v>
      </c>
      <c r="I178" s="36">
        <v>85</v>
      </c>
      <c r="J178" s="35">
        <v>12</v>
      </c>
      <c r="K178" s="52" t="s">
        <v>196</v>
      </c>
      <c r="L178" t="s">
        <v>168</v>
      </c>
    </row>
    <row r="179" spans="1:12" x14ac:dyDescent="0.25">
      <c r="A179" s="1" t="s">
        <v>10</v>
      </c>
      <c r="B179" s="1" t="s">
        <v>197</v>
      </c>
      <c r="C179" s="6">
        <v>51</v>
      </c>
      <c r="D179" s="33">
        <v>68</v>
      </c>
      <c r="E179" s="34">
        <v>70</v>
      </c>
      <c r="F179" s="36">
        <v>91</v>
      </c>
      <c r="G179" s="36">
        <v>91</v>
      </c>
      <c r="H179" s="62" t="s">
        <v>168</v>
      </c>
      <c r="I179" s="62" t="s">
        <v>168</v>
      </c>
      <c r="J179" s="35">
        <v>6</v>
      </c>
      <c r="K179" s="52" t="s">
        <v>196</v>
      </c>
      <c r="L179" t="s">
        <v>168</v>
      </c>
    </row>
    <row r="180" spans="1:12" x14ac:dyDescent="0.25">
      <c r="A180" s="1" t="s">
        <v>10</v>
      </c>
      <c r="B180" s="1" t="s">
        <v>47</v>
      </c>
      <c r="C180" s="6">
        <v>51</v>
      </c>
      <c r="D180" s="33">
        <v>66</v>
      </c>
      <c r="E180" s="34">
        <v>68</v>
      </c>
      <c r="F180" s="36">
        <v>82</v>
      </c>
      <c r="G180" s="36">
        <v>83</v>
      </c>
      <c r="H180" s="36">
        <v>83</v>
      </c>
      <c r="I180" s="36">
        <v>83</v>
      </c>
      <c r="J180" s="35">
        <v>9</v>
      </c>
      <c r="K180" s="52" t="s">
        <v>196</v>
      </c>
      <c r="L180" t="s">
        <v>168</v>
      </c>
    </row>
    <row r="181" spans="1:12" x14ac:dyDescent="0.25">
      <c r="A181" s="1" t="s">
        <v>10</v>
      </c>
      <c r="B181" s="1" t="s">
        <v>18</v>
      </c>
      <c r="C181" s="6">
        <v>52</v>
      </c>
      <c r="D181" s="33">
        <v>70</v>
      </c>
      <c r="E181" s="34">
        <v>75</v>
      </c>
      <c r="F181" s="36">
        <v>96</v>
      </c>
      <c r="G181" s="62" t="s">
        <v>168</v>
      </c>
      <c r="H181" s="62" t="s">
        <v>168</v>
      </c>
      <c r="I181" s="62" t="s">
        <v>168</v>
      </c>
      <c r="J181" s="35">
        <v>5</v>
      </c>
      <c r="K181" s="52" t="s">
        <v>196</v>
      </c>
      <c r="L181" t="s">
        <v>168</v>
      </c>
    </row>
    <row r="182" spans="1:12" x14ac:dyDescent="0.25">
      <c r="A182" s="1" t="s">
        <v>10</v>
      </c>
      <c r="B182" s="1" t="s">
        <v>48</v>
      </c>
      <c r="C182" s="6">
        <v>44</v>
      </c>
      <c r="D182" s="33">
        <v>61</v>
      </c>
      <c r="E182" s="34">
        <v>64</v>
      </c>
      <c r="F182" s="36">
        <v>78</v>
      </c>
      <c r="G182" s="36">
        <v>78</v>
      </c>
      <c r="H182" s="36">
        <v>85</v>
      </c>
      <c r="I182" s="36">
        <v>85</v>
      </c>
      <c r="J182" s="35">
        <v>10</v>
      </c>
      <c r="K182" s="52" t="s">
        <v>196</v>
      </c>
      <c r="L182" t="s">
        <v>168</v>
      </c>
    </row>
    <row r="183" spans="1:12" x14ac:dyDescent="0.25">
      <c r="A183" s="1" t="s">
        <v>10</v>
      </c>
      <c r="B183" s="1" t="s">
        <v>89</v>
      </c>
      <c r="C183" s="6">
        <v>57</v>
      </c>
      <c r="D183" s="33">
        <v>76</v>
      </c>
      <c r="E183" s="34">
        <v>78</v>
      </c>
      <c r="F183" s="36">
        <v>95</v>
      </c>
      <c r="G183" s="36">
        <v>95</v>
      </c>
      <c r="H183" s="62" t="s">
        <v>168</v>
      </c>
      <c r="I183" s="62" t="s">
        <v>168</v>
      </c>
      <c r="J183" s="35">
        <v>6</v>
      </c>
      <c r="K183" s="52" t="s">
        <v>196</v>
      </c>
      <c r="L183" t="s">
        <v>168</v>
      </c>
    </row>
    <row r="184" spans="1:12" x14ac:dyDescent="0.25">
      <c r="A184" s="1" t="s">
        <v>10</v>
      </c>
      <c r="B184" s="1" t="s">
        <v>73</v>
      </c>
      <c r="C184" s="6">
        <v>52</v>
      </c>
      <c r="D184" s="33">
        <v>68</v>
      </c>
      <c r="E184" s="34">
        <v>78</v>
      </c>
      <c r="F184" s="36">
        <v>93</v>
      </c>
      <c r="G184" s="62" t="s">
        <v>168</v>
      </c>
      <c r="H184" s="62" t="s">
        <v>168</v>
      </c>
      <c r="I184" s="62" t="s">
        <v>168</v>
      </c>
      <c r="J184" s="35">
        <v>5</v>
      </c>
      <c r="K184" s="52" t="s">
        <v>196</v>
      </c>
      <c r="L184" t="s">
        <v>168</v>
      </c>
    </row>
    <row r="185" spans="1:12" x14ac:dyDescent="0.25">
      <c r="A185" s="1" t="s">
        <v>10</v>
      </c>
      <c r="B185" s="1" t="s">
        <v>49</v>
      </c>
      <c r="C185" s="6">
        <v>42</v>
      </c>
      <c r="D185" s="33">
        <v>61</v>
      </c>
      <c r="E185" s="34">
        <v>63</v>
      </c>
      <c r="F185" s="36">
        <v>81</v>
      </c>
      <c r="G185" s="36">
        <v>82</v>
      </c>
      <c r="H185" s="36">
        <v>85</v>
      </c>
      <c r="I185" s="36">
        <v>95</v>
      </c>
      <c r="J185" s="35">
        <v>8</v>
      </c>
      <c r="K185" s="52" t="s">
        <v>196</v>
      </c>
      <c r="L185" t="s">
        <v>168</v>
      </c>
    </row>
    <row r="186" spans="1:12" x14ac:dyDescent="0.25">
      <c r="A186" s="1" t="s">
        <v>10</v>
      </c>
      <c r="B186" s="1" t="s">
        <v>82</v>
      </c>
      <c r="C186" s="6">
        <v>48</v>
      </c>
      <c r="D186" s="33">
        <v>63</v>
      </c>
      <c r="E186" s="34">
        <v>64</v>
      </c>
      <c r="F186" s="36">
        <v>76</v>
      </c>
      <c r="G186" s="36">
        <v>76</v>
      </c>
      <c r="H186" s="36">
        <v>89</v>
      </c>
      <c r="I186" s="36">
        <v>89</v>
      </c>
      <c r="J186" s="35">
        <v>11</v>
      </c>
      <c r="K186" s="52" t="s">
        <v>196</v>
      </c>
      <c r="L186" t="s">
        <v>168</v>
      </c>
    </row>
    <row r="187" spans="1:12" x14ac:dyDescent="0.25">
      <c r="A187" s="1" t="s">
        <v>10</v>
      </c>
      <c r="B187" s="1" t="s">
        <v>74</v>
      </c>
      <c r="C187" s="6">
        <v>53</v>
      </c>
      <c r="D187" s="33">
        <v>68</v>
      </c>
      <c r="E187" s="34">
        <v>74</v>
      </c>
      <c r="F187" s="36">
        <v>85</v>
      </c>
      <c r="G187" s="36">
        <v>88</v>
      </c>
      <c r="H187" s="36">
        <v>95</v>
      </c>
      <c r="I187" s="62" t="s">
        <v>168</v>
      </c>
      <c r="J187" s="35">
        <v>7</v>
      </c>
      <c r="K187" s="52" t="s">
        <v>196</v>
      </c>
      <c r="L187" t="s">
        <v>168</v>
      </c>
    </row>
    <row r="188" spans="1:12" x14ac:dyDescent="0.25">
      <c r="A188" s="1" t="s">
        <v>10</v>
      </c>
      <c r="B188" s="1" t="s">
        <v>19</v>
      </c>
      <c r="C188" s="6">
        <v>63</v>
      </c>
      <c r="D188" s="33">
        <v>95</v>
      </c>
      <c r="E188" s="34" t="s">
        <v>168</v>
      </c>
      <c r="F188" s="62" t="s">
        <v>168</v>
      </c>
      <c r="G188" s="62" t="s">
        <v>168</v>
      </c>
      <c r="H188" s="62" t="s">
        <v>168</v>
      </c>
      <c r="I188" s="62" t="s">
        <v>168</v>
      </c>
      <c r="J188" s="35">
        <v>3</v>
      </c>
      <c r="K188" s="52" t="s">
        <v>196</v>
      </c>
      <c r="L188" t="s">
        <v>168</v>
      </c>
    </row>
    <row r="189" spans="1:12" x14ac:dyDescent="0.25">
      <c r="A189" s="1" t="s">
        <v>10</v>
      </c>
      <c r="B189" s="1" t="s">
        <v>20</v>
      </c>
      <c r="C189" s="6">
        <v>44</v>
      </c>
      <c r="D189" s="33">
        <v>59</v>
      </c>
      <c r="E189" s="34">
        <v>59</v>
      </c>
      <c r="F189" s="62" t="s">
        <v>168</v>
      </c>
      <c r="G189" s="62" t="s">
        <v>168</v>
      </c>
      <c r="H189" s="62" t="s">
        <v>168</v>
      </c>
      <c r="I189" s="62" t="s">
        <v>168</v>
      </c>
      <c r="J189" s="35">
        <v>4</v>
      </c>
      <c r="K189" s="52" t="s">
        <v>196</v>
      </c>
      <c r="L189" t="s">
        <v>168</v>
      </c>
    </row>
    <row r="190" spans="1:12" x14ac:dyDescent="0.25">
      <c r="A190" s="1" t="s">
        <v>10</v>
      </c>
      <c r="B190" s="1" t="s">
        <v>50</v>
      </c>
      <c r="C190" s="6">
        <v>46</v>
      </c>
      <c r="D190" s="33">
        <v>63</v>
      </c>
      <c r="E190" s="34">
        <v>68</v>
      </c>
      <c r="F190" s="36">
        <v>88</v>
      </c>
      <c r="G190" s="62" t="s">
        <v>168</v>
      </c>
      <c r="H190" s="62" t="s">
        <v>168</v>
      </c>
      <c r="I190" s="62" t="s">
        <v>168</v>
      </c>
      <c r="J190" s="35">
        <v>5</v>
      </c>
      <c r="K190" s="52" t="s">
        <v>196</v>
      </c>
      <c r="L190" t="s">
        <v>168</v>
      </c>
    </row>
    <row r="191" spans="1:12" x14ac:dyDescent="0.25">
      <c r="A191" s="1" t="s">
        <v>10</v>
      </c>
      <c r="B191" s="1" t="s">
        <v>51</v>
      </c>
      <c r="C191" s="6">
        <v>50</v>
      </c>
      <c r="D191" s="33">
        <v>64</v>
      </c>
      <c r="E191" s="34">
        <v>65</v>
      </c>
      <c r="F191" s="36">
        <v>82</v>
      </c>
      <c r="G191" s="36">
        <v>82</v>
      </c>
      <c r="H191" s="36">
        <v>86</v>
      </c>
      <c r="I191" s="62" t="s">
        <v>182</v>
      </c>
      <c r="J191" s="35">
        <v>8</v>
      </c>
      <c r="K191" s="52" t="s">
        <v>196</v>
      </c>
      <c r="L191" t="s">
        <v>168</v>
      </c>
    </row>
    <row r="192" spans="1:12" x14ac:dyDescent="0.25">
      <c r="A192" s="1" t="s">
        <v>10</v>
      </c>
      <c r="B192" s="1" t="s">
        <v>21</v>
      </c>
      <c r="C192" s="6">
        <v>46</v>
      </c>
      <c r="D192" s="33">
        <v>63</v>
      </c>
      <c r="E192" s="34">
        <v>66</v>
      </c>
      <c r="F192" s="36">
        <v>81</v>
      </c>
      <c r="G192" s="36">
        <v>81</v>
      </c>
      <c r="H192" s="36">
        <v>84</v>
      </c>
      <c r="I192" s="62" t="s">
        <v>183</v>
      </c>
      <c r="J192" s="35">
        <v>8</v>
      </c>
      <c r="K192" s="52" t="s">
        <v>196</v>
      </c>
      <c r="L192" t="s">
        <v>168</v>
      </c>
    </row>
    <row r="193" spans="1:12" x14ac:dyDescent="0.25">
      <c r="A193" s="1" t="s">
        <v>10</v>
      </c>
      <c r="B193" s="1" t="s">
        <v>52</v>
      </c>
      <c r="C193" s="6">
        <v>71</v>
      </c>
      <c r="D193" s="33">
        <v>87</v>
      </c>
      <c r="E193" s="34">
        <v>88</v>
      </c>
      <c r="F193" s="62" t="s">
        <v>168</v>
      </c>
      <c r="G193" s="62" t="s">
        <v>168</v>
      </c>
      <c r="H193" s="62" t="s">
        <v>168</v>
      </c>
      <c r="I193" s="62" t="s">
        <v>168</v>
      </c>
      <c r="J193" s="35">
        <v>4</v>
      </c>
      <c r="K193" s="52" t="s">
        <v>196</v>
      </c>
      <c r="L193" t="s">
        <v>168</v>
      </c>
    </row>
    <row r="194" spans="1:12" x14ac:dyDescent="0.25">
      <c r="A194" s="1" t="s">
        <v>10</v>
      </c>
      <c r="B194" s="1" t="s">
        <v>22</v>
      </c>
      <c r="C194" s="6">
        <v>52</v>
      </c>
      <c r="D194" s="33">
        <v>70</v>
      </c>
      <c r="E194" s="34">
        <v>74</v>
      </c>
      <c r="F194" s="36">
        <v>88</v>
      </c>
      <c r="G194" s="36">
        <v>92</v>
      </c>
      <c r="H194" s="36">
        <v>92</v>
      </c>
      <c r="I194" s="62" t="s">
        <v>184</v>
      </c>
      <c r="J194" s="35">
        <v>8</v>
      </c>
      <c r="K194" s="52" t="s">
        <v>196</v>
      </c>
      <c r="L194" t="s">
        <v>168</v>
      </c>
    </row>
    <row r="195" spans="1:12" x14ac:dyDescent="0.25">
      <c r="A195" s="1" t="s">
        <v>10</v>
      </c>
      <c r="B195" s="1" t="s">
        <v>53</v>
      </c>
      <c r="C195" s="6">
        <v>95</v>
      </c>
      <c r="D195" s="33" t="s">
        <v>168</v>
      </c>
      <c r="E195" s="34" t="s">
        <v>168</v>
      </c>
      <c r="F195" s="62" t="s">
        <v>168</v>
      </c>
      <c r="G195" s="62" t="s">
        <v>168</v>
      </c>
      <c r="H195" s="62" t="s">
        <v>168</v>
      </c>
      <c r="I195" s="62" t="s">
        <v>168</v>
      </c>
      <c r="J195" s="35">
        <v>2</v>
      </c>
      <c r="K195" s="52" t="s">
        <v>196</v>
      </c>
      <c r="L195" t="s">
        <v>168</v>
      </c>
    </row>
    <row r="196" spans="1:12" x14ac:dyDescent="0.25">
      <c r="A196" s="1" t="s">
        <v>10</v>
      </c>
      <c r="B196" s="1" t="s">
        <v>23</v>
      </c>
      <c r="C196" s="6" t="s">
        <v>168</v>
      </c>
      <c r="D196" s="33" t="s">
        <v>168</v>
      </c>
      <c r="E196" s="34" t="s">
        <v>168</v>
      </c>
      <c r="F196" s="62" t="s">
        <v>168</v>
      </c>
      <c r="G196" s="62" t="s">
        <v>168</v>
      </c>
      <c r="H196" s="62" t="s">
        <v>168</v>
      </c>
      <c r="I196" s="62" t="s">
        <v>168</v>
      </c>
      <c r="J196" s="35">
        <v>6</v>
      </c>
      <c r="K196" s="52" t="s">
        <v>196</v>
      </c>
      <c r="L196" t="s">
        <v>168</v>
      </c>
    </row>
    <row r="197" spans="1:12" x14ac:dyDescent="0.25">
      <c r="A197" s="1" t="s">
        <v>10</v>
      </c>
      <c r="B197" s="1" t="s">
        <v>54</v>
      </c>
      <c r="C197" s="6">
        <v>43</v>
      </c>
      <c r="D197" s="33">
        <v>59</v>
      </c>
      <c r="E197" s="34">
        <v>68</v>
      </c>
      <c r="F197" s="36">
        <v>71</v>
      </c>
      <c r="G197" s="36">
        <v>72</v>
      </c>
      <c r="H197" s="36">
        <v>76</v>
      </c>
      <c r="I197" s="36">
        <v>77</v>
      </c>
      <c r="J197" s="35">
        <v>15</v>
      </c>
      <c r="K197" s="52" t="s">
        <v>196</v>
      </c>
      <c r="L197" t="s">
        <v>168</v>
      </c>
    </row>
    <row r="198" spans="1:12" x14ac:dyDescent="0.25">
      <c r="A198" s="1" t="s">
        <v>10</v>
      </c>
      <c r="B198" s="1" t="s">
        <v>83</v>
      </c>
      <c r="C198" s="6">
        <v>42</v>
      </c>
      <c r="D198" s="33">
        <v>58</v>
      </c>
      <c r="E198" s="34">
        <v>59</v>
      </c>
      <c r="F198" s="36">
        <v>71</v>
      </c>
      <c r="G198" s="36">
        <v>72</v>
      </c>
      <c r="H198" s="36">
        <v>73</v>
      </c>
      <c r="I198" s="36">
        <v>75</v>
      </c>
      <c r="J198" s="35">
        <v>13</v>
      </c>
      <c r="K198" s="52" t="s">
        <v>196</v>
      </c>
      <c r="L198" t="s">
        <v>168</v>
      </c>
    </row>
    <row r="199" spans="1:12" x14ac:dyDescent="0.25">
      <c r="A199" s="1" t="s">
        <v>10</v>
      </c>
      <c r="B199" s="1" t="s">
        <v>24</v>
      </c>
      <c r="C199" s="6">
        <v>52</v>
      </c>
      <c r="D199" s="33">
        <v>68</v>
      </c>
      <c r="E199" s="34">
        <v>70</v>
      </c>
      <c r="F199" s="36">
        <v>86</v>
      </c>
      <c r="G199" s="36">
        <v>87</v>
      </c>
      <c r="H199" s="36">
        <v>89</v>
      </c>
      <c r="I199" s="36">
        <v>89</v>
      </c>
      <c r="J199" s="35">
        <v>8</v>
      </c>
      <c r="K199" s="52" t="s">
        <v>196</v>
      </c>
      <c r="L199" t="s">
        <v>168</v>
      </c>
    </row>
    <row r="200" spans="1:12" x14ac:dyDescent="0.25">
      <c r="A200" s="1" t="s">
        <v>10</v>
      </c>
      <c r="B200" s="1" t="s">
        <v>90</v>
      </c>
      <c r="C200" s="63">
        <v>52</v>
      </c>
      <c r="D200" s="33">
        <v>77</v>
      </c>
      <c r="E200" s="34">
        <v>78</v>
      </c>
      <c r="F200" s="36">
        <v>92</v>
      </c>
      <c r="G200" s="36">
        <v>92</v>
      </c>
      <c r="H200" s="36">
        <v>96</v>
      </c>
      <c r="I200" s="36">
        <v>96</v>
      </c>
      <c r="J200" s="35">
        <v>8</v>
      </c>
      <c r="K200" s="52" t="s">
        <v>196</v>
      </c>
      <c r="L200" t="s">
        <v>168</v>
      </c>
    </row>
    <row r="201" spans="1:12" x14ac:dyDescent="0.25">
      <c r="A201" s="1" t="s">
        <v>10</v>
      </c>
      <c r="B201" s="1" t="s">
        <v>55</v>
      </c>
      <c r="C201" s="6" t="s">
        <v>168</v>
      </c>
      <c r="D201" s="33" t="s">
        <v>168</v>
      </c>
      <c r="E201" s="34" t="s">
        <v>168</v>
      </c>
      <c r="F201" s="62" t="s">
        <v>168</v>
      </c>
      <c r="G201" s="62" t="s">
        <v>168</v>
      </c>
      <c r="H201" s="62" t="s">
        <v>168</v>
      </c>
      <c r="I201" s="62" t="s">
        <v>168</v>
      </c>
      <c r="J201" s="35" t="s">
        <v>168</v>
      </c>
      <c r="K201" s="52" t="s">
        <v>196</v>
      </c>
      <c r="L201" t="s">
        <v>168</v>
      </c>
    </row>
    <row r="202" spans="1:12" x14ac:dyDescent="0.25">
      <c r="A202" s="1" t="s">
        <v>10</v>
      </c>
      <c r="B202" s="1" t="s">
        <v>25</v>
      </c>
      <c r="C202" s="6">
        <v>52</v>
      </c>
      <c r="D202" s="33">
        <v>69</v>
      </c>
      <c r="E202" s="34">
        <v>70</v>
      </c>
      <c r="F202" s="36">
        <v>87</v>
      </c>
      <c r="G202" s="36">
        <v>88</v>
      </c>
      <c r="H202" s="62" t="s">
        <v>168</v>
      </c>
      <c r="I202" s="62" t="s">
        <v>168</v>
      </c>
      <c r="J202" s="35">
        <v>6</v>
      </c>
      <c r="K202" s="52" t="s">
        <v>196</v>
      </c>
      <c r="L202" t="s">
        <v>168</v>
      </c>
    </row>
    <row r="203" spans="1:12" x14ac:dyDescent="0.25">
      <c r="A203" s="1" t="s">
        <v>10</v>
      </c>
      <c r="B203" s="1" t="s">
        <v>26</v>
      </c>
      <c r="C203" s="6">
        <v>46</v>
      </c>
      <c r="D203" s="33">
        <v>63</v>
      </c>
      <c r="E203" s="34">
        <v>66</v>
      </c>
      <c r="F203" s="36">
        <v>79</v>
      </c>
      <c r="G203" s="36">
        <v>79</v>
      </c>
      <c r="H203" s="36">
        <v>83</v>
      </c>
      <c r="I203" s="62" t="s">
        <v>185</v>
      </c>
      <c r="J203" s="35">
        <v>8</v>
      </c>
      <c r="K203" s="52" t="s">
        <v>196</v>
      </c>
      <c r="L203" t="s">
        <v>168</v>
      </c>
    </row>
    <row r="204" spans="1:12" x14ac:dyDescent="0.25">
      <c r="A204" s="1" t="s">
        <v>10</v>
      </c>
      <c r="B204" s="1" t="s">
        <v>75</v>
      </c>
      <c r="C204" s="6">
        <v>50</v>
      </c>
      <c r="D204" s="33">
        <v>65</v>
      </c>
      <c r="E204" s="34">
        <v>65</v>
      </c>
      <c r="F204" s="36">
        <v>82</v>
      </c>
      <c r="G204" s="36">
        <v>84</v>
      </c>
      <c r="H204" s="62" t="s">
        <v>182</v>
      </c>
      <c r="I204" s="62" t="s">
        <v>168</v>
      </c>
      <c r="J204" s="35">
        <v>7</v>
      </c>
      <c r="K204" s="52" t="s">
        <v>196</v>
      </c>
      <c r="L204" t="s">
        <v>168</v>
      </c>
    </row>
    <row r="205" spans="1:12" x14ac:dyDescent="0.25">
      <c r="A205" s="1" t="s">
        <v>10</v>
      </c>
      <c r="B205" s="1" t="s">
        <v>27</v>
      </c>
      <c r="C205" s="6">
        <v>53</v>
      </c>
      <c r="D205" s="33">
        <v>68</v>
      </c>
      <c r="E205" s="34">
        <v>72</v>
      </c>
      <c r="F205" s="36">
        <v>87</v>
      </c>
      <c r="G205" s="36">
        <v>96</v>
      </c>
      <c r="H205" s="62" t="s">
        <v>168</v>
      </c>
      <c r="I205" s="62" t="s">
        <v>168</v>
      </c>
      <c r="J205" s="35">
        <v>6</v>
      </c>
      <c r="K205" s="52" t="s">
        <v>196</v>
      </c>
      <c r="L205" t="s">
        <v>168</v>
      </c>
    </row>
    <row r="206" spans="1:12" x14ac:dyDescent="0.25">
      <c r="A206" s="1" t="s">
        <v>10</v>
      </c>
      <c r="B206" s="1" t="s">
        <v>28</v>
      </c>
      <c r="C206" s="6">
        <v>52</v>
      </c>
      <c r="D206" s="33">
        <v>68</v>
      </c>
      <c r="E206" s="34">
        <v>68</v>
      </c>
      <c r="F206" s="36">
        <v>84</v>
      </c>
      <c r="G206" s="36">
        <v>85</v>
      </c>
      <c r="H206" s="62" t="s">
        <v>168</v>
      </c>
      <c r="I206" s="62" t="s">
        <v>168</v>
      </c>
      <c r="J206" s="35">
        <v>6</v>
      </c>
      <c r="K206" s="52" t="s">
        <v>196</v>
      </c>
      <c r="L206" t="s">
        <v>168</v>
      </c>
    </row>
    <row r="207" spans="1:12" x14ac:dyDescent="0.25">
      <c r="A207" s="1" t="s">
        <v>10</v>
      </c>
      <c r="B207" s="1" t="s">
        <v>29</v>
      </c>
      <c r="C207" s="6">
        <v>70</v>
      </c>
      <c r="D207" s="33" t="s">
        <v>168</v>
      </c>
      <c r="E207" s="34" t="s">
        <v>168</v>
      </c>
      <c r="F207" s="62" t="s">
        <v>168</v>
      </c>
      <c r="G207" s="62" t="s">
        <v>168</v>
      </c>
      <c r="H207" s="62" t="s">
        <v>168</v>
      </c>
      <c r="I207" s="62" t="s">
        <v>168</v>
      </c>
      <c r="J207" s="35">
        <v>2</v>
      </c>
      <c r="K207" s="52" t="s">
        <v>196</v>
      </c>
      <c r="L207" t="s">
        <v>168</v>
      </c>
    </row>
    <row r="208" spans="1:12" x14ac:dyDescent="0.25">
      <c r="A208" s="1" t="s">
        <v>10</v>
      </c>
      <c r="B208" s="1" t="s">
        <v>57</v>
      </c>
      <c r="C208" s="6">
        <v>48</v>
      </c>
      <c r="D208" s="33">
        <v>64</v>
      </c>
      <c r="E208" s="34">
        <v>69</v>
      </c>
      <c r="F208" s="36">
        <v>87</v>
      </c>
      <c r="G208" s="36">
        <v>91</v>
      </c>
      <c r="H208" s="62" t="s">
        <v>168</v>
      </c>
      <c r="I208" s="62" t="s">
        <v>168</v>
      </c>
      <c r="J208" s="35">
        <v>6</v>
      </c>
      <c r="K208" s="52" t="s">
        <v>196</v>
      </c>
      <c r="L208" t="s">
        <v>168</v>
      </c>
    </row>
    <row r="209" spans="1:12" x14ac:dyDescent="0.25">
      <c r="A209" s="1" t="s">
        <v>10</v>
      </c>
      <c r="B209" s="1" t="s">
        <v>30</v>
      </c>
      <c r="C209" s="6">
        <v>48</v>
      </c>
      <c r="D209" s="33">
        <v>63</v>
      </c>
      <c r="E209" s="34">
        <v>63</v>
      </c>
      <c r="F209" s="36">
        <v>77</v>
      </c>
      <c r="G209" s="36">
        <v>77</v>
      </c>
      <c r="H209" s="36">
        <v>84</v>
      </c>
      <c r="I209" s="62" t="s">
        <v>168</v>
      </c>
      <c r="J209" s="35">
        <v>7</v>
      </c>
      <c r="K209" s="52" t="s">
        <v>196</v>
      </c>
      <c r="L209" t="s">
        <v>168</v>
      </c>
    </row>
    <row r="210" spans="1:12" x14ac:dyDescent="0.25">
      <c r="A210" s="1" t="s">
        <v>10</v>
      </c>
      <c r="B210" s="1" t="s">
        <v>31</v>
      </c>
      <c r="C210" s="6">
        <v>58</v>
      </c>
      <c r="D210" s="33">
        <v>77</v>
      </c>
      <c r="E210" s="34">
        <v>77</v>
      </c>
      <c r="F210" s="36">
        <v>94</v>
      </c>
      <c r="G210" s="62" t="s">
        <v>186</v>
      </c>
      <c r="H210" s="62" t="s">
        <v>168</v>
      </c>
      <c r="I210" s="62" t="s">
        <v>168</v>
      </c>
      <c r="J210" s="35">
        <v>6</v>
      </c>
      <c r="K210" s="52" t="s">
        <v>196</v>
      </c>
      <c r="L210" t="s">
        <v>168</v>
      </c>
    </row>
    <row r="211" spans="1:12" x14ac:dyDescent="0.25">
      <c r="A211" s="1" t="s">
        <v>10</v>
      </c>
      <c r="B211" s="1" t="s">
        <v>32</v>
      </c>
      <c r="C211" s="6">
        <v>61</v>
      </c>
      <c r="D211" s="33">
        <v>72</v>
      </c>
      <c r="E211" s="34">
        <v>75</v>
      </c>
      <c r="F211" s="36">
        <v>91</v>
      </c>
      <c r="G211" s="36">
        <v>91</v>
      </c>
      <c r="H211" s="36">
        <v>94</v>
      </c>
      <c r="I211" s="36">
        <v>94</v>
      </c>
      <c r="J211" s="35">
        <v>8</v>
      </c>
      <c r="K211" s="52" t="s">
        <v>196</v>
      </c>
      <c r="L211" t="s">
        <v>168</v>
      </c>
    </row>
    <row r="212" spans="1:12" x14ac:dyDescent="0.25">
      <c r="A212" s="1" t="s">
        <v>10</v>
      </c>
      <c r="B212" s="1" t="s">
        <v>33</v>
      </c>
      <c r="C212" s="6">
        <v>47</v>
      </c>
      <c r="D212" s="33">
        <v>65</v>
      </c>
      <c r="E212" s="34">
        <v>70</v>
      </c>
      <c r="F212" s="36">
        <v>90</v>
      </c>
      <c r="G212" s="36">
        <v>92</v>
      </c>
      <c r="H212" s="62" t="s">
        <v>168</v>
      </c>
      <c r="I212" s="62" t="s">
        <v>168</v>
      </c>
      <c r="J212" s="35">
        <v>6</v>
      </c>
      <c r="K212" s="52" t="s">
        <v>196</v>
      </c>
      <c r="L212" t="s">
        <v>168</v>
      </c>
    </row>
    <row r="213" spans="1:12" x14ac:dyDescent="0.25">
      <c r="A213" s="1" t="s">
        <v>10</v>
      </c>
      <c r="B213" s="1" t="s">
        <v>58</v>
      </c>
      <c r="C213" s="6">
        <v>44</v>
      </c>
      <c r="D213" s="33">
        <v>63</v>
      </c>
      <c r="E213" s="34">
        <v>63</v>
      </c>
      <c r="F213" s="36">
        <v>85</v>
      </c>
      <c r="G213" s="36">
        <v>87</v>
      </c>
      <c r="H213" s="62" t="s">
        <v>168</v>
      </c>
      <c r="I213" s="62" t="s">
        <v>168</v>
      </c>
      <c r="J213" s="35">
        <v>6</v>
      </c>
      <c r="K213" s="52" t="s">
        <v>196</v>
      </c>
      <c r="L213" t="s">
        <v>168</v>
      </c>
    </row>
    <row r="214" spans="1:12" x14ac:dyDescent="0.25">
      <c r="A214" s="1" t="s">
        <v>10</v>
      </c>
      <c r="B214" s="1" t="s">
        <v>84</v>
      </c>
      <c r="C214" s="6">
        <v>48</v>
      </c>
      <c r="D214" s="33">
        <v>64</v>
      </c>
      <c r="E214" s="34">
        <v>65</v>
      </c>
      <c r="F214" s="36">
        <v>81</v>
      </c>
      <c r="G214" s="36">
        <v>81</v>
      </c>
      <c r="H214" s="62" t="s">
        <v>187</v>
      </c>
      <c r="I214" s="62" t="s">
        <v>188</v>
      </c>
      <c r="J214" s="35">
        <v>8</v>
      </c>
      <c r="K214" s="52" t="s">
        <v>196</v>
      </c>
      <c r="L214" t="s">
        <v>168</v>
      </c>
    </row>
    <row r="215" spans="1:12" x14ac:dyDescent="0.25">
      <c r="A215" s="1" t="s">
        <v>10</v>
      </c>
      <c r="B215" s="1" t="s">
        <v>34</v>
      </c>
      <c r="C215" s="6">
        <v>48</v>
      </c>
      <c r="D215" s="33">
        <v>72</v>
      </c>
      <c r="E215" s="34">
        <v>72</v>
      </c>
      <c r="F215" s="36">
        <v>85</v>
      </c>
      <c r="G215" s="36">
        <v>86</v>
      </c>
      <c r="H215" s="62" t="s">
        <v>189</v>
      </c>
      <c r="I215" s="62" t="s">
        <v>168</v>
      </c>
      <c r="J215" s="35">
        <v>7</v>
      </c>
      <c r="K215" s="52" t="s">
        <v>196</v>
      </c>
      <c r="L215" t="s">
        <v>168</v>
      </c>
    </row>
    <row r="216" spans="1:12" x14ac:dyDescent="0.25">
      <c r="A216" s="1" t="s">
        <v>10</v>
      </c>
      <c r="B216" s="1" t="s">
        <v>85</v>
      </c>
      <c r="C216" s="6">
        <v>51</v>
      </c>
      <c r="D216" s="33">
        <v>71</v>
      </c>
      <c r="E216" s="34">
        <v>72</v>
      </c>
      <c r="F216" s="36">
        <v>89</v>
      </c>
      <c r="G216" s="62" t="s">
        <v>190</v>
      </c>
      <c r="H216" s="62" t="s">
        <v>187</v>
      </c>
      <c r="I216" s="62" t="s">
        <v>168</v>
      </c>
      <c r="J216" s="35">
        <v>7</v>
      </c>
      <c r="K216" s="52" t="s">
        <v>196</v>
      </c>
      <c r="L216" t="s">
        <v>168</v>
      </c>
    </row>
    <row r="217" spans="1:12" x14ac:dyDescent="0.25">
      <c r="A217" s="1" t="s">
        <v>10</v>
      </c>
      <c r="B217" s="1" t="s">
        <v>76</v>
      </c>
      <c r="C217" s="6">
        <v>47</v>
      </c>
      <c r="D217" s="33">
        <v>64</v>
      </c>
      <c r="E217" s="34">
        <v>65</v>
      </c>
      <c r="F217" s="36">
        <v>78</v>
      </c>
      <c r="G217" s="36">
        <v>96</v>
      </c>
      <c r="H217" s="36">
        <v>96</v>
      </c>
      <c r="I217" s="62" t="s">
        <v>168</v>
      </c>
      <c r="J217" s="35">
        <v>7</v>
      </c>
      <c r="K217" s="52" t="s">
        <v>196</v>
      </c>
      <c r="L217" t="s">
        <v>168</v>
      </c>
    </row>
    <row r="218" spans="1:12" x14ac:dyDescent="0.25">
      <c r="A218" s="1" t="s">
        <v>10</v>
      </c>
      <c r="B218" s="1" t="s">
        <v>60</v>
      </c>
      <c r="C218" s="6">
        <v>48</v>
      </c>
      <c r="D218" s="33">
        <v>66</v>
      </c>
      <c r="E218" s="34">
        <v>69</v>
      </c>
      <c r="F218" s="36">
        <v>90</v>
      </c>
      <c r="G218" s="36">
        <v>96</v>
      </c>
      <c r="H218" s="62" t="s">
        <v>168</v>
      </c>
      <c r="I218" s="62" t="s">
        <v>168</v>
      </c>
      <c r="J218" s="35">
        <v>6</v>
      </c>
      <c r="K218" s="52" t="s">
        <v>196</v>
      </c>
      <c r="L218" t="s">
        <v>168</v>
      </c>
    </row>
    <row r="219" spans="1:12" x14ac:dyDescent="0.25">
      <c r="A219" s="1" t="s">
        <v>10</v>
      </c>
      <c r="B219" s="1" t="s">
        <v>96</v>
      </c>
      <c r="C219" s="6">
        <v>52</v>
      </c>
      <c r="D219" s="33">
        <v>66</v>
      </c>
      <c r="E219" s="34">
        <v>66</v>
      </c>
      <c r="F219" s="36">
        <v>81</v>
      </c>
      <c r="G219" s="36">
        <v>81</v>
      </c>
      <c r="H219" s="36">
        <v>83</v>
      </c>
      <c r="I219" s="62" t="s">
        <v>191</v>
      </c>
      <c r="J219" s="35">
        <v>8</v>
      </c>
      <c r="K219" s="52" t="s">
        <v>196</v>
      </c>
      <c r="L219" t="s">
        <v>168</v>
      </c>
    </row>
    <row r="220" spans="1:12" x14ac:dyDescent="0.25">
      <c r="A220" s="1" t="s">
        <v>10</v>
      </c>
      <c r="B220" s="1" t="s">
        <v>61</v>
      </c>
      <c r="C220" s="6">
        <v>37</v>
      </c>
      <c r="D220" s="33">
        <v>52</v>
      </c>
      <c r="E220" s="34">
        <v>55</v>
      </c>
      <c r="F220" s="36">
        <v>69</v>
      </c>
      <c r="G220" s="36">
        <v>69</v>
      </c>
      <c r="H220" s="36">
        <v>73</v>
      </c>
      <c r="I220" s="36">
        <v>73</v>
      </c>
      <c r="J220" s="35">
        <v>14</v>
      </c>
      <c r="K220" s="52" t="s">
        <v>196</v>
      </c>
      <c r="L220" t="s">
        <v>168</v>
      </c>
    </row>
    <row r="221" spans="1:12" x14ac:dyDescent="0.25">
      <c r="A221" s="1" t="s">
        <v>10</v>
      </c>
      <c r="B221" s="1" t="s">
        <v>86</v>
      </c>
      <c r="C221" s="6">
        <v>47</v>
      </c>
      <c r="D221" s="33">
        <v>84</v>
      </c>
      <c r="E221" s="34">
        <v>86</v>
      </c>
      <c r="F221" s="62" t="s">
        <v>168</v>
      </c>
      <c r="G221" s="62" t="s">
        <v>168</v>
      </c>
      <c r="H221" s="62" t="s">
        <v>168</v>
      </c>
      <c r="I221" s="62" t="s">
        <v>168</v>
      </c>
      <c r="J221" s="35">
        <v>4</v>
      </c>
      <c r="K221" s="52" t="s">
        <v>196</v>
      </c>
      <c r="L221" t="s">
        <v>168</v>
      </c>
    </row>
    <row r="222" spans="1:12" x14ac:dyDescent="0.25">
      <c r="A222" s="1" t="s">
        <v>10</v>
      </c>
      <c r="B222" s="1" t="s">
        <v>77</v>
      </c>
      <c r="C222" s="6">
        <v>48</v>
      </c>
      <c r="D222" s="33">
        <v>63</v>
      </c>
      <c r="E222" s="34">
        <v>63</v>
      </c>
      <c r="F222" s="36">
        <v>79</v>
      </c>
      <c r="G222" s="36">
        <v>84</v>
      </c>
      <c r="H222" s="36">
        <v>84</v>
      </c>
      <c r="I222" s="36">
        <v>89</v>
      </c>
      <c r="J222" s="35">
        <v>8</v>
      </c>
      <c r="K222" s="52" t="s">
        <v>196</v>
      </c>
      <c r="L222" t="s">
        <v>168</v>
      </c>
    </row>
    <row r="223" spans="1:12" x14ac:dyDescent="0.25">
      <c r="A223" s="1" t="s">
        <v>10</v>
      </c>
      <c r="B223" s="1" t="s">
        <v>35</v>
      </c>
      <c r="C223" s="6">
        <v>51</v>
      </c>
      <c r="D223" s="33">
        <v>73</v>
      </c>
      <c r="E223" s="34">
        <v>74</v>
      </c>
      <c r="F223" s="36">
        <v>89</v>
      </c>
      <c r="G223" s="36">
        <v>89</v>
      </c>
      <c r="H223" s="36">
        <v>90</v>
      </c>
      <c r="I223" s="62" t="s">
        <v>188</v>
      </c>
      <c r="J223" s="35">
        <v>8</v>
      </c>
      <c r="K223" s="52" t="s">
        <v>196</v>
      </c>
      <c r="L223" t="s">
        <v>168</v>
      </c>
    </row>
    <row r="224" spans="1:12" x14ac:dyDescent="0.25">
      <c r="A224" s="1" t="s">
        <v>10</v>
      </c>
      <c r="B224" s="1" t="s">
        <v>62</v>
      </c>
      <c r="C224" s="6">
        <v>37</v>
      </c>
      <c r="D224" s="33">
        <v>51</v>
      </c>
      <c r="E224" s="34">
        <v>51</v>
      </c>
      <c r="F224" s="36">
        <v>61</v>
      </c>
      <c r="G224" s="36">
        <v>63</v>
      </c>
      <c r="H224" s="36">
        <v>63</v>
      </c>
      <c r="I224" s="36">
        <v>69</v>
      </c>
      <c r="J224" s="35">
        <v>18</v>
      </c>
      <c r="K224" s="52" t="s">
        <v>196</v>
      </c>
      <c r="L224" t="s">
        <v>168</v>
      </c>
    </row>
    <row r="225" spans="1:12" x14ac:dyDescent="0.25">
      <c r="A225" s="1" t="s">
        <v>10</v>
      </c>
      <c r="B225" s="1" t="s">
        <v>91</v>
      </c>
      <c r="C225" s="6">
        <v>43</v>
      </c>
      <c r="D225" s="33">
        <v>57</v>
      </c>
      <c r="E225" s="34">
        <v>58</v>
      </c>
      <c r="F225" s="36">
        <v>70</v>
      </c>
      <c r="G225" s="36">
        <v>71</v>
      </c>
      <c r="H225" s="36">
        <v>72</v>
      </c>
      <c r="I225" s="36">
        <v>77</v>
      </c>
      <c r="J225" s="35">
        <v>11</v>
      </c>
      <c r="K225" s="52" t="s">
        <v>196</v>
      </c>
      <c r="L225" t="s">
        <v>168</v>
      </c>
    </row>
    <row r="226" spans="1:12" x14ac:dyDescent="0.25">
      <c r="A226" s="1" t="s">
        <v>10</v>
      </c>
      <c r="B226" s="1" t="s">
        <v>36</v>
      </c>
      <c r="C226" s="6">
        <v>42</v>
      </c>
      <c r="D226" s="33">
        <v>57</v>
      </c>
      <c r="E226" s="34">
        <v>58</v>
      </c>
      <c r="F226" s="36">
        <v>68</v>
      </c>
      <c r="G226" s="36">
        <v>68</v>
      </c>
      <c r="H226" s="36">
        <v>68</v>
      </c>
      <c r="I226" s="36">
        <v>68</v>
      </c>
      <c r="J226" s="35">
        <v>29</v>
      </c>
      <c r="K226" s="52" t="s">
        <v>196</v>
      </c>
      <c r="L226" t="s">
        <v>168</v>
      </c>
    </row>
    <row r="227" spans="1:12" x14ac:dyDescent="0.25">
      <c r="A227" s="1" t="s">
        <v>10</v>
      </c>
      <c r="B227" s="1" t="s">
        <v>63</v>
      </c>
      <c r="C227" s="6">
        <v>51</v>
      </c>
      <c r="D227" s="33">
        <v>66</v>
      </c>
      <c r="E227" s="34">
        <v>68</v>
      </c>
      <c r="F227" s="36">
        <v>82</v>
      </c>
      <c r="G227" s="36">
        <v>82</v>
      </c>
      <c r="H227" s="62" t="s">
        <v>183</v>
      </c>
      <c r="I227" s="62" t="s">
        <v>192</v>
      </c>
      <c r="J227" s="35">
        <v>8</v>
      </c>
      <c r="K227" s="52" t="s">
        <v>196</v>
      </c>
      <c r="L227" t="s">
        <v>168</v>
      </c>
    </row>
    <row r="228" spans="1:12" x14ac:dyDescent="0.25">
      <c r="A228" s="1" t="s">
        <v>10</v>
      </c>
      <c r="B228" s="1" t="s">
        <v>78</v>
      </c>
      <c r="C228" s="6">
        <v>52</v>
      </c>
      <c r="D228" s="33">
        <v>71</v>
      </c>
      <c r="E228" s="34">
        <v>75</v>
      </c>
      <c r="F228" s="62" t="s">
        <v>168</v>
      </c>
      <c r="G228" s="62" t="s">
        <v>168</v>
      </c>
      <c r="H228" s="62" t="s">
        <v>168</v>
      </c>
      <c r="I228" s="62" t="s">
        <v>168</v>
      </c>
      <c r="J228" s="35">
        <v>4</v>
      </c>
      <c r="K228" s="52" t="s">
        <v>196</v>
      </c>
      <c r="L228" t="s">
        <v>168</v>
      </c>
    </row>
    <row r="229" spans="1:12" x14ac:dyDescent="0.25">
      <c r="A229" s="1" t="s">
        <v>10</v>
      </c>
      <c r="B229" s="1" t="s">
        <v>37</v>
      </c>
      <c r="C229" s="6">
        <v>84</v>
      </c>
      <c r="D229" s="33" t="s">
        <v>168</v>
      </c>
      <c r="E229" s="34" t="s">
        <v>168</v>
      </c>
      <c r="F229" s="62" t="s">
        <v>168</v>
      </c>
      <c r="G229" s="62" t="s">
        <v>168</v>
      </c>
      <c r="H229" s="62" t="s">
        <v>168</v>
      </c>
      <c r="I229" s="62" t="s">
        <v>168</v>
      </c>
      <c r="J229" s="35">
        <v>2</v>
      </c>
      <c r="K229" s="52" t="s">
        <v>196</v>
      </c>
      <c r="L229" t="s">
        <v>168</v>
      </c>
    </row>
    <row r="230" spans="1:12" x14ac:dyDescent="0.25">
      <c r="A230" s="1" t="s">
        <v>10</v>
      </c>
      <c r="B230" s="1" t="s">
        <v>64</v>
      </c>
      <c r="C230" s="6">
        <v>71</v>
      </c>
      <c r="D230" s="33">
        <v>96</v>
      </c>
      <c r="E230" s="34">
        <v>96</v>
      </c>
      <c r="F230" s="62" t="s">
        <v>168</v>
      </c>
      <c r="G230" s="62" t="s">
        <v>168</v>
      </c>
      <c r="H230" s="62" t="s">
        <v>168</v>
      </c>
      <c r="I230" s="62" t="s">
        <v>168</v>
      </c>
      <c r="J230" s="35">
        <v>4</v>
      </c>
      <c r="K230" s="52" t="s">
        <v>196</v>
      </c>
      <c r="L230" t="s">
        <v>168</v>
      </c>
    </row>
    <row r="231" spans="1:12" x14ac:dyDescent="0.25">
      <c r="A231" s="1" t="s">
        <v>10</v>
      </c>
      <c r="B231" s="1" t="s">
        <v>38</v>
      </c>
      <c r="C231" s="6">
        <v>46</v>
      </c>
      <c r="D231" s="33">
        <v>58</v>
      </c>
      <c r="E231" s="34">
        <v>59</v>
      </c>
      <c r="F231" s="36">
        <v>73</v>
      </c>
      <c r="G231" s="36">
        <v>73</v>
      </c>
      <c r="H231" s="36">
        <v>74</v>
      </c>
      <c r="I231" s="36">
        <v>75</v>
      </c>
      <c r="J231" s="35">
        <v>16</v>
      </c>
      <c r="K231" s="52" t="s">
        <v>196</v>
      </c>
      <c r="L231" t="s">
        <v>168</v>
      </c>
    </row>
    <row r="232" spans="1:12" x14ac:dyDescent="0.25">
      <c r="A232" s="1" t="s">
        <v>10</v>
      </c>
      <c r="B232" s="1" t="s">
        <v>39</v>
      </c>
      <c r="C232" s="6">
        <v>66</v>
      </c>
      <c r="D232" s="33">
        <v>78</v>
      </c>
      <c r="E232" s="34">
        <v>84</v>
      </c>
      <c r="F232" s="62" t="s">
        <v>168</v>
      </c>
      <c r="G232" s="62" t="s">
        <v>168</v>
      </c>
      <c r="H232" s="62" t="s">
        <v>168</v>
      </c>
      <c r="I232" s="62" t="s">
        <v>168</v>
      </c>
      <c r="J232" s="35">
        <v>4</v>
      </c>
      <c r="K232" s="52" t="s">
        <v>196</v>
      </c>
      <c r="L232" t="s">
        <v>168</v>
      </c>
    </row>
    <row r="233" spans="1:12" x14ac:dyDescent="0.25">
      <c r="A233" s="1" t="s">
        <v>10</v>
      </c>
      <c r="B233" s="1" t="s">
        <v>87</v>
      </c>
      <c r="C233" s="6">
        <v>44</v>
      </c>
      <c r="D233" s="33">
        <v>64</v>
      </c>
      <c r="E233" s="34">
        <v>64</v>
      </c>
      <c r="F233" s="36">
        <v>83</v>
      </c>
      <c r="G233" s="36">
        <v>83</v>
      </c>
      <c r="H233" s="36">
        <v>83</v>
      </c>
      <c r="I233" s="62" t="s">
        <v>191</v>
      </c>
      <c r="J233" s="35">
        <v>8</v>
      </c>
      <c r="K233" s="52" t="s">
        <v>196</v>
      </c>
      <c r="L233" t="s">
        <v>168</v>
      </c>
    </row>
    <row r="234" spans="1:12" x14ac:dyDescent="0.25">
      <c r="A234" s="1" t="s">
        <v>10</v>
      </c>
      <c r="B234" s="1" t="s">
        <v>65</v>
      </c>
      <c r="C234" s="6">
        <v>49</v>
      </c>
      <c r="D234" s="33">
        <v>59</v>
      </c>
      <c r="E234" s="34">
        <v>59</v>
      </c>
      <c r="F234" s="36">
        <v>75</v>
      </c>
      <c r="G234" s="36">
        <v>75</v>
      </c>
      <c r="H234" s="36">
        <v>82</v>
      </c>
      <c r="I234" s="36">
        <v>82</v>
      </c>
      <c r="J234" s="35">
        <v>12</v>
      </c>
      <c r="K234" s="52" t="s">
        <v>196</v>
      </c>
      <c r="L234" t="s">
        <v>168</v>
      </c>
    </row>
    <row r="235" spans="1:12" x14ac:dyDescent="0.25">
      <c r="A235" s="1" t="s">
        <v>10</v>
      </c>
      <c r="B235" s="1" t="s">
        <v>79</v>
      </c>
      <c r="C235" s="6">
        <v>65</v>
      </c>
      <c r="D235" s="33" t="s">
        <v>168</v>
      </c>
      <c r="E235" s="34" t="s">
        <v>168</v>
      </c>
      <c r="F235" s="62" t="s">
        <v>168</v>
      </c>
      <c r="G235" s="62" t="s">
        <v>168</v>
      </c>
      <c r="H235" s="62" t="s">
        <v>168</v>
      </c>
      <c r="I235" s="62" t="s">
        <v>168</v>
      </c>
      <c r="J235" s="35">
        <v>2</v>
      </c>
      <c r="K235" s="52" t="s">
        <v>196</v>
      </c>
      <c r="L235" t="s">
        <v>168</v>
      </c>
    </row>
    <row r="236" spans="1:12" x14ac:dyDescent="0.25">
      <c r="A236" s="1" t="s">
        <v>10</v>
      </c>
      <c r="B236" s="1" t="s">
        <v>66</v>
      </c>
      <c r="C236" s="6">
        <v>52</v>
      </c>
      <c r="D236" s="33">
        <v>68</v>
      </c>
      <c r="E236" s="34">
        <v>68</v>
      </c>
      <c r="F236" s="36">
        <v>82</v>
      </c>
      <c r="G236" s="36">
        <v>86</v>
      </c>
      <c r="H236" s="36">
        <v>93</v>
      </c>
      <c r="I236" s="36">
        <v>96</v>
      </c>
      <c r="J236" s="35">
        <v>8</v>
      </c>
      <c r="K236" s="52" t="s">
        <v>196</v>
      </c>
      <c r="L236" t="s">
        <v>168</v>
      </c>
    </row>
    <row r="237" spans="1:12" x14ac:dyDescent="0.25">
      <c r="A237" s="1" t="s">
        <v>10</v>
      </c>
      <c r="B237" s="1" t="s">
        <v>92</v>
      </c>
      <c r="C237" s="6">
        <v>55</v>
      </c>
      <c r="D237" s="33">
        <v>77</v>
      </c>
      <c r="E237" s="34">
        <v>81</v>
      </c>
      <c r="F237" s="36">
        <v>95</v>
      </c>
      <c r="G237" s="62" t="s">
        <v>168</v>
      </c>
      <c r="H237" s="62" t="s">
        <v>168</v>
      </c>
      <c r="I237" s="62" t="s">
        <v>168</v>
      </c>
      <c r="J237" s="35">
        <v>5</v>
      </c>
      <c r="K237" s="52" t="s">
        <v>196</v>
      </c>
      <c r="L237" t="s">
        <v>168</v>
      </c>
    </row>
    <row r="238" spans="1:12" x14ac:dyDescent="0.25">
      <c r="A238" s="1" t="s">
        <v>10</v>
      </c>
      <c r="B238" s="1" t="s">
        <v>67</v>
      </c>
      <c r="C238" s="6">
        <v>71</v>
      </c>
      <c r="D238" s="33">
        <v>93</v>
      </c>
      <c r="E238" s="34">
        <v>96</v>
      </c>
      <c r="F238" s="62" t="s">
        <v>168</v>
      </c>
      <c r="G238" s="62" t="s">
        <v>168</v>
      </c>
      <c r="H238" s="62" t="s">
        <v>168</v>
      </c>
      <c r="I238" s="62" t="s">
        <v>168</v>
      </c>
      <c r="J238" s="35">
        <v>4</v>
      </c>
      <c r="K238" s="52" t="s">
        <v>196</v>
      </c>
      <c r="L238" t="s">
        <v>168</v>
      </c>
    </row>
    <row r="239" spans="1:12" x14ac:dyDescent="0.25">
      <c r="A239" s="1" t="s">
        <v>10</v>
      </c>
      <c r="B239" s="1" t="s">
        <v>68</v>
      </c>
      <c r="C239" s="6">
        <v>44</v>
      </c>
      <c r="D239" s="33">
        <v>59</v>
      </c>
      <c r="E239" s="34">
        <v>61</v>
      </c>
      <c r="F239" s="36">
        <v>71</v>
      </c>
      <c r="G239" s="36">
        <v>77</v>
      </c>
      <c r="H239" s="36">
        <v>79</v>
      </c>
      <c r="I239" s="36">
        <v>79</v>
      </c>
      <c r="J239" s="35">
        <v>10</v>
      </c>
      <c r="K239" s="52" t="s">
        <v>196</v>
      </c>
      <c r="L239" t="s">
        <v>168</v>
      </c>
    </row>
    <row r="240" spans="1:12" x14ac:dyDescent="0.25">
      <c r="A240" s="1" t="s">
        <v>10</v>
      </c>
      <c r="B240" s="1" t="s">
        <v>40</v>
      </c>
      <c r="C240" s="6">
        <v>54</v>
      </c>
      <c r="D240" s="33">
        <v>70</v>
      </c>
      <c r="E240" s="34">
        <v>71</v>
      </c>
      <c r="F240" s="36">
        <v>85</v>
      </c>
      <c r="G240" s="36">
        <v>90</v>
      </c>
      <c r="H240" s="36">
        <v>96</v>
      </c>
      <c r="I240" s="62" t="s">
        <v>168</v>
      </c>
      <c r="J240" s="35">
        <v>7</v>
      </c>
      <c r="K240" s="52" t="s">
        <v>196</v>
      </c>
      <c r="L240" t="s">
        <v>168</v>
      </c>
    </row>
    <row r="241" spans="1:12" x14ac:dyDescent="0.25">
      <c r="A241" s="1" t="s">
        <v>10</v>
      </c>
      <c r="B241" s="1" t="s">
        <v>69</v>
      </c>
      <c r="C241" s="6">
        <v>57</v>
      </c>
      <c r="D241" s="33">
        <v>78</v>
      </c>
      <c r="E241" s="34">
        <v>82</v>
      </c>
      <c r="F241" s="62" t="s">
        <v>168</v>
      </c>
      <c r="G241" s="62" t="s">
        <v>168</v>
      </c>
      <c r="H241" s="62" t="s">
        <v>168</v>
      </c>
      <c r="I241" s="62" t="s">
        <v>168</v>
      </c>
      <c r="J241" s="35">
        <v>4</v>
      </c>
      <c r="K241" s="52" t="s">
        <v>196</v>
      </c>
      <c r="L241" t="s">
        <v>168</v>
      </c>
    </row>
    <row r="242" spans="1:12" x14ac:dyDescent="0.25">
      <c r="A242" s="1" t="s">
        <v>10</v>
      </c>
      <c r="B242" s="1" t="s">
        <v>41</v>
      </c>
      <c r="C242" s="6">
        <v>43</v>
      </c>
      <c r="D242" s="33">
        <v>63</v>
      </c>
      <c r="E242" s="34">
        <v>63</v>
      </c>
      <c r="F242" s="36">
        <v>77</v>
      </c>
      <c r="G242" s="36">
        <v>79</v>
      </c>
      <c r="H242" s="36">
        <v>92</v>
      </c>
      <c r="I242" s="36">
        <v>92</v>
      </c>
      <c r="J242" s="35">
        <v>8</v>
      </c>
      <c r="K242" s="52" t="s">
        <v>196</v>
      </c>
      <c r="L242" t="s">
        <v>168</v>
      </c>
    </row>
    <row r="243" spans="1:12" x14ac:dyDescent="0.25">
      <c r="A243" s="1" t="s">
        <v>10</v>
      </c>
      <c r="B243" s="1" t="s">
        <v>42</v>
      </c>
      <c r="C243" s="6">
        <v>61</v>
      </c>
      <c r="D243" s="33">
        <v>81</v>
      </c>
      <c r="E243" s="34">
        <v>84</v>
      </c>
      <c r="F243" s="62" t="s">
        <v>168</v>
      </c>
      <c r="G243" s="62" t="s">
        <v>168</v>
      </c>
      <c r="H243" s="62" t="s">
        <v>168</v>
      </c>
      <c r="I243" s="62" t="s">
        <v>168</v>
      </c>
      <c r="J243" s="35">
        <v>4</v>
      </c>
      <c r="K243" s="52" t="s">
        <v>196</v>
      </c>
      <c r="L243" t="s">
        <v>168</v>
      </c>
    </row>
    <row r="244" spans="1:12" x14ac:dyDescent="0.25">
      <c r="A244" s="1" t="s">
        <v>10</v>
      </c>
      <c r="B244" s="1" t="s">
        <v>43</v>
      </c>
      <c r="C244" s="6">
        <v>54</v>
      </c>
      <c r="D244" s="33">
        <v>73</v>
      </c>
      <c r="E244" s="34">
        <v>73</v>
      </c>
      <c r="F244" s="36">
        <v>85</v>
      </c>
      <c r="G244" s="62" t="s">
        <v>190</v>
      </c>
      <c r="H244" s="62" t="s">
        <v>193</v>
      </c>
      <c r="I244" s="62" t="s">
        <v>168</v>
      </c>
      <c r="J244" s="35">
        <v>7</v>
      </c>
      <c r="K244" s="52" t="s">
        <v>196</v>
      </c>
      <c r="L244" t="s">
        <v>168</v>
      </c>
    </row>
    <row r="245" spans="1:12" x14ac:dyDescent="0.25">
      <c r="A245" s="1" t="s">
        <v>10</v>
      </c>
      <c r="B245" s="1" t="s">
        <v>70</v>
      </c>
      <c r="C245" s="6">
        <v>43</v>
      </c>
      <c r="D245" s="33">
        <v>58</v>
      </c>
      <c r="E245" s="34">
        <v>60</v>
      </c>
      <c r="F245" s="36">
        <v>76</v>
      </c>
      <c r="G245" s="36">
        <v>76</v>
      </c>
      <c r="H245" s="36">
        <v>78</v>
      </c>
      <c r="I245" s="36">
        <v>88</v>
      </c>
      <c r="J245" s="35">
        <v>11</v>
      </c>
      <c r="K245" s="52" t="s">
        <v>196</v>
      </c>
      <c r="L245" t="s">
        <v>168</v>
      </c>
    </row>
    <row r="246" spans="1:12" x14ac:dyDescent="0.25">
      <c r="A246" s="1" t="s">
        <v>10</v>
      </c>
      <c r="B246" s="1" t="s">
        <v>44</v>
      </c>
      <c r="C246" s="6">
        <v>52</v>
      </c>
      <c r="D246" s="33">
        <v>72</v>
      </c>
      <c r="E246" s="34">
        <v>74</v>
      </c>
      <c r="F246" s="62" t="s">
        <v>168</v>
      </c>
      <c r="G246" s="62" t="s">
        <v>168</v>
      </c>
      <c r="H246" s="62" t="s">
        <v>168</v>
      </c>
      <c r="I246" s="62" t="s">
        <v>168</v>
      </c>
      <c r="J246" s="35">
        <v>4</v>
      </c>
      <c r="K246" s="52" t="s">
        <v>196</v>
      </c>
      <c r="L246" t="s">
        <v>168</v>
      </c>
    </row>
    <row r="247" spans="1:12" x14ac:dyDescent="0.25">
      <c r="A247" s="1" t="s">
        <v>10</v>
      </c>
      <c r="B247" s="1" t="s">
        <v>80</v>
      </c>
      <c r="C247" s="6">
        <v>54</v>
      </c>
      <c r="D247" s="33">
        <v>74</v>
      </c>
      <c r="E247" s="34">
        <v>74</v>
      </c>
      <c r="F247" s="36">
        <v>90</v>
      </c>
      <c r="G247" s="36">
        <v>96</v>
      </c>
      <c r="H247" s="62" t="s">
        <v>168</v>
      </c>
      <c r="I247" s="62" t="s">
        <v>168</v>
      </c>
      <c r="J247" s="35">
        <v>6</v>
      </c>
      <c r="K247" s="52" t="s">
        <v>196</v>
      </c>
      <c r="L247" t="s">
        <v>168</v>
      </c>
    </row>
    <row r="248" spans="1:12" x14ac:dyDescent="0.25">
      <c r="A248" s="1" t="s">
        <v>10</v>
      </c>
      <c r="B248" s="1" t="s">
        <v>99</v>
      </c>
      <c r="C248" s="6">
        <v>51</v>
      </c>
      <c r="D248" s="33">
        <v>70</v>
      </c>
      <c r="E248" s="34">
        <v>72</v>
      </c>
      <c r="F248" s="36">
        <v>90</v>
      </c>
      <c r="G248" s="36">
        <v>92</v>
      </c>
      <c r="H248" s="62" t="s">
        <v>168</v>
      </c>
      <c r="I248" s="62" t="s">
        <v>168</v>
      </c>
      <c r="J248" s="35">
        <v>6</v>
      </c>
      <c r="K248" s="52" t="s">
        <v>196</v>
      </c>
      <c r="L248" t="s">
        <v>168</v>
      </c>
    </row>
    <row r="249" spans="1:12" x14ac:dyDescent="0.25">
      <c r="A249" s="1" t="s">
        <v>10</v>
      </c>
      <c r="B249" s="1" t="s">
        <v>169</v>
      </c>
      <c r="C249" s="6">
        <v>72</v>
      </c>
      <c r="D249" s="33">
        <v>86</v>
      </c>
      <c r="E249" s="34">
        <v>92</v>
      </c>
      <c r="F249" s="62" t="s">
        <v>168</v>
      </c>
      <c r="G249" s="62" t="s">
        <v>168</v>
      </c>
      <c r="H249" s="62" t="s">
        <v>168</v>
      </c>
      <c r="I249" s="62" t="s">
        <v>168</v>
      </c>
      <c r="J249" s="35">
        <v>4</v>
      </c>
      <c r="K249" s="52" t="s">
        <v>196</v>
      </c>
      <c r="L249" t="s">
        <v>168</v>
      </c>
    </row>
    <row r="250" spans="1:12" x14ac:dyDescent="0.25">
      <c r="A250" s="1" t="s">
        <v>10</v>
      </c>
      <c r="B250" s="1" t="s">
        <v>97</v>
      </c>
      <c r="C250" s="6">
        <v>51</v>
      </c>
      <c r="D250" s="33">
        <v>64</v>
      </c>
      <c r="E250" s="34">
        <v>64</v>
      </c>
      <c r="F250" s="36">
        <v>77</v>
      </c>
      <c r="G250" s="36">
        <v>77</v>
      </c>
      <c r="H250" s="36">
        <v>82</v>
      </c>
      <c r="I250" s="36">
        <v>93</v>
      </c>
      <c r="J250" s="35">
        <v>8</v>
      </c>
      <c r="K250" s="52" t="s">
        <v>196</v>
      </c>
      <c r="L250" t="s">
        <v>168</v>
      </c>
    </row>
    <row r="251" spans="1:12" x14ac:dyDescent="0.25">
      <c r="A251" s="1" t="s">
        <v>10</v>
      </c>
      <c r="B251" s="1" t="s">
        <v>71</v>
      </c>
      <c r="C251" s="6">
        <v>48</v>
      </c>
      <c r="D251" s="33">
        <v>70</v>
      </c>
      <c r="E251" s="34">
        <v>71</v>
      </c>
      <c r="F251" s="62" t="s">
        <v>168</v>
      </c>
      <c r="G251" s="62" t="s">
        <v>168</v>
      </c>
      <c r="H251" s="62" t="s">
        <v>168</v>
      </c>
      <c r="I251" s="62" t="s">
        <v>168</v>
      </c>
      <c r="J251" s="35">
        <v>4</v>
      </c>
      <c r="K251" s="52" t="s">
        <v>196</v>
      </c>
      <c r="L251" t="s">
        <v>168</v>
      </c>
    </row>
    <row r="252" spans="1:12" x14ac:dyDescent="0.25">
      <c r="A252" s="1" t="s">
        <v>10</v>
      </c>
      <c r="B252" s="1" t="s">
        <v>45</v>
      </c>
      <c r="C252" s="6">
        <v>56</v>
      </c>
      <c r="D252" s="33">
        <v>71</v>
      </c>
      <c r="E252" s="34">
        <v>71</v>
      </c>
      <c r="F252" s="36">
        <v>87</v>
      </c>
      <c r="G252" s="36">
        <v>87</v>
      </c>
      <c r="H252" s="36">
        <v>88</v>
      </c>
      <c r="I252" s="62" t="s">
        <v>183</v>
      </c>
      <c r="J252" s="35">
        <v>8</v>
      </c>
      <c r="K252" s="52" t="s">
        <v>196</v>
      </c>
      <c r="L252" t="s">
        <v>168</v>
      </c>
    </row>
    <row r="253" spans="1:12" x14ac:dyDescent="0.25">
      <c r="A253" s="1" t="s">
        <v>10</v>
      </c>
      <c r="B253" s="1" t="s">
        <v>94</v>
      </c>
      <c r="C253" s="6">
        <v>61</v>
      </c>
      <c r="D253" s="33">
        <v>74</v>
      </c>
      <c r="E253" s="34">
        <v>79</v>
      </c>
      <c r="F253" s="36">
        <v>93</v>
      </c>
      <c r="G253" s="36">
        <v>93</v>
      </c>
      <c r="H253" s="62" t="s">
        <v>168</v>
      </c>
      <c r="I253" s="62" t="s">
        <v>168</v>
      </c>
      <c r="J253" s="35">
        <v>6</v>
      </c>
      <c r="K253" s="52" t="s">
        <v>196</v>
      </c>
      <c r="L253" t="s">
        <v>168</v>
      </c>
    </row>
    <row r="254" spans="1:12" x14ac:dyDescent="0.25">
      <c r="A254" s="60" t="s">
        <v>46</v>
      </c>
      <c r="B254" s="1" t="s">
        <v>72</v>
      </c>
      <c r="C254" s="6">
        <v>45</v>
      </c>
      <c r="D254" s="33">
        <v>58</v>
      </c>
      <c r="E254" s="34">
        <v>59</v>
      </c>
      <c r="F254" s="36">
        <v>72</v>
      </c>
      <c r="G254" s="36">
        <v>72</v>
      </c>
      <c r="H254" s="36">
        <v>73</v>
      </c>
      <c r="I254" s="36">
        <v>73</v>
      </c>
      <c r="J254" s="35">
        <v>16</v>
      </c>
      <c r="K254" s="52" t="s">
        <v>170</v>
      </c>
      <c r="L254" t="s">
        <v>168</v>
      </c>
    </row>
    <row r="255" spans="1:12" x14ac:dyDescent="0.25">
      <c r="A255" s="60" t="s">
        <v>46</v>
      </c>
      <c r="B255" s="1" t="s">
        <v>11</v>
      </c>
      <c r="C255" s="6">
        <v>49</v>
      </c>
      <c r="D255" s="33">
        <v>76</v>
      </c>
      <c r="E255" s="34">
        <v>76</v>
      </c>
      <c r="F255" s="36">
        <v>109</v>
      </c>
      <c r="G255" s="36">
        <v>114</v>
      </c>
      <c r="H255" s="36">
        <v>123</v>
      </c>
      <c r="I255" s="36">
        <v>123</v>
      </c>
      <c r="J255" s="35">
        <v>4</v>
      </c>
      <c r="K255" s="52" t="s">
        <v>170</v>
      </c>
      <c r="L255" t="s">
        <v>168</v>
      </c>
    </row>
    <row r="256" spans="1:12" x14ac:dyDescent="0.25">
      <c r="A256" s="60" t="s">
        <v>46</v>
      </c>
      <c r="B256" s="1" t="s">
        <v>12</v>
      </c>
      <c r="C256" s="6">
        <v>58</v>
      </c>
      <c r="D256" s="33">
        <v>69</v>
      </c>
      <c r="E256" s="34">
        <v>77</v>
      </c>
      <c r="F256" s="36">
        <v>81</v>
      </c>
      <c r="G256" s="36">
        <v>84</v>
      </c>
      <c r="H256" s="36">
        <v>98</v>
      </c>
      <c r="I256" s="36">
        <v>98</v>
      </c>
      <c r="J256" s="35">
        <v>6</v>
      </c>
      <c r="K256" s="52" t="s">
        <v>170</v>
      </c>
      <c r="L256" t="s">
        <v>168</v>
      </c>
    </row>
    <row r="257" spans="1:12" x14ac:dyDescent="0.25">
      <c r="A257" s="60" t="s">
        <v>46</v>
      </c>
      <c r="B257" s="1" t="s">
        <v>14</v>
      </c>
      <c r="C257" s="6">
        <v>44</v>
      </c>
      <c r="D257" s="33">
        <v>63</v>
      </c>
      <c r="E257" s="34">
        <v>63</v>
      </c>
      <c r="F257" s="36">
        <v>75</v>
      </c>
      <c r="G257" s="36">
        <v>75</v>
      </c>
      <c r="H257" s="36">
        <v>77</v>
      </c>
      <c r="I257" s="36">
        <v>78</v>
      </c>
      <c r="J257" s="35">
        <v>14</v>
      </c>
      <c r="K257" s="52" t="s">
        <v>170</v>
      </c>
      <c r="L257" t="s">
        <v>168</v>
      </c>
    </row>
    <row r="258" spans="1:12" x14ac:dyDescent="0.25">
      <c r="A258" s="60" t="s">
        <v>46</v>
      </c>
      <c r="B258" s="1" t="s">
        <v>15</v>
      </c>
      <c r="C258" s="6">
        <v>41</v>
      </c>
      <c r="D258" s="33">
        <v>61</v>
      </c>
      <c r="E258" s="34">
        <v>64</v>
      </c>
      <c r="F258" s="36">
        <v>75</v>
      </c>
      <c r="G258" s="36">
        <v>77</v>
      </c>
      <c r="H258" s="36">
        <v>80</v>
      </c>
      <c r="I258" s="36">
        <v>81</v>
      </c>
      <c r="J258" s="35">
        <v>13</v>
      </c>
      <c r="K258" s="52" t="s">
        <v>170</v>
      </c>
      <c r="L258" t="s">
        <v>168</v>
      </c>
    </row>
    <row r="259" spans="1:12" x14ac:dyDescent="0.25">
      <c r="A259" s="60" t="s">
        <v>46</v>
      </c>
      <c r="B259" s="1" t="s">
        <v>88</v>
      </c>
      <c r="C259" s="6">
        <v>42</v>
      </c>
      <c r="D259" s="33">
        <v>58</v>
      </c>
      <c r="E259" s="34">
        <v>59</v>
      </c>
      <c r="F259" s="36">
        <v>77</v>
      </c>
      <c r="G259" s="36">
        <v>77</v>
      </c>
      <c r="H259" s="36">
        <v>78</v>
      </c>
      <c r="I259" s="36">
        <v>79</v>
      </c>
      <c r="J259" s="35">
        <v>8</v>
      </c>
      <c r="K259" s="52" t="s">
        <v>170</v>
      </c>
      <c r="L259" t="s">
        <v>168</v>
      </c>
    </row>
    <row r="260" spans="1:12" x14ac:dyDescent="0.25">
      <c r="A260" s="60" t="s">
        <v>46</v>
      </c>
      <c r="B260" s="1" t="s">
        <v>16</v>
      </c>
      <c r="C260" s="6">
        <v>59</v>
      </c>
      <c r="D260" s="33">
        <v>72</v>
      </c>
      <c r="E260" s="34">
        <v>72</v>
      </c>
      <c r="F260" s="36">
        <v>78</v>
      </c>
      <c r="G260" s="36">
        <v>79</v>
      </c>
      <c r="H260" s="36">
        <v>87</v>
      </c>
      <c r="I260" s="36">
        <v>87</v>
      </c>
      <c r="J260" s="35">
        <v>16</v>
      </c>
      <c r="K260" s="52" t="s">
        <v>170</v>
      </c>
      <c r="L260" t="s">
        <v>168</v>
      </c>
    </row>
    <row r="261" spans="1:12" x14ac:dyDescent="0.25">
      <c r="A261" s="60" t="s">
        <v>46</v>
      </c>
      <c r="B261" s="1" t="s">
        <v>48</v>
      </c>
      <c r="C261" s="6">
        <v>56</v>
      </c>
      <c r="D261" s="33">
        <v>82</v>
      </c>
      <c r="E261" s="34">
        <v>85</v>
      </c>
      <c r="F261" s="36">
        <v>94</v>
      </c>
      <c r="G261" s="36">
        <v>95</v>
      </c>
      <c r="H261" s="36">
        <v>112</v>
      </c>
      <c r="I261" s="36">
        <v>112</v>
      </c>
      <c r="J261" s="35">
        <v>6</v>
      </c>
      <c r="K261" s="52" t="s">
        <v>170</v>
      </c>
      <c r="L261" t="s">
        <v>168</v>
      </c>
    </row>
    <row r="262" spans="1:12" x14ac:dyDescent="0.25">
      <c r="A262" s="60" t="s">
        <v>46</v>
      </c>
      <c r="B262" s="1" t="s">
        <v>73</v>
      </c>
      <c r="C262" s="6">
        <v>42</v>
      </c>
      <c r="D262" s="33">
        <v>54</v>
      </c>
      <c r="E262" s="34">
        <v>54</v>
      </c>
      <c r="F262" s="36">
        <v>66</v>
      </c>
      <c r="G262" s="36">
        <v>66</v>
      </c>
      <c r="H262" s="36">
        <v>68</v>
      </c>
      <c r="I262" s="36">
        <v>68</v>
      </c>
      <c r="J262" s="35">
        <v>17</v>
      </c>
      <c r="K262" s="52" t="s">
        <v>170</v>
      </c>
      <c r="L262" t="s">
        <v>168</v>
      </c>
    </row>
    <row r="263" spans="1:12" x14ac:dyDescent="0.25">
      <c r="A263" s="60" t="s">
        <v>46</v>
      </c>
      <c r="B263" s="1" t="s">
        <v>82</v>
      </c>
      <c r="C263" s="6">
        <v>56</v>
      </c>
      <c r="D263" s="33">
        <v>81</v>
      </c>
      <c r="E263" s="34">
        <v>81</v>
      </c>
      <c r="F263" s="36">
        <v>96</v>
      </c>
      <c r="G263" s="36">
        <v>98</v>
      </c>
      <c r="H263" s="36">
        <v>101</v>
      </c>
      <c r="I263" s="36">
        <v>104</v>
      </c>
      <c r="J263" s="35">
        <v>5</v>
      </c>
      <c r="K263" s="52" t="s">
        <v>170</v>
      </c>
      <c r="L263" t="s">
        <v>168</v>
      </c>
    </row>
    <row r="264" spans="1:12" x14ac:dyDescent="0.25">
      <c r="A264" s="60" t="s">
        <v>46</v>
      </c>
      <c r="B264" s="1" t="s">
        <v>74</v>
      </c>
      <c r="C264" s="6">
        <v>44</v>
      </c>
      <c r="D264" s="33">
        <v>60</v>
      </c>
      <c r="E264" s="34">
        <v>60</v>
      </c>
      <c r="F264" s="36">
        <v>76</v>
      </c>
      <c r="G264" s="36">
        <v>77</v>
      </c>
      <c r="H264" s="36">
        <v>79</v>
      </c>
      <c r="I264" s="36">
        <v>80</v>
      </c>
      <c r="J264" s="35">
        <v>10</v>
      </c>
      <c r="K264" s="52" t="s">
        <v>170</v>
      </c>
      <c r="L264" t="s">
        <v>168</v>
      </c>
    </row>
    <row r="265" spans="1:12" x14ac:dyDescent="0.25">
      <c r="A265" s="60" t="s">
        <v>46</v>
      </c>
      <c r="B265" s="1" t="s">
        <v>19</v>
      </c>
      <c r="C265" s="6">
        <v>35</v>
      </c>
      <c r="D265" s="33">
        <v>50</v>
      </c>
      <c r="E265" s="34">
        <v>50</v>
      </c>
      <c r="F265" s="36">
        <v>62</v>
      </c>
      <c r="G265" s="36">
        <v>62</v>
      </c>
      <c r="H265" s="36">
        <v>64</v>
      </c>
      <c r="I265" s="36">
        <v>64</v>
      </c>
      <c r="J265" s="35">
        <v>22</v>
      </c>
      <c r="K265" s="52" t="s">
        <v>170</v>
      </c>
      <c r="L265" t="s">
        <v>168</v>
      </c>
    </row>
    <row r="266" spans="1:12" x14ac:dyDescent="0.25">
      <c r="A266" s="60" t="s">
        <v>46</v>
      </c>
      <c r="B266" s="1" t="s">
        <v>20</v>
      </c>
      <c r="C266" s="6">
        <v>60</v>
      </c>
      <c r="D266" s="33">
        <v>79</v>
      </c>
      <c r="E266" s="34">
        <v>79</v>
      </c>
      <c r="F266" s="36">
        <v>88</v>
      </c>
      <c r="G266" s="36">
        <v>89</v>
      </c>
      <c r="H266" s="36">
        <v>91</v>
      </c>
      <c r="I266" s="36">
        <v>96</v>
      </c>
      <c r="J266" s="35">
        <v>10</v>
      </c>
      <c r="K266" s="52" t="s">
        <v>170</v>
      </c>
      <c r="L266" t="s">
        <v>168</v>
      </c>
    </row>
    <row r="267" spans="1:12" x14ac:dyDescent="0.25">
      <c r="A267" s="60" t="s">
        <v>46</v>
      </c>
      <c r="B267" s="1" t="s">
        <v>50</v>
      </c>
      <c r="C267" s="6">
        <v>42</v>
      </c>
      <c r="D267" s="33">
        <v>56</v>
      </c>
      <c r="E267" s="34">
        <v>56</v>
      </c>
      <c r="F267" s="36">
        <v>69</v>
      </c>
      <c r="G267" s="36">
        <v>69</v>
      </c>
      <c r="H267" s="36">
        <v>71</v>
      </c>
      <c r="I267" s="36">
        <v>85</v>
      </c>
      <c r="J267" s="35">
        <v>9</v>
      </c>
      <c r="K267" s="52" t="s">
        <v>170</v>
      </c>
      <c r="L267" t="s">
        <v>168</v>
      </c>
    </row>
    <row r="268" spans="1:12" x14ac:dyDescent="0.25">
      <c r="A268" s="60" t="s">
        <v>46</v>
      </c>
      <c r="B268" s="1" t="s">
        <v>51</v>
      </c>
      <c r="C268" s="6">
        <v>45</v>
      </c>
      <c r="D268" s="33">
        <v>59</v>
      </c>
      <c r="E268" s="34">
        <v>60</v>
      </c>
      <c r="F268" s="36">
        <v>73</v>
      </c>
      <c r="G268" s="36">
        <v>73</v>
      </c>
      <c r="H268" s="36">
        <v>73</v>
      </c>
      <c r="I268" s="36">
        <v>73</v>
      </c>
      <c r="J268" s="35">
        <v>16</v>
      </c>
      <c r="K268" s="52" t="s">
        <v>170</v>
      </c>
      <c r="L268" t="s">
        <v>168</v>
      </c>
    </row>
    <row r="269" spans="1:12" x14ac:dyDescent="0.25">
      <c r="A269" s="60" t="s">
        <v>46</v>
      </c>
      <c r="B269" s="1" t="s">
        <v>21</v>
      </c>
      <c r="C269" s="6">
        <v>46</v>
      </c>
      <c r="D269" s="33">
        <v>64</v>
      </c>
      <c r="E269" s="34">
        <v>64</v>
      </c>
      <c r="F269" s="36">
        <v>79</v>
      </c>
      <c r="G269" s="36">
        <v>80</v>
      </c>
      <c r="H269" s="36">
        <v>80</v>
      </c>
      <c r="I269" s="36">
        <v>81</v>
      </c>
      <c r="J269" s="35">
        <v>15</v>
      </c>
      <c r="K269" s="52" t="s">
        <v>170</v>
      </c>
      <c r="L269" t="s">
        <v>168</v>
      </c>
    </row>
    <row r="270" spans="1:12" x14ac:dyDescent="0.25">
      <c r="A270" s="60" t="s">
        <v>46</v>
      </c>
      <c r="B270" s="1" t="s">
        <v>52</v>
      </c>
      <c r="C270" s="6">
        <v>48</v>
      </c>
      <c r="D270" s="33">
        <v>68</v>
      </c>
      <c r="E270" s="34">
        <v>68</v>
      </c>
      <c r="F270" s="36">
        <v>88</v>
      </c>
      <c r="G270" s="36">
        <v>102</v>
      </c>
      <c r="H270" s="36">
        <v>107</v>
      </c>
      <c r="I270" s="36">
        <v>121</v>
      </c>
      <c r="J270" s="35">
        <v>5</v>
      </c>
      <c r="K270" s="52" t="s">
        <v>170</v>
      </c>
      <c r="L270" t="s">
        <v>168</v>
      </c>
    </row>
    <row r="271" spans="1:12" x14ac:dyDescent="0.25">
      <c r="A271" s="60" t="s">
        <v>46</v>
      </c>
      <c r="B271" s="1" t="s">
        <v>22</v>
      </c>
      <c r="C271" s="6">
        <v>56</v>
      </c>
      <c r="D271" s="33">
        <v>78</v>
      </c>
      <c r="E271" s="34">
        <v>79</v>
      </c>
      <c r="F271" s="36">
        <v>89</v>
      </c>
      <c r="G271" s="36">
        <v>91</v>
      </c>
      <c r="H271" s="36">
        <v>105</v>
      </c>
      <c r="I271" s="36">
        <v>105</v>
      </c>
      <c r="J271" s="35">
        <v>6</v>
      </c>
      <c r="K271" s="52" t="s">
        <v>170</v>
      </c>
      <c r="L271" t="s">
        <v>168</v>
      </c>
    </row>
    <row r="272" spans="1:12" x14ac:dyDescent="0.25">
      <c r="A272" s="60" t="s">
        <v>46</v>
      </c>
      <c r="B272" s="1" t="s">
        <v>53</v>
      </c>
      <c r="C272" s="6">
        <v>58</v>
      </c>
      <c r="D272" s="33">
        <v>78</v>
      </c>
      <c r="E272" s="34">
        <v>78</v>
      </c>
      <c r="F272" s="36">
        <v>91</v>
      </c>
      <c r="G272" s="36">
        <v>98</v>
      </c>
      <c r="H272" s="36">
        <v>111</v>
      </c>
      <c r="I272" s="36">
        <v>111</v>
      </c>
      <c r="J272" s="35">
        <v>5</v>
      </c>
      <c r="K272" s="52" t="s">
        <v>170</v>
      </c>
      <c r="L272" t="s">
        <v>168</v>
      </c>
    </row>
    <row r="273" spans="1:12" x14ac:dyDescent="0.25">
      <c r="A273" s="60" t="s">
        <v>46</v>
      </c>
      <c r="B273" s="1" t="s">
        <v>83</v>
      </c>
      <c r="C273" s="6">
        <v>56</v>
      </c>
      <c r="D273" s="33">
        <v>77</v>
      </c>
      <c r="E273" s="34">
        <v>78</v>
      </c>
      <c r="F273" s="36">
        <v>107</v>
      </c>
      <c r="G273" s="36">
        <v>107</v>
      </c>
      <c r="H273" s="36">
        <v>111</v>
      </c>
      <c r="I273" s="36">
        <v>115</v>
      </c>
      <c r="J273" s="35">
        <v>4</v>
      </c>
      <c r="K273" s="52" t="s">
        <v>170</v>
      </c>
      <c r="L273" t="s">
        <v>168</v>
      </c>
    </row>
    <row r="274" spans="1:12" x14ac:dyDescent="0.25">
      <c r="A274" s="60" t="s">
        <v>46</v>
      </c>
      <c r="B274" s="1" t="s">
        <v>24</v>
      </c>
      <c r="C274" s="6">
        <v>41</v>
      </c>
      <c r="D274" s="33">
        <v>57</v>
      </c>
      <c r="E274" s="34">
        <v>57</v>
      </c>
      <c r="F274" s="36">
        <v>69</v>
      </c>
      <c r="G274" s="36">
        <v>72</v>
      </c>
      <c r="H274" s="36">
        <v>74</v>
      </c>
      <c r="I274" s="36">
        <v>74</v>
      </c>
      <c r="J274" s="35">
        <v>13</v>
      </c>
      <c r="K274" s="52" t="s">
        <v>170</v>
      </c>
      <c r="L274" t="s">
        <v>168</v>
      </c>
    </row>
    <row r="275" spans="1:12" x14ac:dyDescent="0.25">
      <c r="A275" s="60" t="s">
        <v>46</v>
      </c>
      <c r="B275" s="1" t="s">
        <v>90</v>
      </c>
      <c r="C275" s="6">
        <v>50</v>
      </c>
      <c r="D275" s="33">
        <v>71</v>
      </c>
      <c r="E275" s="34">
        <v>71</v>
      </c>
      <c r="F275" s="36">
        <v>92</v>
      </c>
      <c r="G275" s="36">
        <v>94</v>
      </c>
      <c r="H275" s="36">
        <v>115</v>
      </c>
      <c r="I275" s="36">
        <v>119</v>
      </c>
      <c r="J275" s="35">
        <v>6</v>
      </c>
      <c r="K275" s="52" t="s">
        <v>170</v>
      </c>
      <c r="L275" t="s">
        <v>168</v>
      </c>
    </row>
    <row r="276" spans="1:12" x14ac:dyDescent="0.25">
      <c r="A276" s="60" t="s">
        <v>46</v>
      </c>
      <c r="B276" s="1" t="s">
        <v>55</v>
      </c>
      <c r="C276" s="6">
        <v>63</v>
      </c>
      <c r="D276" s="33">
        <v>77</v>
      </c>
      <c r="E276" s="34">
        <v>78</v>
      </c>
      <c r="F276" s="36">
        <v>94</v>
      </c>
      <c r="G276" s="36">
        <v>94</v>
      </c>
      <c r="H276" s="36">
        <v>99</v>
      </c>
      <c r="I276" s="36">
        <v>99</v>
      </c>
      <c r="J276" s="35">
        <v>6</v>
      </c>
      <c r="K276" s="52" t="s">
        <v>170</v>
      </c>
      <c r="L276" t="s">
        <v>168</v>
      </c>
    </row>
    <row r="277" spans="1:12" x14ac:dyDescent="0.25">
      <c r="A277" s="60" t="s">
        <v>46</v>
      </c>
      <c r="B277" s="1" t="s">
        <v>25</v>
      </c>
      <c r="C277" s="6">
        <v>30</v>
      </c>
      <c r="D277" s="33">
        <v>44</v>
      </c>
      <c r="E277" s="34">
        <v>46</v>
      </c>
      <c r="F277" s="36">
        <v>56</v>
      </c>
      <c r="G277" s="36">
        <v>57</v>
      </c>
      <c r="H277" s="36">
        <v>58</v>
      </c>
      <c r="I277" s="36">
        <v>62</v>
      </c>
      <c r="J277" s="35">
        <v>33</v>
      </c>
      <c r="K277" s="52" t="s">
        <v>170</v>
      </c>
      <c r="L277" t="s">
        <v>168</v>
      </c>
    </row>
    <row r="278" spans="1:12" x14ac:dyDescent="0.25">
      <c r="A278" s="60" t="s">
        <v>46</v>
      </c>
      <c r="B278" s="1" t="s">
        <v>29</v>
      </c>
      <c r="C278" s="6">
        <v>57</v>
      </c>
      <c r="D278" s="33">
        <v>78</v>
      </c>
      <c r="E278" s="34">
        <v>95</v>
      </c>
      <c r="F278" s="36">
        <v>101</v>
      </c>
      <c r="G278" s="36">
        <v>103</v>
      </c>
      <c r="H278" s="36">
        <v>121</v>
      </c>
      <c r="I278" s="36">
        <v>121</v>
      </c>
      <c r="J278" s="35">
        <v>4</v>
      </c>
      <c r="K278" s="52" t="s">
        <v>170</v>
      </c>
      <c r="L278" t="s">
        <v>168</v>
      </c>
    </row>
    <row r="279" spans="1:12" x14ac:dyDescent="0.25">
      <c r="A279" s="60" t="s">
        <v>46</v>
      </c>
      <c r="B279" s="1" t="s">
        <v>57</v>
      </c>
      <c r="C279" s="6">
        <v>57</v>
      </c>
      <c r="D279" s="33">
        <v>77</v>
      </c>
      <c r="E279" s="34">
        <v>79</v>
      </c>
      <c r="F279" s="36">
        <v>96</v>
      </c>
      <c r="G279" s="36">
        <v>103</v>
      </c>
      <c r="H279" s="36">
        <v>103</v>
      </c>
      <c r="I279" s="36">
        <v>104</v>
      </c>
      <c r="J279" s="35">
        <v>5</v>
      </c>
      <c r="K279" s="52" t="s">
        <v>170</v>
      </c>
      <c r="L279" t="s">
        <v>168</v>
      </c>
    </row>
    <row r="280" spans="1:12" x14ac:dyDescent="0.25">
      <c r="A280" s="60" t="s">
        <v>46</v>
      </c>
      <c r="B280" s="1" t="s">
        <v>30</v>
      </c>
      <c r="C280" s="6">
        <v>44</v>
      </c>
      <c r="D280" s="33">
        <v>61</v>
      </c>
      <c r="E280" s="34">
        <v>65</v>
      </c>
      <c r="F280" s="36">
        <v>76</v>
      </c>
      <c r="G280" s="36">
        <v>80</v>
      </c>
      <c r="H280" s="36">
        <v>80</v>
      </c>
      <c r="I280" s="36">
        <v>81</v>
      </c>
      <c r="J280" s="35">
        <v>8</v>
      </c>
      <c r="K280" s="52" t="s">
        <v>170</v>
      </c>
      <c r="L280" t="s">
        <v>168</v>
      </c>
    </row>
    <row r="281" spans="1:12" x14ac:dyDescent="0.25">
      <c r="A281" s="60" t="s">
        <v>46</v>
      </c>
      <c r="B281" s="1" t="s">
        <v>31</v>
      </c>
      <c r="C281" s="6">
        <v>45</v>
      </c>
      <c r="D281" s="33">
        <v>64</v>
      </c>
      <c r="E281" s="34">
        <v>65</v>
      </c>
      <c r="F281" s="36">
        <v>81</v>
      </c>
      <c r="G281" s="36">
        <v>82</v>
      </c>
      <c r="H281" s="36">
        <v>91</v>
      </c>
      <c r="I281" s="36">
        <v>96</v>
      </c>
      <c r="J281" s="35">
        <v>8</v>
      </c>
      <c r="K281" s="52" t="s">
        <v>170</v>
      </c>
      <c r="L281" t="s">
        <v>168</v>
      </c>
    </row>
    <row r="282" spans="1:12" x14ac:dyDescent="0.25">
      <c r="A282" s="60" t="s">
        <v>46</v>
      </c>
      <c r="B282" s="1" t="s">
        <v>33</v>
      </c>
      <c r="C282" s="6">
        <v>44</v>
      </c>
      <c r="D282" s="33">
        <v>60</v>
      </c>
      <c r="E282" s="34">
        <v>60</v>
      </c>
      <c r="F282" s="36">
        <v>74</v>
      </c>
      <c r="G282" s="36">
        <v>75</v>
      </c>
      <c r="H282" s="36">
        <v>75</v>
      </c>
      <c r="I282" s="36">
        <v>75</v>
      </c>
      <c r="J282" s="35">
        <v>16</v>
      </c>
      <c r="K282" s="52" t="s">
        <v>170</v>
      </c>
      <c r="L282" t="s">
        <v>168</v>
      </c>
    </row>
    <row r="283" spans="1:12" x14ac:dyDescent="0.25">
      <c r="A283" s="60" t="s">
        <v>46</v>
      </c>
      <c r="B283" s="1" t="s">
        <v>84</v>
      </c>
      <c r="C283" s="6">
        <v>33</v>
      </c>
      <c r="D283" s="33">
        <v>46</v>
      </c>
      <c r="E283" s="34">
        <v>47</v>
      </c>
      <c r="F283" s="36">
        <v>56</v>
      </c>
      <c r="G283" s="36">
        <v>57</v>
      </c>
      <c r="H283" s="36">
        <v>57</v>
      </c>
      <c r="I283" s="36">
        <v>57</v>
      </c>
      <c r="J283" s="35">
        <v>50</v>
      </c>
      <c r="K283" s="52" t="s">
        <v>170</v>
      </c>
      <c r="L283" t="s">
        <v>168</v>
      </c>
    </row>
    <row r="284" spans="1:12" x14ac:dyDescent="0.25">
      <c r="A284" s="60" t="s">
        <v>46</v>
      </c>
      <c r="B284" s="1" t="s">
        <v>34</v>
      </c>
      <c r="C284" s="6">
        <v>46</v>
      </c>
      <c r="D284" s="33">
        <v>60</v>
      </c>
      <c r="E284" s="34">
        <v>61</v>
      </c>
      <c r="F284" s="36">
        <v>75</v>
      </c>
      <c r="G284" s="36">
        <v>75</v>
      </c>
      <c r="H284" s="36">
        <v>76</v>
      </c>
      <c r="I284" s="36">
        <v>76</v>
      </c>
      <c r="J284" s="35">
        <v>16</v>
      </c>
      <c r="K284" s="52" t="s">
        <v>170</v>
      </c>
      <c r="L284" t="s">
        <v>168</v>
      </c>
    </row>
    <row r="285" spans="1:12" x14ac:dyDescent="0.25">
      <c r="A285" s="60" t="s">
        <v>46</v>
      </c>
      <c r="B285" s="1" t="s">
        <v>85</v>
      </c>
      <c r="C285" s="6">
        <v>45</v>
      </c>
      <c r="D285" s="33">
        <v>60</v>
      </c>
      <c r="E285" s="34">
        <v>62</v>
      </c>
      <c r="F285" s="36">
        <v>73</v>
      </c>
      <c r="G285" s="36">
        <v>74</v>
      </c>
      <c r="H285" s="36">
        <v>75</v>
      </c>
      <c r="I285" s="36">
        <v>75</v>
      </c>
      <c r="J285" s="35">
        <v>16</v>
      </c>
      <c r="K285" s="52" t="s">
        <v>170</v>
      </c>
      <c r="L285" t="s">
        <v>168</v>
      </c>
    </row>
    <row r="286" spans="1:12" x14ac:dyDescent="0.25">
      <c r="A286" s="60" t="s">
        <v>46</v>
      </c>
      <c r="B286" s="1" t="s">
        <v>76</v>
      </c>
      <c r="C286" s="6">
        <v>46</v>
      </c>
      <c r="D286" s="33">
        <v>65</v>
      </c>
      <c r="E286" s="34">
        <v>68</v>
      </c>
      <c r="F286" s="36">
        <v>81</v>
      </c>
      <c r="G286" s="36">
        <v>82</v>
      </c>
      <c r="H286" s="36">
        <v>87</v>
      </c>
      <c r="I286" s="36">
        <v>87</v>
      </c>
      <c r="J286" s="35">
        <v>10</v>
      </c>
      <c r="K286" s="52" t="s">
        <v>170</v>
      </c>
      <c r="L286" t="s">
        <v>168</v>
      </c>
    </row>
    <row r="287" spans="1:12" x14ac:dyDescent="0.25">
      <c r="A287" s="60" t="s">
        <v>46</v>
      </c>
      <c r="B287" s="1" t="s">
        <v>96</v>
      </c>
      <c r="C287" s="6">
        <v>51</v>
      </c>
      <c r="D287" s="33">
        <v>68</v>
      </c>
      <c r="E287" s="34">
        <v>71</v>
      </c>
      <c r="F287" s="36">
        <v>87</v>
      </c>
      <c r="G287" s="36">
        <v>88</v>
      </c>
      <c r="H287" s="36">
        <v>101</v>
      </c>
      <c r="I287" s="36">
        <v>103</v>
      </c>
      <c r="J287" s="35">
        <v>6</v>
      </c>
      <c r="K287" s="52" t="s">
        <v>170</v>
      </c>
      <c r="L287" t="s">
        <v>168</v>
      </c>
    </row>
    <row r="288" spans="1:12" x14ac:dyDescent="0.25">
      <c r="A288" s="60" t="s">
        <v>46</v>
      </c>
      <c r="B288" s="1" t="s">
        <v>61</v>
      </c>
      <c r="C288" s="6">
        <v>53</v>
      </c>
      <c r="D288" s="33">
        <v>74</v>
      </c>
      <c r="E288" s="34">
        <v>75</v>
      </c>
      <c r="F288" s="36">
        <v>95</v>
      </c>
      <c r="G288" s="36">
        <v>98</v>
      </c>
      <c r="H288" s="36">
        <v>102</v>
      </c>
      <c r="I288" s="36">
        <v>106</v>
      </c>
      <c r="J288" s="35">
        <v>5</v>
      </c>
      <c r="K288" s="52" t="s">
        <v>170</v>
      </c>
      <c r="L288" t="s">
        <v>168</v>
      </c>
    </row>
    <row r="289" spans="1:12" x14ac:dyDescent="0.25">
      <c r="A289" s="60" t="s">
        <v>46</v>
      </c>
      <c r="B289" s="1" t="s">
        <v>35</v>
      </c>
      <c r="C289" s="6">
        <v>45</v>
      </c>
      <c r="D289" s="33">
        <v>61</v>
      </c>
      <c r="E289" s="34">
        <v>63</v>
      </c>
      <c r="F289" s="36">
        <v>72</v>
      </c>
      <c r="G289" s="36">
        <v>73</v>
      </c>
      <c r="H289" s="36">
        <v>73</v>
      </c>
      <c r="I289" s="36">
        <v>74</v>
      </c>
      <c r="J289" s="35">
        <v>18</v>
      </c>
      <c r="K289" s="52" t="s">
        <v>170</v>
      </c>
      <c r="L289" t="s">
        <v>168</v>
      </c>
    </row>
    <row r="290" spans="1:12" x14ac:dyDescent="0.25">
      <c r="A290" s="60" t="s">
        <v>46</v>
      </c>
      <c r="B290" s="1" t="s">
        <v>62</v>
      </c>
      <c r="C290" s="6">
        <v>27</v>
      </c>
      <c r="D290" s="33">
        <v>37</v>
      </c>
      <c r="E290" s="34">
        <v>37</v>
      </c>
      <c r="F290" s="36">
        <v>48</v>
      </c>
      <c r="G290" s="36">
        <v>49</v>
      </c>
      <c r="H290" s="36">
        <v>50</v>
      </c>
      <c r="I290" s="36">
        <v>51</v>
      </c>
      <c r="J290" s="35">
        <v>71</v>
      </c>
      <c r="K290" s="52" t="s">
        <v>170</v>
      </c>
      <c r="L290" t="s">
        <v>168</v>
      </c>
    </row>
    <row r="291" spans="1:12" x14ac:dyDescent="0.25">
      <c r="A291" s="60" t="s">
        <v>46</v>
      </c>
      <c r="B291" s="1" t="s">
        <v>91</v>
      </c>
      <c r="C291" s="6">
        <v>36</v>
      </c>
      <c r="D291" s="33">
        <v>50</v>
      </c>
      <c r="E291" s="34">
        <v>51</v>
      </c>
      <c r="F291" s="36">
        <v>62</v>
      </c>
      <c r="G291" s="36">
        <v>62</v>
      </c>
      <c r="H291" s="36">
        <v>64</v>
      </c>
      <c r="I291" s="36">
        <v>64</v>
      </c>
      <c r="J291" s="35">
        <v>32</v>
      </c>
      <c r="K291" s="52" t="s">
        <v>170</v>
      </c>
      <c r="L291" t="s">
        <v>168</v>
      </c>
    </row>
    <row r="292" spans="1:12" x14ac:dyDescent="0.25">
      <c r="A292" s="60" t="s">
        <v>46</v>
      </c>
      <c r="B292" s="1" t="s">
        <v>36</v>
      </c>
      <c r="C292" s="6">
        <v>53</v>
      </c>
      <c r="D292" s="33">
        <v>70</v>
      </c>
      <c r="E292" s="34">
        <v>71</v>
      </c>
      <c r="F292" s="36">
        <v>86</v>
      </c>
      <c r="G292" s="36">
        <v>87</v>
      </c>
      <c r="H292" s="36">
        <v>95</v>
      </c>
      <c r="I292" s="36">
        <v>95</v>
      </c>
      <c r="J292" s="35">
        <v>8</v>
      </c>
      <c r="K292" s="52" t="s">
        <v>170</v>
      </c>
      <c r="L292" t="s">
        <v>168</v>
      </c>
    </row>
    <row r="293" spans="1:12" x14ac:dyDescent="0.25">
      <c r="A293" s="60" t="s">
        <v>46</v>
      </c>
      <c r="B293" s="1" t="s">
        <v>63</v>
      </c>
      <c r="C293" s="6">
        <v>33</v>
      </c>
      <c r="D293" s="33">
        <v>49</v>
      </c>
      <c r="E293" s="34">
        <v>51</v>
      </c>
      <c r="F293" s="36">
        <v>62</v>
      </c>
      <c r="G293" s="36">
        <v>62</v>
      </c>
      <c r="H293" s="36">
        <v>65</v>
      </c>
      <c r="I293" s="36">
        <v>66</v>
      </c>
      <c r="J293" s="35">
        <v>32</v>
      </c>
      <c r="K293" s="52" t="s">
        <v>170</v>
      </c>
      <c r="L293" t="s">
        <v>168</v>
      </c>
    </row>
    <row r="294" spans="1:12" x14ac:dyDescent="0.25">
      <c r="A294" s="60" t="s">
        <v>46</v>
      </c>
      <c r="B294" s="1" t="s">
        <v>78</v>
      </c>
      <c r="C294" s="6">
        <v>45</v>
      </c>
      <c r="D294" s="33">
        <v>59</v>
      </c>
      <c r="E294" s="34">
        <v>61</v>
      </c>
      <c r="F294" s="36">
        <v>74</v>
      </c>
      <c r="G294" s="36">
        <v>74</v>
      </c>
      <c r="H294" s="36">
        <v>75</v>
      </c>
      <c r="I294" s="36">
        <v>75</v>
      </c>
      <c r="J294" s="35">
        <v>16</v>
      </c>
      <c r="K294" s="52" t="s">
        <v>170</v>
      </c>
      <c r="L294" t="s">
        <v>168</v>
      </c>
    </row>
    <row r="295" spans="1:12" x14ac:dyDescent="0.25">
      <c r="A295" s="60" t="s">
        <v>46</v>
      </c>
      <c r="B295" s="1" t="s">
        <v>37</v>
      </c>
      <c r="C295" s="6">
        <v>46</v>
      </c>
      <c r="D295" s="33">
        <v>63</v>
      </c>
      <c r="E295" s="34">
        <v>63</v>
      </c>
      <c r="F295" s="36">
        <v>73</v>
      </c>
      <c r="G295" s="36">
        <v>74</v>
      </c>
      <c r="H295" s="36">
        <v>75</v>
      </c>
      <c r="I295" s="36">
        <v>75</v>
      </c>
      <c r="J295" s="35">
        <v>16</v>
      </c>
      <c r="K295" s="52" t="s">
        <v>170</v>
      </c>
      <c r="L295" t="s">
        <v>168</v>
      </c>
    </row>
    <row r="296" spans="1:12" x14ac:dyDescent="0.25">
      <c r="A296" s="60" t="s">
        <v>46</v>
      </c>
      <c r="B296" s="1" t="s">
        <v>87</v>
      </c>
      <c r="C296" s="6">
        <v>56</v>
      </c>
      <c r="D296" s="33">
        <v>78</v>
      </c>
      <c r="E296" s="34">
        <v>78</v>
      </c>
      <c r="F296" s="36">
        <v>100</v>
      </c>
      <c r="G296" s="36">
        <v>101</v>
      </c>
      <c r="H296" s="36">
        <v>103</v>
      </c>
      <c r="I296" s="36">
        <v>106</v>
      </c>
      <c r="J296" s="35">
        <v>4</v>
      </c>
      <c r="K296" s="52" t="s">
        <v>170</v>
      </c>
      <c r="L296" t="s">
        <v>168</v>
      </c>
    </row>
    <row r="297" spans="1:12" x14ac:dyDescent="0.25">
      <c r="A297" s="60" t="s">
        <v>46</v>
      </c>
      <c r="B297" s="1" t="s">
        <v>92</v>
      </c>
      <c r="C297" s="6">
        <v>40</v>
      </c>
      <c r="D297" s="33">
        <v>58</v>
      </c>
      <c r="E297" s="34">
        <v>59</v>
      </c>
      <c r="F297" s="36">
        <v>74</v>
      </c>
      <c r="G297" s="36">
        <v>74</v>
      </c>
      <c r="H297" s="36">
        <v>75</v>
      </c>
      <c r="I297" s="36">
        <v>75</v>
      </c>
      <c r="J297" s="35">
        <v>16</v>
      </c>
      <c r="K297" s="52" t="s">
        <v>170</v>
      </c>
      <c r="L297" t="s">
        <v>168</v>
      </c>
    </row>
    <row r="298" spans="1:12" x14ac:dyDescent="0.25">
      <c r="A298" s="60" t="s">
        <v>46</v>
      </c>
      <c r="B298" s="1" t="s">
        <v>67</v>
      </c>
      <c r="C298" s="6">
        <v>45</v>
      </c>
      <c r="D298" s="33">
        <v>59</v>
      </c>
      <c r="E298" s="34">
        <v>61</v>
      </c>
      <c r="F298" s="36">
        <v>73</v>
      </c>
      <c r="G298" s="36">
        <v>73</v>
      </c>
      <c r="H298" s="36">
        <v>76</v>
      </c>
      <c r="I298" s="36">
        <v>79</v>
      </c>
      <c r="J298" s="35">
        <v>14</v>
      </c>
      <c r="K298" s="52" t="s">
        <v>170</v>
      </c>
      <c r="L298" t="s">
        <v>168</v>
      </c>
    </row>
    <row r="299" spans="1:12" x14ac:dyDescent="0.25">
      <c r="A299" s="60" t="s">
        <v>46</v>
      </c>
      <c r="B299" s="1" t="s">
        <v>69</v>
      </c>
      <c r="C299" s="6">
        <v>52</v>
      </c>
      <c r="D299" s="33">
        <v>69</v>
      </c>
      <c r="E299" s="34">
        <v>71</v>
      </c>
      <c r="F299" s="36">
        <v>89</v>
      </c>
      <c r="G299" s="36">
        <v>90</v>
      </c>
      <c r="H299" s="36">
        <v>90</v>
      </c>
      <c r="I299" s="36">
        <v>90</v>
      </c>
      <c r="J299" s="35">
        <v>8</v>
      </c>
      <c r="K299" s="52" t="s">
        <v>170</v>
      </c>
      <c r="L299" t="s">
        <v>168</v>
      </c>
    </row>
    <row r="300" spans="1:12" x14ac:dyDescent="0.25">
      <c r="A300" s="60" t="s">
        <v>46</v>
      </c>
      <c r="B300" s="1" t="s">
        <v>41</v>
      </c>
      <c r="C300" s="6">
        <v>56</v>
      </c>
      <c r="D300" s="33">
        <v>74</v>
      </c>
      <c r="E300" s="34">
        <v>74</v>
      </c>
      <c r="F300" s="36">
        <v>92</v>
      </c>
      <c r="G300" s="36">
        <v>92</v>
      </c>
      <c r="H300" s="36">
        <v>92</v>
      </c>
      <c r="I300" s="36">
        <v>92</v>
      </c>
      <c r="J300" s="35">
        <v>8</v>
      </c>
      <c r="K300" s="52" t="s">
        <v>170</v>
      </c>
      <c r="L300" t="s">
        <v>168</v>
      </c>
    </row>
    <row r="301" spans="1:12" x14ac:dyDescent="0.25">
      <c r="A301" s="28" t="s">
        <v>46</v>
      </c>
      <c r="B301" s="1" t="s">
        <v>72</v>
      </c>
      <c r="C301" s="6">
        <v>41</v>
      </c>
      <c r="D301" s="33">
        <v>57</v>
      </c>
      <c r="E301" s="34">
        <v>60</v>
      </c>
      <c r="F301" s="36">
        <v>75</v>
      </c>
      <c r="G301" s="36">
        <v>75</v>
      </c>
      <c r="H301" s="36">
        <v>75</v>
      </c>
      <c r="I301" s="36">
        <v>90</v>
      </c>
      <c r="J301" s="35">
        <v>10</v>
      </c>
      <c r="K301" s="52" t="s">
        <v>196</v>
      </c>
      <c r="L301" t="s">
        <v>168</v>
      </c>
    </row>
    <row r="302" spans="1:12" x14ac:dyDescent="0.25">
      <c r="A302" s="28" t="s">
        <v>46</v>
      </c>
      <c r="B302" s="1" t="s">
        <v>11</v>
      </c>
      <c r="C302" s="6">
        <v>60</v>
      </c>
      <c r="D302" s="33">
        <v>73</v>
      </c>
      <c r="E302" s="34">
        <v>75</v>
      </c>
      <c r="F302" s="36">
        <v>87</v>
      </c>
      <c r="G302" s="36">
        <v>87</v>
      </c>
      <c r="H302" s="36">
        <v>93</v>
      </c>
      <c r="I302" s="36">
        <v>94</v>
      </c>
      <c r="J302" s="35">
        <v>10</v>
      </c>
      <c r="K302" s="52" t="s">
        <v>196</v>
      </c>
      <c r="L302" t="s">
        <v>168</v>
      </c>
    </row>
    <row r="303" spans="1:12" x14ac:dyDescent="0.25">
      <c r="A303" s="28" t="s">
        <v>46</v>
      </c>
      <c r="B303" s="1" t="s">
        <v>12</v>
      </c>
      <c r="C303" s="6">
        <v>47</v>
      </c>
      <c r="D303" s="33">
        <v>65</v>
      </c>
      <c r="E303" s="34">
        <v>65</v>
      </c>
      <c r="F303" s="36">
        <v>80</v>
      </c>
      <c r="G303" s="62" t="s">
        <v>194</v>
      </c>
      <c r="H303" s="62" t="s">
        <v>191</v>
      </c>
      <c r="I303" s="62" t="s">
        <v>182</v>
      </c>
      <c r="J303" s="35">
        <v>8</v>
      </c>
      <c r="K303" s="52" t="s">
        <v>196</v>
      </c>
      <c r="L303" t="s">
        <v>168</v>
      </c>
    </row>
    <row r="304" spans="1:12" x14ac:dyDescent="0.25">
      <c r="A304" s="28" t="s">
        <v>46</v>
      </c>
      <c r="B304" s="1" t="s">
        <v>13</v>
      </c>
      <c r="C304" s="6">
        <v>43</v>
      </c>
      <c r="D304" s="33">
        <v>57</v>
      </c>
      <c r="E304" s="34">
        <v>60</v>
      </c>
      <c r="F304" s="36">
        <v>76</v>
      </c>
      <c r="G304" s="36">
        <v>77</v>
      </c>
      <c r="H304" s="36">
        <v>81</v>
      </c>
      <c r="I304" s="36">
        <v>81</v>
      </c>
      <c r="J304" s="35">
        <v>8</v>
      </c>
      <c r="K304" s="52" t="s">
        <v>196</v>
      </c>
      <c r="L304" t="s">
        <v>168</v>
      </c>
    </row>
    <row r="305" spans="1:12" x14ac:dyDescent="0.25">
      <c r="A305" s="28" t="s">
        <v>46</v>
      </c>
      <c r="B305" s="1" t="s">
        <v>14</v>
      </c>
      <c r="C305" s="6">
        <v>42</v>
      </c>
      <c r="D305" s="33">
        <v>70</v>
      </c>
      <c r="E305" s="34">
        <v>70</v>
      </c>
      <c r="F305" s="36">
        <v>92</v>
      </c>
      <c r="G305" s="36">
        <v>96</v>
      </c>
      <c r="H305" s="62" t="s">
        <v>168</v>
      </c>
      <c r="I305" s="62" t="s">
        <v>168</v>
      </c>
      <c r="J305" s="35">
        <v>6</v>
      </c>
      <c r="K305" s="52" t="s">
        <v>196</v>
      </c>
      <c r="L305" t="s">
        <v>168</v>
      </c>
    </row>
    <row r="306" spans="1:12" x14ac:dyDescent="0.25">
      <c r="A306" s="28" t="s">
        <v>46</v>
      </c>
      <c r="B306" s="1" t="s">
        <v>15</v>
      </c>
      <c r="C306" s="6">
        <v>51</v>
      </c>
      <c r="D306" s="33">
        <v>69</v>
      </c>
      <c r="E306" s="34">
        <v>69</v>
      </c>
      <c r="F306" s="62" t="s">
        <v>168</v>
      </c>
      <c r="G306" s="62" t="s">
        <v>168</v>
      </c>
      <c r="H306" s="62" t="s">
        <v>168</v>
      </c>
      <c r="I306" s="62" t="s">
        <v>168</v>
      </c>
      <c r="J306" s="35">
        <v>4</v>
      </c>
      <c r="K306" s="52" t="s">
        <v>196</v>
      </c>
      <c r="L306" t="s">
        <v>168</v>
      </c>
    </row>
    <row r="307" spans="1:12" x14ac:dyDescent="0.25">
      <c r="A307" s="28" t="s">
        <v>46</v>
      </c>
      <c r="B307" s="1" t="s">
        <v>81</v>
      </c>
      <c r="C307" s="6">
        <v>37</v>
      </c>
      <c r="D307" s="33">
        <v>57</v>
      </c>
      <c r="E307" s="34">
        <v>57</v>
      </c>
      <c r="F307" s="36">
        <v>78</v>
      </c>
      <c r="G307" s="36">
        <v>78</v>
      </c>
      <c r="H307" s="36">
        <v>91</v>
      </c>
      <c r="I307" s="36">
        <v>95</v>
      </c>
      <c r="J307" s="35">
        <v>9</v>
      </c>
      <c r="K307" s="52" t="s">
        <v>196</v>
      </c>
      <c r="L307" t="s">
        <v>168</v>
      </c>
    </row>
    <row r="308" spans="1:12" x14ac:dyDescent="0.25">
      <c r="A308" s="28" t="s">
        <v>46</v>
      </c>
      <c r="B308" s="1" t="s">
        <v>88</v>
      </c>
      <c r="C308" s="6">
        <v>46</v>
      </c>
      <c r="D308" s="33">
        <v>61</v>
      </c>
      <c r="E308" s="34">
        <v>62</v>
      </c>
      <c r="F308" s="36">
        <v>75</v>
      </c>
      <c r="G308" s="36">
        <v>77</v>
      </c>
      <c r="H308" s="36">
        <v>77</v>
      </c>
      <c r="I308" s="36">
        <v>81</v>
      </c>
      <c r="J308" s="35">
        <v>8</v>
      </c>
      <c r="K308" s="52" t="s">
        <v>196</v>
      </c>
      <c r="L308" t="s">
        <v>168</v>
      </c>
    </row>
    <row r="309" spans="1:12" x14ac:dyDescent="0.25">
      <c r="A309" s="28" t="s">
        <v>46</v>
      </c>
      <c r="B309" s="1" t="s">
        <v>16</v>
      </c>
      <c r="C309" s="6">
        <v>59</v>
      </c>
      <c r="D309" s="33">
        <v>81</v>
      </c>
      <c r="E309" s="34" t="s">
        <v>168</v>
      </c>
      <c r="F309" s="62" t="s">
        <v>168</v>
      </c>
      <c r="G309" s="62" t="s">
        <v>168</v>
      </c>
      <c r="H309" s="62" t="s">
        <v>168</v>
      </c>
      <c r="I309" s="62" t="s">
        <v>168</v>
      </c>
      <c r="J309" s="35">
        <v>3</v>
      </c>
      <c r="K309" s="52" t="s">
        <v>196</v>
      </c>
      <c r="L309" t="s">
        <v>168</v>
      </c>
    </row>
    <row r="310" spans="1:12" x14ac:dyDescent="0.25">
      <c r="A310" s="28" t="s">
        <v>46</v>
      </c>
      <c r="B310" s="1" t="s">
        <v>17</v>
      </c>
      <c r="C310" s="6">
        <v>40</v>
      </c>
      <c r="D310" s="33">
        <v>59</v>
      </c>
      <c r="E310" s="34">
        <v>59</v>
      </c>
      <c r="F310" s="36">
        <v>73</v>
      </c>
      <c r="G310" s="36">
        <v>74</v>
      </c>
      <c r="H310" s="36">
        <v>77</v>
      </c>
      <c r="I310" s="36">
        <v>85</v>
      </c>
      <c r="J310" s="35">
        <v>11</v>
      </c>
      <c r="K310" s="52" t="s">
        <v>196</v>
      </c>
      <c r="L310" t="s">
        <v>168</v>
      </c>
    </row>
    <row r="311" spans="1:12" x14ac:dyDescent="0.25">
      <c r="A311" s="28" t="s">
        <v>46</v>
      </c>
      <c r="B311" s="1" t="s">
        <v>197</v>
      </c>
      <c r="C311" s="6">
        <v>46</v>
      </c>
      <c r="D311" s="33">
        <v>59</v>
      </c>
      <c r="E311" s="34">
        <v>59</v>
      </c>
      <c r="F311" s="36">
        <v>72</v>
      </c>
      <c r="G311" s="36">
        <v>73</v>
      </c>
      <c r="H311" s="36">
        <v>73</v>
      </c>
      <c r="I311" s="36">
        <v>78</v>
      </c>
      <c r="J311" s="35">
        <v>11</v>
      </c>
      <c r="K311" s="52" t="s">
        <v>196</v>
      </c>
      <c r="L311" t="s">
        <v>168</v>
      </c>
    </row>
    <row r="312" spans="1:12" x14ac:dyDescent="0.25">
      <c r="A312" s="28" t="s">
        <v>46</v>
      </c>
      <c r="B312" s="1" t="s">
        <v>47</v>
      </c>
      <c r="C312" s="6">
        <v>39</v>
      </c>
      <c r="D312" s="33">
        <v>53</v>
      </c>
      <c r="E312" s="34">
        <v>54</v>
      </c>
      <c r="F312" s="36">
        <v>69</v>
      </c>
      <c r="G312" s="36">
        <v>70</v>
      </c>
      <c r="H312" s="36">
        <v>70</v>
      </c>
      <c r="I312" s="36">
        <v>71</v>
      </c>
      <c r="J312" s="35">
        <v>18</v>
      </c>
      <c r="K312" s="52" t="s">
        <v>196</v>
      </c>
      <c r="L312" t="s">
        <v>168</v>
      </c>
    </row>
    <row r="313" spans="1:12" x14ac:dyDescent="0.25">
      <c r="A313" s="28" t="s">
        <v>46</v>
      </c>
      <c r="B313" s="1" t="s">
        <v>48</v>
      </c>
      <c r="C313" s="6">
        <v>50</v>
      </c>
      <c r="D313" s="33">
        <v>67</v>
      </c>
      <c r="E313" s="34">
        <v>69</v>
      </c>
      <c r="F313" s="62" t="s">
        <v>168</v>
      </c>
      <c r="G313" s="62" t="s">
        <v>168</v>
      </c>
      <c r="H313" s="62" t="s">
        <v>168</v>
      </c>
      <c r="I313" s="62" t="s">
        <v>168</v>
      </c>
      <c r="J313" s="35">
        <v>4</v>
      </c>
      <c r="K313" s="52" t="s">
        <v>196</v>
      </c>
      <c r="L313" t="s">
        <v>168</v>
      </c>
    </row>
    <row r="314" spans="1:12" x14ac:dyDescent="0.25">
      <c r="A314" s="28" t="s">
        <v>46</v>
      </c>
      <c r="B314" s="1" t="s">
        <v>89</v>
      </c>
      <c r="C314" s="6">
        <v>47</v>
      </c>
      <c r="D314" s="33">
        <v>67</v>
      </c>
      <c r="E314" s="34">
        <v>70</v>
      </c>
      <c r="F314" s="36">
        <v>82</v>
      </c>
      <c r="G314" s="36">
        <v>89</v>
      </c>
      <c r="H314" s="62" t="s">
        <v>168</v>
      </c>
      <c r="I314" s="62" t="s">
        <v>168</v>
      </c>
      <c r="J314" s="35">
        <v>6</v>
      </c>
      <c r="K314" s="52" t="s">
        <v>196</v>
      </c>
      <c r="L314" t="s">
        <v>168</v>
      </c>
    </row>
    <row r="315" spans="1:12" x14ac:dyDescent="0.25">
      <c r="A315" s="28" t="s">
        <v>46</v>
      </c>
      <c r="B315" s="1" t="s">
        <v>73</v>
      </c>
      <c r="C315" s="6">
        <v>50</v>
      </c>
      <c r="D315" s="33">
        <v>67</v>
      </c>
      <c r="E315" s="34">
        <v>67</v>
      </c>
      <c r="F315" s="36">
        <v>87</v>
      </c>
      <c r="G315" s="62" t="s">
        <v>187</v>
      </c>
      <c r="H315" s="62" t="s">
        <v>168</v>
      </c>
      <c r="I315" s="62" t="s">
        <v>168</v>
      </c>
      <c r="J315" s="35">
        <v>6</v>
      </c>
      <c r="K315" s="52" t="s">
        <v>196</v>
      </c>
      <c r="L315" t="s">
        <v>168</v>
      </c>
    </row>
    <row r="316" spans="1:12" x14ac:dyDescent="0.25">
      <c r="A316" s="28" t="s">
        <v>46</v>
      </c>
      <c r="B316" s="1" t="s">
        <v>82</v>
      </c>
      <c r="C316" s="6">
        <v>53</v>
      </c>
      <c r="D316" s="33">
        <v>71</v>
      </c>
      <c r="E316" s="34">
        <v>73</v>
      </c>
      <c r="F316" s="36">
        <v>81</v>
      </c>
      <c r="G316" s="36">
        <v>82</v>
      </c>
      <c r="H316" s="62" t="s">
        <v>168</v>
      </c>
      <c r="I316" s="62" t="s">
        <v>168</v>
      </c>
      <c r="J316" s="35">
        <v>6</v>
      </c>
      <c r="K316" s="52" t="s">
        <v>196</v>
      </c>
      <c r="L316" t="s">
        <v>168</v>
      </c>
    </row>
    <row r="317" spans="1:12" x14ac:dyDescent="0.25">
      <c r="A317" s="28" t="s">
        <v>46</v>
      </c>
      <c r="B317" s="1" t="s">
        <v>74</v>
      </c>
      <c r="C317" s="6">
        <v>53</v>
      </c>
      <c r="D317" s="33">
        <v>70</v>
      </c>
      <c r="E317" s="34">
        <v>70</v>
      </c>
      <c r="F317" s="36">
        <v>86</v>
      </c>
      <c r="G317" s="36">
        <v>86</v>
      </c>
      <c r="H317" s="36">
        <v>89</v>
      </c>
      <c r="I317" s="62" t="s">
        <v>188</v>
      </c>
      <c r="J317" s="35">
        <v>8</v>
      </c>
      <c r="K317" s="52" t="s">
        <v>196</v>
      </c>
      <c r="L317" t="s">
        <v>168</v>
      </c>
    </row>
    <row r="318" spans="1:12" x14ac:dyDescent="0.25">
      <c r="A318" s="28" t="s">
        <v>46</v>
      </c>
      <c r="B318" s="1" t="s">
        <v>19</v>
      </c>
      <c r="C318" s="6">
        <v>48</v>
      </c>
      <c r="D318" s="33">
        <v>61</v>
      </c>
      <c r="E318" s="34">
        <v>62</v>
      </c>
      <c r="F318" s="36">
        <v>85</v>
      </c>
      <c r="G318" s="36">
        <v>86</v>
      </c>
      <c r="H318" s="36">
        <v>87</v>
      </c>
      <c r="I318" s="36">
        <v>89</v>
      </c>
      <c r="J318" s="35">
        <v>8</v>
      </c>
      <c r="K318" s="52" t="s">
        <v>196</v>
      </c>
      <c r="L318" t="s">
        <v>168</v>
      </c>
    </row>
    <row r="319" spans="1:12" x14ac:dyDescent="0.25">
      <c r="A319" s="28" t="s">
        <v>46</v>
      </c>
      <c r="B319" s="1" t="s">
        <v>20</v>
      </c>
      <c r="C319" s="6">
        <v>49</v>
      </c>
      <c r="D319" s="33">
        <v>65</v>
      </c>
      <c r="E319" s="34">
        <v>65</v>
      </c>
      <c r="F319" s="36">
        <v>76</v>
      </c>
      <c r="G319" s="36">
        <v>77</v>
      </c>
      <c r="H319" s="36">
        <v>81</v>
      </c>
      <c r="I319" s="36">
        <v>81</v>
      </c>
      <c r="J319" s="35">
        <v>12</v>
      </c>
      <c r="K319" s="52" t="s">
        <v>196</v>
      </c>
      <c r="L319" t="s">
        <v>168</v>
      </c>
    </row>
    <row r="320" spans="1:12" x14ac:dyDescent="0.25">
      <c r="A320" s="28" t="s">
        <v>46</v>
      </c>
      <c r="B320" s="1" t="s">
        <v>50</v>
      </c>
      <c r="C320" s="6">
        <v>51</v>
      </c>
      <c r="D320" s="33">
        <v>75</v>
      </c>
      <c r="E320" s="34">
        <v>76</v>
      </c>
      <c r="F320" s="62" t="s">
        <v>168</v>
      </c>
      <c r="G320" s="62" t="s">
        <v>168</v>
      </c>
      <c r="H320" s="62" t="s">
        <v>168</v>
      </c>
      <c r="I320" s="62" t="s">
        <v>168</v>
      </c>
      <c r="J320" s="35">
        <v>4</v>
      </c>
      <c r="K320" s="52" t="s">
        <v>196</v>
      </c>
      <c r="L320" t="s">
        <v>168</v>
      </c>
    </row>
    <row r="321" spans="1:12" x14ac:dyDescent="0.25">
      <c r="A321" s="28" t="s">
        <v>46</v>
      </c>
      <c r="B321" s="1" t="s">
        <v>51</v>
      </c>
      <c r="C321" s="6">
        <v>42</v>
      </c>
      <c r="D321" s="33">
        <v>55</v>
      </c>
      <c r="E321" s="34">
        <v>55</v>
      </c>
      <c r="F321" s="36">
        <v>69</v>
      </c>
      <c r="G321" s="36">
        <v>69</v>
      </c>
      <c r="H321" s="36">
        <v>70</v>
      </c>
      <c r="I321" s="36">
        <v>72</v>
      </c>
      <c r="J321" s="35">
        <v>26</v>
      </c>
      <c r="K321" s="52" t="s">
        <v>196</v>
      </c>
      <c r="L321" t="s">
        <v>168</v>
      </c>
    </row>
    <row r="322" spans="1:12" x14ac:dyDescent="0.25">
      <c r="A322" s="28" t="s">
        <v>46</v>
      </c>
      <c r="B322" s="1" t="s">
        <v>21</v>
      </c>
      <c r="C322" s="6">
        <v>42</v>
      </c>
      <c r="D322" s="33">
        <v>61</v>
      </c>
      <c r="E322" s="34">
        <v>62</v>
      </c>
      <c r="F322" s="36">
        <v>76</v>
      </c>
      <c r="G322" s="36">
        <v>76</v>
      </c>
      <c r="H322" s="36">
        <v>77</v>
      </c>
      <c r="I322" s="36">
        <v>77</v>
      </c>
      <c r="J322" s="35">
        <v>16</v>
      </c>
      <c r="K322" s="52" t="s">
        <v>196</v>
      </c>
      <c r="L322" t="s">
        <v>168</v>
      </c>
    </row>
    <row r="323" spans="1:12" x14ac:dyDescent="0.25">
      <c r="A323" s="28" t="s">
        <v>46</v>
      </c>
      <c r="B323" s="1" t="s">
        <v>22</v>
      </c>
      <c r="C323" s="6">
        <v>49</v>
      </c>
      <c r="D323" s="33">
        <v>65</v>
      </c>
      <c r="E323" s="34">
        <v>69</v>
      </c>
      <c r="F323" s="36">
        <v>79</v>
      </c>
      <c r="G323" s="36">
        <v>85</v>
      </c>
      <c r="H323" s="36">
        <v>85</v>
      </c>
      <c r="I323" s="36">
        <v>92</v>
      </c>
      <c r="J323" s="35">
        <v>8</v>
      </c>
      <c r="K323" s="52" t="s">
        <v>196</v>
      </c>
      <c r="L323" t="s">
        <v>168</v>
      </c>
    </row>
    <row r="324" spans="1:12" x14ac:dyDescent="0.25">
      <c r="A324" s="28" t="s">
        <v>46</v>
      </c>
      <c r="B324" s="1" t="s">
        <v>23</v>
      </c>
      <c r="C324" s="6">
        <v>50</v>
      </c>
      <c r="D324" s="33">
        <v>73</v>
      </c>
      <c r="E324" s="34">
        <v>74</v>
      </c>
      <c r="F324" s="36">
        <v>95</v>
      </c>
      <c r="G324" s="62" t="s">
        <v>168</v>
      </c>
      <c r="H324" s="62" t="s">
        <v>168</v>
      </c>
      <c r="I324" s="62" t="s">
        <v>168</v>
      </c>
      <c r="J324" s="35">
        <v>5</v>
      </c>
      <c r="K324" s="52" t="s">
        <v>196</v>
      </c>
      <c r="L324" t="s">
        <v>168</v>
      </c>
    </row>
    <row r="325" spans="1:12" x14ac:dyDescent="0.25">
      <c r="A325" s="28" t="s">
        <v>46</v>
      </c>
      <c r="B325" s="1" t="s">
        <v>54</v>
      </c>
      <c r="C325" s="6">
        <v>41</v>
      </c>
      <c r="D325" s="33">
        <v>71</v>
      </c>
      <c r="E325" s="34">
        <v>78</v>
      </c>
      <c r="F325" s="62" t="s">
        <v>168</v>
      </c>
      <c r="G325" s="62" t="s">
        <v>168</v>
      </c>
      <c r="H325" s="62" t="s">
        <v>168</v>
      </c>
      <c r="I325" s="62" t="s">
        <v>168</v>
      </c>
      <c r="J325" s="35">
        <v>4</v>
      </c>
      <c r="K325" s="52" t="s">
        <v>196</v>
      </c>
      <c r="L325" t="s">
        <v>168</v>
      </c>
    </row>
    <row r="326" spans="1:12" x14ac:dyDescent="0.25">
      <c r="A326" s="28" t="s">
        <v>46</v>
      </c>
      <c r="B326" s="1" t="s">
        <v>83</v>
      </c>
      <c r="C326" s="6">
        <v>53</v>
      </c>
      <c r="D326" s="33">
        <v>65</v>
      </c>
      <c r="E326" s="34">
        <v>69</v>
      </c>
      <c r="F326" s="36">
        <v>89</v>
      </c>
      <c r="G326" s="36">
        <v>90</v>
      </c>
      <c r="H326" s="36">
        <v>91</v>
      </c>
      <c r="I326" s="36">
        <v>95</v>
      </c>
      <c r="J326" s="35">
        <v>8</v>
      </c>
      <c r="K326" s="52" t="s">
        <v>196</v>
      </c>
      <c r="L326" t="s">
        <v>168</v>
      </c>
    </row>
    <row r="327" spans="1:12" x14ac:dyDescent="0.25">
      <c r="A327" s="28" t="s">
        <v>46</v>
      </c>
      <c r="B327" s="1" t="s">
        <v>24</v>
      </c>
      <c r="C327" s="6">
        <v>52</v>
      </c>
      <c r="D327" s="33">
        <v>75</v>
      </c>
      <c r="E327" s="34">
        <v>77</v>
      </c>
      <c r="F327" s="36">
        <v>96</v>
      </c>
      <c r="G327" s="62" t="s">
        <v>168</v>
      </c>
      <c r="H327" s="62" t="s">
        <v>168</v>
      </c>
      <c r="I327" s="62" t="s">
        <v>168</v>
      </c>
      <c r="J327" s="35">
        <v>5</v>
      </c>
      <c r="K327" s="52" t="s">
        <v>196</v>
      </c>
      <c r="L327" t="s">
        <v>168</v>
      </c>
    </row>
    <row r="328" spans="1:12" x14ac:dyDescent="0.25">
      <c r="A328" s="28" t="s">
        <v>46</v>
      </c>
      <c r="B328" s="1" t="s">
        <v>90</v>
      </c>
      <c r="C328" s="6">
        <v>48</v>
      </c>
      <c r="D328" s="33">
        <v>69</v>
      </c>
      <c r="E328" s="34">
        <v>71</v>
      </c>
      <c r="F328" s="36">
        <v>86</v>
      </c>
      <c r="G328" s="36">
        <v>86</v>
      </c>
      <c r="H328" s="36">
        <v>89</v>
      </c>
      <c r="I328" s="36">
        <v>96</v>
      </c>
      <c r="J328" s="35">
        <v>9</v>
      </c>
      <c r="K328" s="52" t="s">
        <v>196</v>
      </c>
      <c r="L328" t="s">
        <v>168</v>
      </c>
    </row>
    <row r="329" spans="1:12" x14ac:dyDescent="0.25">
      <c r="A329" s="28" t="s">
        <v>46</v>
      </c>
      <c r="B329" s="1" t="s">
        <v>55</v>
      </c>
      <c r="C329" s="6">
        <v>45</v>
      </c>
      <c r="D329" s="33">
        <v>60</v>
      </c>
      <c r="E329" s="34">
        <v>60</v>
      </c>
      <c r="F329" s="36">
        <v>78</v>
      </c>
      <c r="G329" s="36">
        <v>79</v>
      </c>
      <c r="H329" s="36">
        <v>83</v>
      </c>
      <c r="I329" s="36">
        <v>89</v>
      </c>
      <c r="J329" s="35">
        <v>12</v>
      </c>
      <c r="K329" s="52" t="s">
        <v>196</v>
      </c>
      <c r="L329" t="s">
        <v>168</v>
      </c>
    </row>
    <row r="330" spans="1:12" x14ac:dyDescent="0.25">
      <c r="A330" s="28" t="s">
        <v>46</v>
      </c>
      <c r="B330" s="1" t="s">
        <v>25</v>
      </c>
      <c r="C330" s="6">
        <v>57</v>
      </c>
      <c r="D330" s="33">
        <v>85</v>
      </c>
      <c r="E330" s="34">
        <v>86</v>
      </c>
      <c r="F330" s="62" t="s">
        <v>168</v>
      </c>
      <c r="G330" s="62" t="s">
        <v>168</v>
      </c>
      <c r="H330" s="62" t="s">
        <v>168</v>
      </c>
      <c r="I330" s="62" t="s">
        <v>168</v>
      </c>
      <c r="J330" s="35">
        <v>4</v>
      </c>
      <c r="K330" s="52" t="s">
        <v>196</v>
      </c>
      <c r="L330" t="s">
        <v>168</v>
      </c>
    </row>
    <row r="331" spans="1:12" x14ac:dyDescent="0.25">
      <c r="A331" s="28" t="s">
        <v>46</v>
      </c>
      <c r="B331" s="1" t="s">
        <v>26</v>
      </c>
      <c r="C331" s="6">
        <v>47</v>
      </c>
      <c r="D331" s="33">
        <v>65</v>
      </c>
      <c r="E331" s="34">
        <v>65</v>
      </c>
      <c r="F331" s="36">
        <v>83</v>
      </c>
      <c r="G331" s="36">
        <v>85</v>
      </c>
      <c r="H331" s="36">
        <v>85</v>
      </c>
      <c r="I331" s="36">
        <v>93</v>
      </c>
      <c r="J331" s="35">
        <v>8</v>
      </c>
      <c r="K331" s="52" t="s">
        <v>196</v>
      </c>
      <c r="L331" t="s">
        <v>168</v>
      </c>
    </row>
    <row r="332" spans="1:12" x14ac:dyDescent="0.25">
      <c r="A332" s="28" t="s">
        <v>46</v>
      </c>
      <c r="B332" s="1" t="s">
        <v>75</v>
      </c>
      <c r="C332" s="6">
        <v>41</v>
      </c>
      <c r="D332" s="33">
        <v>58</v>
      </c>
      <c r="E332" s="34">
        <v>59</v>
      </c>
      <c r="F332" s="36">
        <v>73</v>
      </c>
      <c r="G332" s="36">
        <v>75</v>
      </c>
      <c r="H332" s="36">
        <v>76</v>
      </c>
      <c r="I332" s="36">
        <v>81</v>
      </c>
      <c r="J332" s="35">
        <v>11</v>
      </c>
      <c r="K332" s="52" t="s">
        <v>196</v>
      </c>
      <c r="L332" t="s">
        <v>168</v>
      </c>
    </row>
    <row r="333" spans="1:12" x14ac:dyDescent="0.25">
      <c r="A333" s="28" t="s">
        <v>46</v>
      </c>
      <c r="B333" s="1" t="s">
        <v>27</v>
      </c>
      <c r="C333" s="6">
        <v>40</v>
      </c>
      <c r="D333" s="33">
        <v>65</v>
      </c>
      <c r="E333" s="34">
        <v>67</v>
      </c>
      <c r="F333" s="36">
        <v>92</v>
      </c>
      <c r="G333" s="36">
        <v>94</v>
      </c>
      <c r="H333" s="36">
        <v>95</v>
      </c>
      <c r="I333" s="62" t="s">
        <v>168</v>
      </c>
      <c r="J333" s="35">
        <v>7</v>
      </c>
      <c r="K333" s="52" t="s">
        <v>196</v>
      </c>
      <c r="L333" t="s">
        <v>168</v>
      </c>
    </row>
    <row r="334" spans="1:12" x14ac:dyDescent="0.25">
      <c r="A334" s="28" t="s">
        <v>46</v>
      </c>
      <c r="B334" s="1" t="s">
        <v>28</v>
      </c>
      <c r="C334" s="6">
        <v>46</v>
      </c>
      <c r="D334" s="33">
        <v>71</v>
      </c>
      <c r="E334" s="34">
        <v>71</v>
      </c>
      <c r="F334" s="36">
        <v>85</v>
      </c>
      <c r="G334" s="36">
        <v>86</v>
      </c>
      <c r="H334" s="36">
        <v>88</v>
      </c>
      <c r="I334" s="36">
        <v>93</v>
      </c>
      <c r="J334" s="35">
        <v>8</v>
      </c>
      <c r="K334" s="52" t="s">
        <v>196</v>
      </c>
      <c r="L334" t="s">
        <v>168</v>
      </c>
    </row>
    <row r="335" spans="1:12" x14ac:dyDescent="0.25">
      <c r="A335" s="28" t="s">
        <v>46</v>
      </c>
      <c r="B335" s="1" t="s">
        <v>29</v>
      </c>
      <c r="C335" s="6">
        <v>52</v>
      </c>
      <c r="D335" s="33">
        <v>67</v>
      </c>
      <c r="E335" s="34">
        <v>67</v>
      </c>
      <c r="F335" s="36">
        <v>81</v>
      </c>
      <c r="G335" s="36">
        <v>82</v>
      </c>
      <c r="H335" s="36">
        <v>83</v>
      </c>
      <c r="I335" s="36">
        <v>88</v>
      </c>
      <c r="J335" s="35">
        <v>8</v>
      </c>
      <c r="K335" s="52" t="s">
        <v>196</v>
      </c>
      <c r="L335" t="s">
        <v>168</v>
      </c>
    </row>
    <row r="336" spans="1:12" x14ac:dyDescent="0.25">
      <c r="A336" s="28" t="s">
        <v>46</v>
      </c>
      <c r="B336" s="1" t="s">
        <v>57</v>
      </c>
      <c r="C336" s="6">
        <v>48</v>
      </c>
      <c r="D336" s="33">
        <v>65</v>
      </c>
      <c r="E336" s="34">
        <v>67</v>
      </c>
      <c r="F336" s="36">
        <v>79</v>
      </c>
      <c r="G336" s="36">
        <v>80</v>
      </c>
      <c r="H336" s="36">
        <v>81</v>
      </c>
      <c r="I336" s="36">
        <v>85</v>
      </c>
      <c r="J336" s="35">
        <v>13</v>
      </c>
      <c r="K336" s="52" t="s">
        <v>196</v>
      </c>
      <c r="L336" t="s">
        <v>168</v>
      </c>
    </row>
    <row r="337" spans="1:12" x14ac:dyDescent="0.25">
      <c r="A337" s="28" t="s">
        <v>46</v>
      </c>
      <c r="B337" s="1" t="s">
        <v>30</v>
      </c>
      <c r="C337" s="6">
        <v>43</v>
      </c>
      <c r="D337" s="33">
        <v>58</v>
      </c>
      <c r="E337" s="34">
        <v>60</v>
      </c>
      <c r="F337" s="36">
        <v>74</v>
      </c>
      <c r="G337" s="36">
        <v>76</v>
      </c>
      <c r="H337" s="36">
        <v>79</v>
      </c>
      <c r="I337" s="36">
        <v>92</v>
      </c>
      <c r="J337" s="35">
        <v>10</v>
      </c>
      <c r="K337" s="52" t="s">
        <v>196</v>
      </c>
      <c r="L337" t="s">
        <v>168</v>
      </c>
    </row>
    <row r="338" spans="1:12" x14ac:dyDescent="0.25">
      <c r="A338" s="28" t="s">
        <v>46</v>
      </c>
      <c r="B338" s="1" t="s">
        <v>31</v>
      </c>
      <c r="C338" s="6">
        <v>52</v>
      </c>
      <c r="D338" s="33">
        <v>80</v>
      </c>
      <c r="E338" s="34">
        <v>81</v>
      </c>
      <c r="F338" s="62" t="s">
        <v>168</v>
      </c>
      <c r="G338" s="62" t="s">
        <v>168</v>
      </c>
      <c r="H338" s="62" t="s">
        <v>168</v>
      </c>
      <c r="I338" s="62" t="s">
        <v>168</v>
      </c>
      <c r="J338" s="35">
        <v>4</v>
      </c>
      <c r="K338" s="52" t="s">
        <v>196</v>
      </c>
      <c r="L338" t="s">
        <v>168</v>
      </c>
    </row>
    <row r="339" spans="1:12" x14ac:dyDescent="0.25">
      <c r="A339" s="28" t="s">
        <v>46</v>
      </c>
      <c r="B339" s="1" t="s">
        <v>32</v>
      </c>
      <c r="C339" s="6">
        <v>61</v>
      </c>
      <c r="D339" s="33">
        <v>88</v>
      </c>
      <c r="E339" s="34">
        <v>88</v>
      </c>
      <c r="F339" s="62" t="s">
        <v>168</v>
      </c>
      <c r="G339" s="62" t="s">
        <v>168</v>
      </c>
      <c r="H339" s="62" t="s">
        <v>168</v>
      </c>
      <c r="I339" s="62" t="s">
        <v>168</v>
      </c>
      <c r="J339" s="35">
        <v>4</v>
      </c>
      <c r="K339" s="52" t="s">
        <v>196</v>
      </c>
      <c r="L339" t="s">
        <v>168</v>
      </c>
    </row>
    <row r="340" spans="1:12" x14ac:dyDescent="0.25">
      <c r="A340" s="28" t="s">
        <v>46</v>
      </c>
      <c r="B340" s="1" t="s">
        <v>33</v>
      </c>
      <c r="C340" s="6">
        <v>55</v>
      </c>
      <c r="D340" s="33">
        <v>72</v>
      </c>
      <c r="E340" s="34">
        <v>72</v>
      </c>
      <c r="F340" s="36">
        <v>80</v>
      </c>
      <c r="G340" s="36">
        <v>85</v>
      </c>
      <c r="H340" s="36">
        <v>90</v>
      </c>
      <c r="I340" s="36">
        <v>95</v>
      </c>
      <c r="J340" s="35">
        <v>8</v>
      </c>
      <c r="K340" s="52" t="s">
        <v>196</v>
      </c>
      <c r="L340" t="s">
        <v>168</v>
      </c>
    </row>
    <row r="341" spans="1:12" x14ac:dyDescent="0.25">
      <c r="A341" s="28" t="s">
        <v>46</v>
      </c>
      <c r="B341" s="1" t="s">
        <v>58</v>
      </c>
      <c r="C341" s="6">
        <v>52</v>
      </c>
      <c r="D341" s="33">
        <v>73</v>
      </c>
      <c r="E341" s="34">
        <v>74</v>
      </c>
      <c r="F341" s="36">
        <v>88</v>
      </c>
      <c r="G341" s="36">
        <v>89</v>
      </c>
      <c r="H341" s="36">
        <v>93</v>
      </c>
      <c r="I341" s="62" t="s">
        <v>168</v>
      </c>
      <c r="J341" s="35">
        <v>7</v>
      </c>
      <c r="K341" s="52" t="s">
        <v>196</v>
      </c>
      <c r="L341" t="s">
        <v>168</v>
      </c>
    </row>
    <row r="342" spans="1:12" x14ac:dyDescent="0.25">
      <c r="A342" s="28" t="s">
        <v>46</v>
      </c>
      <c r="B342" s="1" t="s">
        <v>84</v>
      </c>
      <c r="C342" s="6">
        <v>35</v>
      </c>
      <c r="D342" s="33">
        <v>50</v>
      </c>
      <c r="E342" s="34">
        <v>50</v>
      </c>
      <c r="F342" s="36">
        <v>65</v>
      </c>
      <c r="G342" s="36">
        <v>65</v>
      </c>
      <c r="H342" s="36">
        <v>65</v>
      </c>
      <c r="I342" s="36">
        <v>69</v>
      </c>
      <c r="J342" s="35">
        <v>27</v>
      </c>
      <c r="K342" s="52" t="s">
        <v>196</v>
      </c>
      <c r="L342" t="s">
        <v>168</v>
      </c>
    </row>
    <row r="343" spans="1:12" x14ac:dyDescent="0.25">
      <c r="A343" s="28" t="s">
        <v>46</v>
      </c>
      <c r="B343" s="1" t="s">
        <v>34</v>
      </c>
      <c r="C343" s="6">
        <v>48</v>
      </c>
      <c r="D343" s="33">
        <v>65</v>
      </c>
      <c r="E343" s="34">
        <v>67</v>
      </c>
      <c r="F343" s="36">
        <v>85</v>
      </c>
      <c r="G343" s="62" t="s">
        <v>191</v>
      </c>
      <c r="H343" s="62" t="s">
        <v>191</v>
      </c>
      <c r="I343" s="62" t="s">
        <v>168</v>
      </c>
      <c r="J343" s="35">
        <v>7</v>
      </c>
      <c r="K343" s="52" t="s">
        <v>196</v>
      </c>
      <c r="L343" t="s">
        <v>168</v>
      </c>
    </row>
    <row r="344" spans="1:12" x14ac:dyDescent="0.25">
      <c r="A344" s="28" t="s">
        <v>46</v>
      </c>
      <c r="B344" s="1" t="s">
        <v>59</v>
      </c>
      <c r="C344" s="6">
        <v>44</v>
      </c>
      <c r="D344" s="33">
        <v>59</v>
      </c>
      <c r="E344" s="34">
        <v>61</v>
      </c>
      <c r="F344" s="36">
        <v>75</v>
      </c>
      <c r="G344" s="36">
        <v>75</v>
      </c>
      <c r="H344" s="36">
        <v>75</v>
      </c>
      <c r="I344" s="36">
        <v>75</v>
      </c>
      <c r="J344" s="35">
        <v>15</v>
      </c>
      <c r="K344" s="52" t="s">
        <v>196</v>
      </c>
      <c r="L344" t="s">
        <v>168</v>
      </c>
    </row>
    <row r="345" spans="1:12" x14ac:dyDescent="0.25">
      <c r="A345" s="28" t="s">
        <v>46</v>
      </c>
      <c r="B345" s="1" t="s">
        <v>85</v>
      </c>
      <c r="C345" s="6">
        <v>50</v>
      </c>
      <c r="D345" s="33">
        <v>67</v>
      </c>
      <c r="E345" s="34">
        <v>71</v>
      </c>
      <c r="F345" s="36">
        <v>85</v>
      </c>
      <c r="G345" s="36">
        <v>86</v>
      </c>
      <c r="H345" s="36">
        <v>94</v>
      </c>
      <c r="I345" s="62" t="s">
        <v>186</v>
      </c>
      <c r="J345" s="35">
        <v>8</v>
      </c>
      <c r="K345" s="52" t="s">
        <v>196</v>
      </c>
      <c r="L345" t="s">
        <v>168</v>
      </c>
    </row>
    <row r="346" spans="1:12" x14ac:dyDescent="0.25">
      <c r="A346" s="28" t="s">
        <v>46</v>
      </c>
      <c r="B346" s="1" t="s">
        <v>76</v>
      </c>
      <c r="C346" s="6">
        <v>49</v>
      </c>
      <c r="D346" s="33">
        <v>67</v>
      </c>
      <c r="E346" s="34">
        <v>68</v>
      </c>
      <c r="F346" s="36">
        <v>83</v>
      </c>
      <c r="G346" s="36">
        <v>83</v>
      </c>
      <c r="H346" s="36">
        <v>86</v>
      </c>
      <c r="I346" s="36">
        <v>86</v>
      </c>
      <c r="J346" s="35">
        <v>10</v>
      </c>
      <c r="K346" s="52" t="s">
        <v>196</v>
      </c>
      <c r="L346" t="s">
        <v>168</v>
      </c>
    </row>
    <row r="347" spans="1:12" x14ac:dyDescent="0.25">
      <c r="A347" s="28" t="s">
        <v>46</v>
      </c>
      <c r="B347" s="1" t="s">
        <v>60</v>
      </c>
      <c r="C347" s="6">
        <v>44</v>
      </c>
      <c r="D347" s="33">
        <v>59</v>
      </c>
      <c r="E347" s="34">
        <v>60</v>
      </c>
      <c r="F347" s="36">
        <v>73</v>
      </c>
      <c r="G347" s="36">
        <v>74</v>
      </c>
      <c r="H347" s="36">
        <v>76</v>
      </c>
      <c r="I347" s="36">
        <v>77</v>
      </c>
      <c r="J347" s="35">
        <v>15</v>
      </c>
      <c r="K347" s="52" t="s">
        <v>196</v>
      </c>
      <c r="L347" t="s">
        <v>168</v>
      </c>
    </row>
    <row r="348" spans="1:12" x14ac:dyDescent="0.25">
      <c r="A348" s="28" t="s">
        <v>46</v>
      </c>
      <c r="B348" s="1" t="s">
        <v>96</v>
      </c>
      <c r="C348" s="6">
        <v>54</v>
      </c>
      <c r="D348" s="33">
        <v>78</v>
      </c>
      <c r="E348" s="34">
        <v>78</v>
      </c>
      <c r="F348" s="36">
        <v>96</v>
      </c>
      <c r="G348" s="62" t="s">
        <v>168</v>
      </c>
      <c r="H348" s="62" t="s">
        <v>168</v>
      </c>
      <c r="I348" s="62" t="s">
        <v>168</v>
      </c>
      <c r="J348" s="35">
        <v>5</v>
      </c>
      <c r="K348" s="52" t="s">
        <v>196</v>
      </c>
      <c r="L348" t="s">
        <v>168</v>
      </c>
    </row>
    <row r="349" spans="1:12" x14ac:dyDescent="0.25">
      <c r="A349" s="28" t="s">
        <v>46</v>
      </c>
      <c r="B349" s="1" t="s">
        <v>61</v>
      </c>
      <c r="C349" s="6">
        <v>49</v>
      </c>
      <c r="D349" s="33">
        <v>73</v>
      </c>
      <c r="E349" s="34">
        <v>74</v>
      </c>
      <c r="F349" s="36">
        <v>96</v>
      </c>
      <c r="G349" s="62" t="s">
        <v>168</v>
      </c>
      <c r="H349" s="62" t="s">
        <v>168</v>
      </c>
      <c r="I349" s="62" t="s">
        <v>168</v>
      </c>
      <c r="J349" s="35">
        <v>5</v>
      </c>
      <c r="K349" s="52" t="s">
        <v>196</v>
      </c>
      <c r="L349" t="s">
        <v>168</v>
      </c>
    </row>
    <row r="350" spans="1:12" x14ac:dyDescent="0.25">
      <c r="A350" s="28" t="s">
        <v>46</v>
      </c>
      <c r="B350" s="1" t="s">
        <v>86</v>
      </c>
      <c r="C350" s="6">
        <v>46</v>
      </c>
      <c r="D350" s="33">
        <v>60</v>
      </c>
      <c r="E350" s="34">
        <v>62</v>
      </c>
      <c r="F350" s="36">
        <v>76</v>
      </c>
      <c r="G350" s="36">
        <v>85</v>
      </c>
      <c r="H350" s="36">
        <v>91</v>
      </c>
      <c r="I350" s="36">
        <v>91</v>
      </c>
      <c r="J350" s="35">
        <v>8</v>
      </c>
      <c r="K350" s="52" t="s">
        <v>196</v>
      </c>
      <c r="L350" t="s">
        <v>168</v>
      </c>
    </row>
    <row r="351" spans="1:12" x14ac:dyDescent="0.25">
      <c r="A351" s="28" t="s">
        <v>46</v>
      </c>
      <c r="B351" s="1" t="s">
        <v>77</v>
      </c>
      <c r="C351" s="6">
        <v>38</v>
      </c>
      <c r="D351" s="33">
        <v>55</v>
      </c>
      <c r="E351" s="34">
        <v>56</v>
      </c>
      <c r="F351" s="36">
        <v>70</v>
      </c>
      <c r="G351" s="36">
        <v>70</v>
      </c>
      <c r="H351" s="36">
        <v>75</v>
      </c>
      <c r="I351" s="36">
        <v>76</v>
      </c>
      <c r="J351" s="35">
        <v>16</v>
      </c>
      <c r="K351" s="52" t="s">
        <v>196</v>
      </c>
      <c r="L351" t="s">
        <v>168</v>
      </c>
    </row>
    <row r="352" spans="1:12" x14ac:dyDescent="0.25">
      <c r="A352" s="28" t="s">
        <v>46</v>
      </c>
      <c r="B352" s="1" t="s">
        <v>35</v>
      </c>
      <c r="C352" s="6">
        <v>52</v>
      </c>
      <c r="D352" s="33">
        <v>73</v>
      </c>
      <c r="E352" s="34">
        <v>73</v>
      </c>
      <c r="F352" s="36">
        <v>90</v>
      </c>
      <c r="G352" s="36">
        <v>92</v>
      </c>
      <c r="H352" s="62" t="s">
        <v>187</v>
      </c>
      <c r="I352" s="62" t="s">
        <v>168</v>
      </c>
      <c r="J352" s="35">
        <v>7</v>
      </c>
      <c r="K352" s="52" t="s">
        <v>196</v>
      </c>
      <c r="L352" t="s">
        <v>168</v>
      </c>
    </row>
    <row r="353" spans="1:12" x14ac:dyDescent="0.25">
      <c r="A353" s="28" t="s">
        <v>46</v>
      </c>
      <c r="B353" s="1" t="s">
        <v>62</v>
      </c>
      <c r="C353" s="6">
        <v>41</v>
      </c>
      <c r="D353" s="33">
        <v>55</v>
      </c>
      <c r="E353" s="34">
        <v>56</v>
      </c>
      <c r="F353" s="36">
        <v>69</v>
      </c>
      <c r="G353" s="36">
        <v>70</v>
      </c>
      <c r="H353" s="36">
        <v>70</v>
      </c>
      <c r="I353" s="36">
        <v>70</v>
      </c>
      <c r="J353" s="35">
        <v>12</v>
      </c>
      <c r="K353" s="52" t="s">
        <v>196</v>
      </c>
      <c r="L353" t="s">
        <v>168</v>
      </c>
    </row>
    <row r="354" spans="1:12" x14ac:dyDescent="0.25">
      <c r="A354" s="28" t="s">
        <v>46</v>
      </c>
      <c r="B354" s="1" t="s">
        <v>91</v>
      </c>
      <c r="C354" s="6">
        <v>53</v>
      </c>
      <c r="D354" s="33">
        <v>71</v>
      </c>
      <c r="E354" s="34">
        <v>71</v>
      </c>
      <c r="F354" s="36">
        <v>86</v>
      </c>
      <c r="G354" s="36">
        <v>88</v>
      </c>
      <c r="H354" s="36">
        <v>90</v>
      </c>
      <c r="I354" s="62" t="s">
        <v>186</v>
      </c>
      <c r="J354" s="35">
        <v>7</v>
      </c>
      <c r="K354" s="52" t="s">
        <v>196</v>
      </c>
      <c r="L354" t="s">
        <v>168</v>
      </c>
    </row>
    <row r="355" spans="1:12" x14ac:dyDescent="0.25">
      <c r="A355" s="28" t="s">
        <v>46</v>
      </c>
      <c r="B355" s="1" t="s">
        <v>36</v>
      </c>
      <c r="C355" s="6">
        <v>46</v>
      </c>
      <c r="D355" s="33">
        <v>62</v>
      </c>
      <c r="E355" s="34">
        <v>62</v>
      </c>
      <c r="F355" s="36">
        <v>76</v>
      </c>
      <c r="G355" s="36">
        <v>77</v>
      </c>
      <c r="H355" s="36">
        <v>77</v>
      </c>
      <c r="I355" s="36">
        <v>77</v>
      </c>
      <c r="J355" s="35">
        <v>16</v>
      </c>
      <c r="K355" s="52" t="s">
        <v>196</v>
      </c>
      <c r="L355" t="s">
        <v>168</v>
      </c>
    </row>
    <row r="356" spans="1:12" x14ac:dyDescent="0.25">
      <c r="A356" s="28" t="s">
        <v>46</v>
      </c>
      <c r="B356" s="1" t="s">
        <v>63</v>
      </c>
      <c r="C356" s="6">
        <v>46</v>
      </c>
      <c r="D356" s="33">
        <v>59</v>
      </c>
      <c r="E356" s="34">
        <v>59</v>
      </c>
      <c r="F356" s="36">
        <v>71</v>
      </c>
      <c r="G356" s="36">
        <v>71</v>
      </c>
      <c r="H356" s="36">
        <v>72</v>
      </c>
      <c r="I356" s="36">
        <v>72</v>
      </c>
      <c r="J356" s="35">
        <v>16</v>
      </c>
      <c r="K356" s="52" t="s">
        <v>196</v>
      </c>
      <c r="L356" t="s">
        <v>168</v>
      </c>
    </row>
    <row r="357" spans="1:12" x14ac:dyDescent="0.25">
      <c r="A357" s="28" t="s">
        <v>46</v>
      </c>
      <c r="B357" s="1" t="s">
        <v>78</v>
      </c>
      <c r="C357" s="6">
        <v>49</v>
      </c>
      <c r="D357" s="33">
        <v>65</v>
      </c>
      <c r="E357" s="34">
        <v>65</v>
      </c>
      <c r="F357" s="36">
        <v>77</v>
      </c>
      <c r="G357" s="36">
        <v>77</v>
      </c>
      <c r="H357" s="36">
        <v>79</v>
      </c>
      <c r="I357" s="36">
        <v>85</v>
      </c>
      <c r="J357" s="35">
        <v>14</v>
      </c>
      <c r="K357" s="52" t="s">
        <v>196</v>
      </c>
      <c r="L357" t="s">
        <v>168</v>
      </c>
    </row>
    <row r="358" spans="1:12" x14ac:dyDescent="0.25">
      <c r="A358" s="28" t="s">
        <v>46</v>
      </c>
      <c r="B358" s="1" t="s">
        <v>37</v>
      </c>
      <c r="C358" s="6">
        <v>53</v>
      </c>
      <c r="D358" s="33">
        <v>79</v>
      </c>
      <c r="E358" s="34">
        <v>79</v>
      </c>
      <c r="F358" s="36">
        <v>95</v>
      </c>
      <c r="G358" s="62" t="s">
        <v>168</v>
      </c>
      <c r="H358" s="62" t="s">
        <v>168</v>
      </c>
      <c r="I358" s="62" t="s">
        <v>168</v>
      </c>
      <c r="J358" s="35">
        <v>5</v>
      </c>
      <c r="K358" s="52" t="s">
        <v>196</v>
      </c>
      <c r="L358" t="s">
        <v>168</v>
      </c>
    </row>
    <row r="359" spans="1:12" x14ac:dyDescent="0.25">
      <c r="A359" s="28" t="s">
        <v>46</v>
      </c>
      <c r="B359" s="1" t="s">
        <v>64</v>
      </c>
      <c r="C359" s="6">
        <v>56</v>
      </c>
      <c r="D359" s="33">
        <v>77</v>
      </c>
      <c r="E359" s="34">
        <v>78</v>
      </c>
      <c r="F359" s="36">
        <v>92</v>
      </c>
      <c r="G359" s="36">
        <v>94</v>
      </c>
      <c r="H359" s="62" t="s">
        <v>168</v>
      </c>
      <c r="I359" s="62" t="s">
        <v>168</v>
      </c>
      <c r="J359" s="35">
        <v>6</v>
      </c>
      <c r="K359" s="52" t="s">
        <v>196</v>
      </c>
      <c r="L359" t="s">
        <v>168</v>
      </c>
    </row>
    <row r="360" spans="1:12" x14ac:dyDescent="0.25">
      <c r="A360" s="28" t="s">
        <v>46</v>
      </c>
      <c r="B360" s="1" t="s">
        <v>38</v>
      </c>
      <c r="C360" s="6">
        <v>40</v>
      </c>
      <c r="D360" s="33">
        <v>52</v>
      </c>
      <c r="E360" s="34">
        <v>53</v>
      </c>
      <c r="F360" s="36">
        <v>65</v>
      </c>
      <c r="G360" s="36">
        <v>65</v>
      </c>
      <c r="H360" s="36">
        <v>65</v>
      </c>
      <c r="I360" s="36">
        <v>69</v>
      </c>
      <c r="J360" s="35">
        <v>30</v>
      </c>
      <c r="K360" s="52" t="s">
        <v>196</v>
      </c>
      <c r="L360" t="s">
        <v>168</v>
      </c>
    </row>
    <row r="361" spans="1:12" x14ac:dyDescent="0.25">
      <c r="A361" s="28" t="s">
        <v>46</v>
      </c>
      <c r="B361" s="1" t="s">
        <v>39</v>
      </c>
      <c r="C361" s="6">
        <v>55</v>
      </c>
      <c r="D361" s="33">
        <v>70</v>
      </c>
      <c r="E361" s="34">
        <v>78</v>
      </c>
      <c r="F361" s="62" t="s">
        <v>168</v>
      </c>
      <c r="G361" s="62" t="s">
        <v>168</v>
      </c>
      <c r="H361" s="62" t="s">
        <v>168</v>
      </c>
      <c r="I361" s="62" t="s">
        <v>168</v>
      </c>
      <c r="J361" s="35">
        <v>4</v>
      </c>
      <c r="K361" s="52" t="s">
        <v>196</v>
      </c>
      <c r="L361" t="s">
        <v>168</v>
      </c>
    </row>
    <row r="362" spans="1:12" x14ac:dyDescent="0.25">
      <c r="A362" s="28" t="s">
        <v>46</v>
      </c>
      <c r="B362" s="1" t="s">
        <v>87</v>
      </c>
      <c r="C362" s="6">
        <v>51</v>
      </c>
      <c r="D362" s="33">
        <v>65</v>
      </c>
      <c r="E362" s="34">
        <v>69</v>
      </c>
      <c r="F362" s="36">
        <v>81</v>
      </c>
      <c r="G362" s="36">
        <v>88</v>
      </c>
      <c r="H362" s="36">
        <v>88</v>
      </c>
      <c r="I362" s="36">
        <v>90</v>
      </c>
      <c r="J362" s="35">
        <v>8</v>
      </c>
      <c r="K362" s="52" t="s">
        <v>196</v>
      </c>
      <c r="L362" t="s">
        <v>168</v>
      </c>
    </row>
    <row r="363" spans="1:12" x14ac:dyDescent="0.25">
      <c r="A363" s="28" t="s">
        <v>46</v>
      </c>
      <c r="B363" s="1" t="s">
        <v>65</v>
      </c>
      <c r="C363" s="6">
        <v>46</v>
      </c>
      <c r="D363" s="33">
        <v>61</v>
      </c>
      <c r="E363" s="34">
        <v>87</v>
      </c>
      <c r="F363" s="36">
        <v>88</v>
      </c>
      <c r="G363" s="36">
        <v>88</v>
      </c>
      <c r="H363" s="36">
        <v>91</v>
      </c>
      <c r="I363" s="36">
        <v>95</v>
      </c>
      <c r="J363" s="35">
        <v>9</v>
      </c>
      <c r="K363" s="52" t="s">
        <v>196</v>
      </c>
      <c r="L363" t="s">
        <v>168</v>
      </c>
    </row>
    <row r="364" spans="1:12" x14ac:dyDescent="0.25">
      <c r="A364" s="28" t="s">
        <v>46</v>
      </c>
      <c r="B364" s="1" t="s">
        <v>79</v>
      </c>
      <c r="C364" s="6">
        <v>39</v>
      </c>
      <c r="D364" s="33">
        <v>53</v>
      </c>
      <c r="E364" s="34">
        <v>54</v>
      </c>
      <c r="F364" s="36">
        <v>69</v>
      </c>
      <c r="G364" s="62" t="s">
        <v>195</v>
      </c>
      <c r="H364" s="62" t="s">
        <v>184</v>
      </c>
      <c r="I364" s="62" t="s">
        <v>168</v>
      </c>
      <c r="J364" s="35">
        <v>6</v>
      </c>
      <c r="K364" s="52" t="s">
        <v>196</v>
      </c>
      <c r="L364" t="s">
        <v>168</v>
      </c>
    </row>
    <row r="365" spans="1:12" x14ac:dyDescent="0.25">
      <c r="A365" s="28" t="s">
        <v>46</v>
      </c>
      <c r="B365" s="1" t="s">
        <v>66</v>
      </c>
      <c r="C365" s="6">
        <v>34</v>
      </c>
      <c r="D365" s="33">
        <v>49</v>
      </c>
      <c r="E365" s="34">
        <v>49</v>
      </c>
      <c r="F365" s="36">
        <v>62</v>
      </c>
      <c r="G365" s="36">
        <v>62</v>
      </c>
      <c r="H365" s="36">
        <v>62</v>
      </c>
      <c r="I365" s="36">
        <v>65</v>
      </c>
      <c r="J365" s="35">
        <v>28</v>
      </c>
      <c r="K365" s="52" t="s">
        <v>196</v>
      </c>
      <c r="L365" t="s">
        <v>168</v>
      </c>
    </row>
    <row r="366" spans="1:12" x14ac:dyDescent="0.25">
      <c r="A366" s="28" t="s">
        <v>46</v>
      </c>
      <c r="B366" s="1" t="s">
        <v>92</v>
      </c>
      <c r="C366" s="6">
        <v>44</v>
      </c>
      <c r="D366" s="33">
        <v>59</v>
      </c>
      <c r="E366" s="34">
        <v>59</v>
      </c>
      <c r="F366" s="36">
        <v>73</v>
      </c>
      <c r="G366" s="36">
        <v>73</v>
      </c>
      <c r="H366" s="36">
        <v>77</v>
      </c>
      <c r="I366" s="36">
        <v>81</v>
      </c>
      <c r="J366" s="35">
        <v>13</v>
      </c>
      <c r="K366" s="52" t="s">
        <v>196</v>
      </c>
      <c r="L366" t="s">
        <v>168</v>
      </c>
    </row>
    <row r="367" spans="1:12" x14ac:dyDescent="0.25">
      <c r="A367" s="28" t="s">
        <v>46</v>
      </c>
      <c r="B367" s="1" t="s">
        <v>67</v>
      </c>
      <c r="C367" s="6">
        <v>56</v>
      </c>
      <c r="D367" s="33">
        <v>75</v>
      </c>
      <c r="E367" s="34">
        <v>76</v>
      </c>
      <c r="F367" s="62" t="s">
        <v>168</v>
      </c>
      <c r="G367" s="62" t="s">
        <v>168</v>
      </c>
      <c r="H367" s="62" t="s">
        <v>168</v>
      </c>
      <c r="I367" s="62" t="s">
        <v>168</v>
      </c>
      <c r="J367" s="35">
        <v>4</v>
      </c>
      <c r="K367" s="52" t="s">
        <v>196</v>
      </c>
      <c r="L367" t="s">
        <v>168</v>
      </c>
    </row>
    <row r="368" spans="1:12" x14ac:dyDescent="0.25">
      <c r="A368" s="28" t="s">
        <v>46</v>
      </c>
      <c r="B368" s="1" t="s">
        <v>68</v>
      </c>
      <c r="C368" s="6">
        <v>53</v>
      </c>
      <c r="D368" s="33">
        <v>69</v>
      </c>
      <c r="E368" s="34">
        <v>69</v>
      </c>
      <c r="F368" s="36">
        <v>83</v>
      </c>
      <c r="G368" s="36">
        <v>85</v>
      </c>
      <c r="H368" s="62" t="s">
        <v>187</v>
      </c>
      <c r="I368" s="62" t="s">
        <v>168</v>
      </c>
      <c r="J368" s="35">
        <v>6</v>
      </c>
      <c r="K368" s="52" t="s">
        <v>196</v>
      </c>
      <c r="L368" t="s">
        <v>168</v>
      </c>
    </row>
    <row r="369" spans="1:12" x14ac:dyDescent="0.25">
      <c r="A369" s="28" t="s">
        <v>46</v>
      </c>
      <c r="B369" s="1" t="s">
        <v>40</v>
      </c>
      <c r="C369" s="6">
        <v>43</v>
      </c>
      <c r="D369" s="33">
        <v>59</v>
      </c>
      <c r="E369" s="34">
        <v>69</v>
      </c>
      <c r="F369" s="36">
        <v>73</v>
      </c>
      <c r="G369" s="36">
        <v>73</v>
      </c>
      <c r="H369" s="36">
        <v>82</v>
      </c>
      <c r="I369" s="36">
        <v>83</v>
      </c>
      <c r="J369" s="35">
        <v>11</v>
      </c>
      <c r="K369" s="52" t="s">
        <v>196</v>
      </c>
      <c r="L369" t="s">
        <v>168</v>
      </c>
    </row>
    <row r="370" spans="1:12" x14ac:dyDescent="0.25">
      <c r="A370" s="28" t="s">
        <v>46</v>
      </c>
      <c r="B370" s="1" t="s">
        <v>69</v>
      </c>
      <c r="C370" s="6">
        <v>35</v>
      </c>
      <c r="D370" s="33">
        <v>49</v>
      </c>
      <c r="E370" s="34">
        <v>50</v>
      </c>
      <c r="F370" s="36">
        <v>60</v>
      </c>
      <c r="G370" s="36">
        <v>61</v>
      </c>
      <c r="H370" s="36">
        <v>62</v>
      </c>
      <c r="I370" s="36">
        <v>65</v>
      </c>
      <c r="J370" s="35">
        <v>27</v>
      </c>
      <c r="K370" s="52" t="s">
        <v>196</v>
      </c>
      <c r="L370" t="s">
        <v>168</v>
      </c>
    </row>
    <row r="371" spans="1:12" x14ac:dyDescent="0.25">
      <c r="A371" s="28" t="s">
        <v>46</v>
      </c>
      <c r="B371" s="1" t="s">
        <v>41</v>
      </c>
      <c r="C371" s="6">
        <v>54</v>
      </c>
      <c r="D371" s="33">
        <v>71</v>
      </c>
      <c r="E371" s="34">
        <v>72</v>
      </c>
      <c r="F371" s="36">
        <v>87</v>
      </c>
      <c r="G371" s="36">
        <v>87</v>
      </c>
      <c r="H371" s="62" t="s">
        <v>186</v>
      </c>
      <c r="I371" s="62" t="s">
        <v>168</v>
      </c>
      <c r="J371" s="35">
        <v>6</v>
      </c>
      <c r="K371" s="52" t="s">
        <v>196</v>
      </c>
      <c r="L371" t="s">
        <v>168</v>
      </c>
    </row>
    <row r="372" spans="1:12" x14ac:dyDescent="0.25">
      <c r="A372" s="28" t="s">
        <v>46</v>
      </c>
      <c r="B372" s="1" t="s">
        <v>42</v>
      </c>
      <c r="C372" s="6">
        <v>53</v>
      </c>
      <c r="D372" s="33">
        <v>76</v>
      </c>
      <c r="E372" s="34">
        <v>76</v>
      </c>
      <c r="F372" s="62" t="s">
        <v>168</v>
      </c>
      <c r="G372" s="62" t="s">
        <v>168</v>
      </c>
      <c r="H372" s="62" t="s">
        <v>168</v>
      </c>
      <c r="I372" s="62" t="s">
        <v>168</v>
      </c>
      <c r="J372" s="35">
        <v>4</v>
      </c>
      <c r="K372" s="52" t="s">
        <v>196</v>
      </c>
      <c r="L372" t="s">
        <v>168</v>
      </c>
    </row>
    <row r="373" spans="1:12" x14ac:dyDescent="0.25">
      <c r="A373" s="28" t="s">
        <v>46</v>
      </c>
      <c r="B373" s="1" t="s">
        <v>43</v>
      </c>
      <c r="C373" s="6">
        <v>57</v>
      </c>
      <c r="D373" s="33">
        <v>81</v>
      </c>
      <c r="E373" s="34">
        <v>81</v>
      </c>
      <c r="F373" s="62" t="s">
        <v>168</v>
      </c>
      <c r="G373" s="62" t="s">
        <v>168</v>
      </c>
      <c r="H373" s="62" t="s">
        <v>168</v>
      </c>
      <c r="I373" s="62" t="s">
        <v>168</v>
      </c>
      <c r="J373" s="35" t="s">
        <v>168</v>
      </c>
      <c r="K373" s="52" t="s">
        <v>196</v>
      </c>
      <c r="L373" t="s">
        <v>168</v>
      </c>
    </row>
    <row r="374" spans="1:12" x14ac:dyDescent="0.25">
      <c r="A374" s="28" t="s">
        <v>46</v>
      </c>
      <c r="B374" s="1" t="s">
        <v>70</v>
      </c>
      <c r="C374" s="6">
        <v>52</v>
      </c>
      <c r="D374" s="33">
        <v>77</v>
      </c>
      <c r="E374" s="34">
        <v>77</v>
      </c>
      <c r="F374" s="62" t="s">
        <v>168</v>
      </c>
      <c r="G374" s="62" t="s">
        <v>168</v>
      </c>
      <c r="H374" s="62" t="s">
        <v>168</v>
      </c>
      <c r="I374" s="62" t="s">
        <v>168</v>
      </c>
      <c r="J374" s="35" t="s">
        <v>168</v>
      </c>
      <c r="K374" s="52" t="s">
        <v>196</v>
      </c>
      <c r="L374" t="s">
        <v>168</v>
      </c>
    </row>
    <row r="375" spans="1:12" x14ac:dyDescent="0.25">
      <c r="A375" s="28" t="s">
        <v>46</v>
      </c>
      <c r="B375" s="1" t="s">
        <v>44</v>
      </c>
      <c r="C375" s="6">
        <v>50</v>
      </c>
      <c r="D375" s="33">
        <v>67</v>
      </c>
      <c r="E375" s="34">
        <v>67</v>
      </c>
      <c r="F375" s="62" t="s">
        <v>168</v>
      </c>
      <c r="G375" s="62" t="s">
        <v>168</v>
      </c>
      <c r="H375" s="62" t="s">
        <v>168</v>
      </c>
      <c r="I375" s="62" t="s">
        <v>168</v>
      </c>
      <c r="J375" s="35" t="s">
        <v>168</v>
      </c>
      <c r="K375" s="52" t="s">
        <v>196</v>
      </c>
      <c r="L375" t="s">
        <v>168</v>
      </c>
    </row>
    <row r="376" spans="1:12" x14ac:dyDescent="0.25">
      <c r="A376" s="28" t="s">
        <v>46</v>
      </c>
      <c r="B376" s="1" t="s">
        <v>80</v>
      </c>
      <c r="C376" s="6">
        <v>60</v>
      </c>
      <c r="D376" s="33">
        <v>90</v>
      </c>
      <c r="E376" s="34">
        <v>94</v>
      </c>
      <c r="F376" s="62" t="s">
        <v>168</v>
      </c>
      <c r="G376" s="62" t="s">
        <v>168</v>
      </c>
      <c r="H376" s="62" t="s">
        <v>168</v>
      </c>
      <c r="I376" s="62" t="s">
        <v>168</v>
      </c>
      <c r="J376" s="35">
        <v>4</v>
      </c>
      <c r="K376" s="52" t="s">
        <v>196</v>
      </c>
      <c r="L376" t="s">
        <v>168</v>
      </c>
    </row>
    <row r="377" spans="1:12" x14ac:dyDescent="0.25">
      <c r="A377" s="28" t="s">
        <v>46</v>
      </c>
      <c r="B377" s="1" t="s">
        <v>99</v>
      </c>
      <c r="C377" s="6">
        <v>52</v>
      </c>
      <c r="D377" s="33">
        <v>70</v>
      </c>
      <c r="E377" s="34">
        <v>88</v>
      </c>
      <c r="F377" s="62" t="s">
        <v>188</v>
      </c>
      <c r="G377" s="62" t="s">
        <v>186</v>
      </c>
      <c r="H377" s="62" t="s">
        <v>168</v>
      </c>
      <c r="I377" s="62" t="s">
        <v>168</v>
      </c>
      <c r="J377" s="35">
        <v>6</v>
      </c>
      <c r="K377" s="52" t="s">
        <v>196</v>
      </c>
      <c r="L377" t="s">
        <v>168</v>
      </c>
    </row>
    <row r="378" spans="1:12" x14ac:dyDescent="0.25">
      <c r="A378" s="28" t="s">
        <v>46</v>
      </c>
      <c r="B378" s="1" t="s">
        <v>169</v>
      </c>
      <c r="C378" s="6">
        <v>51</v>
      </c>
      <c r="D378" s="33">
        <v>69</v>
      </c>
      <c r="E378" s="34">
        <v>71</v>
      </c>
      <c r="F378" s="62" t="s">
        <v>168</v>
      </c>
      <c r="G378" s="62" t="s">
        <v>168</v>
      </c>
      <c r="H378" s="62" t="s">
        <v>168</v>
      </c>
      <c r="I378" s="62" t="s">
        <v>168</v>
      </c>
      <c r="J378" s="35">
        <v>4</v>
      </c>
      <c r="K378" s="52" t="s">
        <v>196</v>
      </c>
      <c r="L378" t="s">
        <v>168</v>
      </c>
    </row>
    <row r="379" spans="1:12" x14ac:dyDescent="0.25">
      <c r="A379" s="28" t="s">
        <v>46</v>
      </c>
      <c r="B379" s="1" t="s">
        <v>97</v>
      </c>
      <c r="C379" s="6">
        <v>52</v>
      </c>
      <c r="D379" s="33" t="s">
        <v>168</v>
      </c>
      <c r="E379" s="34" t="s">
        <v>168</v>
      </c>
      <c r="F379" s="62" t="s">
        <v>168</v>
      </c>
      <c r="G379" s="62" t="s">
        <v>168</v>
      </c>
      <c r="H379" s="62" t="s">
        <v>168</v>
      </c>
      <c r="I379" s="62" t="s">
        <v>168</v>
      </c>
      <c r="J379" s="35">
        <v>2</v>
      </c>
      <c r="K379" s="52" t="s">
        <v>196</v>
      </c>
      <c r="L379" t="s">
        <v>168</v>
      </c>
    </row>
    <row r="380" spans="1:12" x14ac:dyDescent="0.25">
      <c r="A380" s="28" t="s">
        <v>46</v>
      </c>
      <c r="B380" s="1" t="s">
        <v>71</v>
      </c>
      <c r="C380" s="6">
        <v>55</v>
      </c>
      <c r="D380" s="33">
        <v>72</v>
      </c>
      <c r="E380" s="34">
        <v>73</v>
      </c>
      <c r="F380" s="62" t="s">
        <v>168</v>
      </c>
      <c r="G380" s="62" t="s">
        <v>168</v>
      </c>
      <c r="H380" s="62" t="s">
        <v>168</v>
      </c>
      <c r="I380" s="62" t="s">
        <v>168</v>
      </c>
      <c r="J380" s="35">
        <v>4</v>
      </c>
      <c r="K380" s="52" t="s">
        <v>196</v>
      </c>
      <c r="L380" t="s">
        <v>168</v>
      </c>
    </row>
    <row r="381" spans="1:12" x14ac:dyDescent="0.25">
      <c r="A381" s="28" t="s">
        <v>46</v>
      </c>
      <c r="B381" s="1" t="s">
        <v>45</v>
      </c>
      <c r="C381" s="6">
        <v>56</v>
      </c>
      <c r="D381" s="33">
        <v>78</v>
      </c>
      <c r="E381" s="34">
        <v>80</v>
      </c>
      <c r="F381" s="62" t="s">
        <v>168</v>
      </c>
      <c r="G381" s="62" t="s">
        <v>168</v>
      </c>
      <c r="H381" s="62" t="s">
        <v>168</v>
      </c>
      <c r="I381" s="62" t="s">
        <v>168</v>
      </c>
      <c r="J381" s="35">
        <v>4</v>
      </c>
      <c r="K381" s="52" t="s">
        <v>196</v>
      </c>
      <c r="L381" t="s">
        <v>168</v>
      </c>
    </row>
    <row r="382" spans="1:12" x14ac:dyDescent="0.25">
      <c r="A382" s="28" t="s">
        <v>46</v>
      </c>
      <c r="B382" s="1" t="s">
        <v>93</v>
      </c>
      <c r="C382" s="6">
        <v>53</v>
      </c>
      <c r="D382" s="33">
        <v>69</v>
      </c>
      <c r="E382" s="34">
        <v>70</v>
      </c>
      <c r="F382" s="36">
        <v>92</v>
      </c>
      <c r="G382" s="36">
        <v>93</v>
      </c>
      <c r="H382" s="62" t="s">
        <v>168</v>
      </c>
      <c r="I382" s="62" t="s">
        <v>168</v>
      </c>
      <c r="J382" s="35">
        <v>6</v>
      </c>
      <c r="K382" s="52" t="s">
        <v>196</v>
      </c>
      <c r="L382" t="s">
        <v>168</v>
      </c>
    </row>
    <row r="383" spans="1:12" x14ac:dyDescent="0.25">
      <c r="A383" s="28" t="s">
        <v>46</v>
      </c>
      <c r="B383" s="1" t="s">
        <v>94</v>
      </c>
      <c r="C383" s="6">
        <v>47</v>
      </c>
      <c r="D383" s="33">
        <v>65</v>
      </c>
      <c r="E383" s="34">
        <v>66</v>
      </c>
      <c r="F383" s="36">
        <v>82</v>
      </c>
      <c r="G383" s="36">
        <v>83</v>
      </c>
      <c r="H383" s="36">
        <v>85</v>
      </c>
      <c r="I383" s="36">
        <v>92</v>
      </c>
      <c r="J383" s="35">
        <v>8</v>
      </c>
      <c r="K383" s="52" t="s">
        <v>196</v>
      </c>
      <c r="L383" t="s">
        <v>168</v>
      </c>
    </row>
    <row r="384" spans="1:12" x14ac:dyDescent="0.25">
      <c r="A384" s="1"/>
      <c r="B384" s="1"/>
      <c r="C384" s="6"/>
      <c r="D384" s="33"/>
      <c r="E384" s="34"/>
      <c r="F384" s="32"/>
      <c r="G384" s="32"/>
      <c r="H384" s="32"/>
      <c r="I384" s="32"/>
      <c r="J384" s="35"/>
      <c r="K384" s="53"/>
    </row>
    <row r="385" spans="1:11" x14ac:dyDescent="0.25">
      <c r="A385" s="1"/>
      <c r="B385" s="1"/>
      <c r="C385" s="6"/>
      <c r="D385" s="33"/>
      <c r="E385" s="34"/>
      <c r="F385" s="32"/>
      <c r="G385" s="32"/>
      <c r="H385" s="32"/>
      <c r="I385" s="32"/>
      <c r="J385" s="35"/>
      <c r="K385" s="53"/>
    </row>
    <row r="386" spans="1:11" x14ac:dyDescent="0.25">
      <c r="A386" s="1"/>
      <c r="B386" s="1"/>
      <c r="C386" s="6"/>
      <c r="D386" s="33"/>
      <c r="E386" s="34"/>
      <c r="F386" s="36"/>
      <c r="G386" s="36"/>
      <c r="H386" s="36"/>
      <c r="I386" s="36"/>
      <c r="J386" s="35"/>
      <c r="K386" s="53"/>
    </row>
    <row r="387" spans="1:11" x14ac:dyDescent="0.25">
      <c r="A387" s="1"/>
      <c r="B387" s="1"/>
      <c r="C387" s="6"/>
      <c r="D387" s="33"/>
      <c r="E387" s="34"/>
      <c r="F387" s="36"/>
      <c r="G387" s="36"/>
      <c r="H387" s="36"/>
      <c r="I387" s="36"/>
      <c r="J387" s="35"/>
      <c r="K387" s="53"/>
    </row>
    <row r="388" spans="1:11" x14ac:dyDescent="0.25">
      <c r="A388" s="1"/>
      <c r="B388" s="1"/>
      <c r="C388" s="6"/>
      <c r="D388" s="33"/>
      <c r="E388" s="34"/>
      <c r="F388" s="36"/>
      <c r="G388" s="36"/>
      <c r="H388" s="36"/>
      <c r="I388" s="36"/>
      <c r="J388" s="35"/>
      <c r="K388" s="53"/>
    </row>
    <row r="389" spans="1:11" x14ac:dyDescent="0.25">
      <c r="A389" s="1"/>
      <c r="B389" s="1"/>
      <c r="C389" s="6"/>
      <c r="D389" s="33"/>
      <c r="E389" s="34"/>
      <c r="F389" s="36"/>
      <c r="G389" s="36"/>
      <c r="H389" s="36"/>
      <c r="I389" s="36"/>
      <c r="J389" s="35"/>
      <c r="K389" s="53"/>
    </row>
    <row r="390" spans="1:11" x14ac:dyDescent="0.25">
      <c r="A390" s="1"/>
      <c r="B390" s="1"/>
      <c r="C390" s="6"/>
      <c r="D390" s="33"/>
      <c r="E390" s="34"/>
      <c r="F390" s="36"/>
      <c r="G390" s="36"/>
      <c r="H390" s="36"/>
      <c r="I390" s="36"/>
      <c r="J390" s="35"/>
      <c r="K390" s="53"/>
    </row>
    <row r="391" spans="1:11" x14ac:dyDescent="0.25">
      <c r="A391" s="1"/>
      <c r="B391" s="1"/>
      <c r="C391" s="6"/>
      <c r="D391" s="33"/>
      <c r="E391" s="34"/>
      <c r="F391" s="32"/>
      <c r="G391" s="32"/>
      <c r="H391" s="32"/>
      <c r="I391" s="32"/>
      <c r="J391" s="35"/>
      <c r="K391" s="53"/>
    </row>
    <row r="392" spans="1:11" x14ac:dyDescent="0.25">
      <c r="A392" s="1"/>
      <c r="B392" s="1"/>
      <c r="C392" s="6"/>
      <c r="D392" s="33"/>
      <c r="E392" s="34"/>
      <c r="F392" s="32"/>
      <c r="G392" s="32"/>
      <c r="H392" s="32"/>
      <c r="I392" s="32"/>
      <c r="J392" s="35"/>
      <c r="K392" s="53"/>
    </row>
    <row r="393" spans="1:11" x14ac:dyDescent="0.25">
      <c r="A393" s="1"/>
      <c r="B393" s="1"/>
      <c r="C393" s="6"/>
      <c r="D393" s="33"/>
      <c r="E393" s="34"/>
      <c r="F393" s="32"/>
      <c r="G393" s="32"/>
      <c r="H393" s="32"/>
      <c r="I393" s="32"/>
      <c r="J393" s="35"/>
      <c r="K393" s="53"/>
    </row>
    <row r="394" spans="1:11" x14ac:dyDescent="0.25">
      <c r="A394" s="1"/>
      <c r="B394" s="1"/>
      <c r="C394" s="6"/>
      <c r="D394" s="33"/>
      <c r="E394" s="34"/>
      <c r="F394" s="32"/>
      <c r="G394" s="32"/>
      <c r="H394" s="32"/>
      <c r="I394" s="32"/>
      <c r="J394" s="35"/>
      <c r="K394" s="53"/>
    </row>
    <row r="395" spans="1:11" x14ac:dyDescent="0.25">
      <c r="A395" s="1"/>
      <c r="B395" s="1"/>
      <c r="C395" s="6"/>
      <c r="D395" s="33"/>
      <c r="E395" s="34"/>
      <c r="F395" s="32"/>
      <c r="G395" s="32"/>
      <c r="H395" s="32"/>
      <c r="I395" s="32"/>
      <c r="J395" s="35"/>
      <c r="K395" s="53"/>
    </row>
    <row r="396" spans="1:11" x14ac:dyDescent="0.25">
      <c r="A396" s="1"/>
      <c r="B396" s="1"/>
      <c r="C396" s="6"/>
      <c r="D396" s="33"/>
      <c r="E396" s="34"/>
      <c r="F396" s="36"/>
      <c r="G396" s="32"/>
      <c r="H396" s="32"/>
      <c r="I396" s="32"/>
      <c r="J396" s="35"/>
      <c r="K396" s="53"/>
    </row>
    <row r="397" spans="1:11" x14ac:dyDescent="0.25">
      <c r="A397" s="1"/>
      <c r="B397" s="1"/>
      <c r="C397" s="6"/>
      <c r="D397" s="33"/>
      <c r="E397" s="34"/>
      <c r="F397" s="36"/>
      <c r="G397" s="36"/>
      <c r="H397" s="36"/>
      <c r="I397" s="36"/>
      <c r="J397" s="35"/>
      <c r="K397" s="53"/>
    </row>
    <row r="398" spans="1:11" x14ac:dyDescent="0.25">
      <c r="A398" s="1"/>
      <c r="B398" s="1"/>
      <c r="C398" s="6"/>
      <c r="D398" s="33"/>
      <c r="E398" s="34"/>
      <c r="F398" s="36"/>
      <c r="G398" s="36"/>
      <c r="H398" s="36"/>
      <c r="I398" s="36"/>
      <c r="J398" s="35"/>
      <c r="K398" s="53"/>
    </row>
    <row r="399" spans="1:11" x14ac:dyDescent="0.25">
      <c r="A399" s="1"/>
      <c r="B399" s="1"/>
      <c r="C399" s="6"/>
      <c r="D399" s="33"/>
      <c r="E399" s="34"/>
      <c r="F399" s="36"/>
      <c r="G399" s="36"/>
      <c r="H399" s="36"/>
      <c r="I399" s="36"/>
      <c r="J399" s="35"/>
      <c r="K399" s="53"/>
    </row>
    <row r="400" spans="1:11" x14ac:dyDescent="0.25">
      <c r="A400" s="1"/>
      <c r="B400" s="1"/>
      <c r="C400" s="6"/>
      <c r="D400" s="33"/>
      <c r="E400" s="34"/>
      <c r="F400" s="36"/>
      <c r="G400" s="36"/>
      <c r="H400" s="36"/>
      <c r="I400" s="36"/>
      <c r="J400" s="35"/>
      <c r="K400" s="53"/>
    </row>
    <row r="401" spans="1:11" x14ac:dyDescent="0.25">
      <c r="A401" s="1"/>
      <c r="B401" s="1"/>
      <c r="C401" s="6"/>
      <c r="D401" s="33"/>
      <c r="E401" s="34"/>
      <c r="F401" s="32"/>
      <c r="G401" s="32"/>
      <c r="H401" s="32"/>
      <c r="I401" s="32"/>
      <c r="J401" s="35"/>
      <c r="K401" s="53"/>
    </row>
    <row r="402" spans="1:11" x14ac:dyDescent="0.25">
      <c r="A402" s="1"/>
      <c r="B402" s="1"/>
      <c r="C402" s="6"/>
      <c r="D402" s="33"/>
      <c r="E402" s="34"/>
      <c r="F402" s="36"/>
      <c r="G402" s="36"/>
      <c r="H402" s="36"/>
      <c r="I402" s="36"/>
      <c r="J402" s="35"/>
      <c r="K402" s="53"/>
    </row>
    <row r="403" spans="1:11" x14ac:dyDescent="0.25">
      <c r="A403" s="1"/>
      <c r="B403" s="1"/>
      <c r="C403" s="6"/>
      <c r="D403" s="33"/>
      <c r="E403" s="34"/>
      <c r="F403" s="36"/>
      <c r="G403" s="36"/>
      <c r="H403" s="36"/>
      <c r="I403" s="36"/>
      <c r="J403" s="35"/>
      <c r="K403" s="53"/>
    </row>
    <row r="404" spans="1:11" x14ac:dyDescent="0.25">
      <c r="A404" s="1"/>
      <c r="B404" s="1"/>
      <c r="C404" s="6"/>
      <c r="D404" s="33"/>
      <c r="E404" s="34"/>
      <c r="F404" s="32"/>
      <c r="G404" s="32"/>
      <c r="H404" s="32"/>
      <c r="I404" s="32"/>
      <c r="J404" s="35"/>
      <c r="K404" s="53"/>
    </row>
    <row r="405" spans="1:11" x14ac:dyDescent="0.25">
      <c r="A405" s="1"/>
      <c r="B405" s="1"/>
      <c r="C405" s="6"/>
      <c r="D405" s="33"/>
      <c r="E405" s="34"/>
      <c r="F405" s="32"/>
      <c r="G405" s="32"/>
      <c r="H405" s="32"/>
      <c r="I405" s="32"/>
      <c r="J405" s="35"/>
      <c r="K405" s="53"/>
    </row>
    <row r="406" spans="1:11" x14ac:dyDescent="0.25">
      <c r="A406" s="1"/>
      <c r="B406" s="1"/>
      <c r="C406" s="6"/>
      <c r="D406" s="33"/>
      <c r="E406" s="34"/>
      <c r="F406" s="36"/>
      <c r="G406" s="36"/>
      <c r="H406" s="36"/>
      <c r="I406" s="36"/>
      <c r="J406" s="35"/>
      <c r="K406" s="53"/>
    </row>
    <row r="407" spans="1:11" x14ac:dyDescent="0.25">
      <c r="A407" s="1"/>
      <c r="B407" s="1"/>
      <c r="C407" s="6"/>
      <c r="D407" s="33"/>
      <c r="E407" s="34"/>
      <c r="F407" s="36"/>
      <c r="G407" s="36"/>
      <c r="H407" s="36"/>
      <c r="I407" s="36"/>
      <c r="J407" s="35"/>
      <c r="K407" s="53"/>
    </row>
    <row r="408" spans="1:11" x14ac:dyDescent="0.25">
      <c r="A408" s="1"/>
      <c r="B408" s="1"/>
      <c r="C408" s="6"/>
      <c r="D408" s="33"/>
      <c r="E408" s="34"/>
      <c r="F408" s="32"/>
      <c r="G408" s="32"/>
      <c r="H408" s="32"/>
      <c r="I408" s="32"/>
      <c r="J408" s="35"/>
      <c r="K408" s="53"/>
    </row>
    <row r="409" spans="1:11" x14ac:dyDescent="0.25">
      <c r="A409" s="1"/>
      <c r="B409" s="1"/>
      <c r="C409" s="6"/>
      <c r="D409" s="33"/>
      <c r="E409" s="34"/>
      <c r="F409" s="36"/>
      <c r="G409" s="36"/>
      <c r="H409" s="36"/>
      <c r="I409" s="36"/>
      <c r="J409" s="35"/>
      <c r="K409" s="53"/>
    </row>
    <row r="410" spans="1:11" x14ac:dyDescent="0.25">
      <c r="A410" s="1"/>
      <c r="B410" s="1"/>
      <c r="C410" s="6"/>
      <c r="D410" s="33"/>
      <c r="E410" s="34"/>
      <c r="F410" s="36"/>
      <c r="G410" s="36"/>
      <c r="H410" s="36"/>
      <c r="I410" s="36"/>
      <c r="J410" s="35"/>
      <c r="K410" s="53"/>
    </row>
    <row r="411" spans="1:11" x14ac:dyDescent="0.25">
      <c r="A411" s="2"/>
      <c r="B411" s="28"/>
      <c r="C411" s="6"/>
      <c r="D411" s="33"/>
      <c r="E411" s="34"/>
      <c r="F411" s="37"/>
      <c r="G411" s="37"/>
      <c r="H411" s="37"/>
      <c r="I411" s="37"/>
      <c r="J411" s="38"/>
      <c r="K411" s="53"/>
    </row>
    <row r="412" spans="1:11" x14ac:dyDescent="0.25">
      <c r="A412" s="2"/>
      <c r="B412" s="28"/>
      <c r="C412" s="6"/>
      <c r="D412" s="33"/>
      <c r="E412" s="34"/>
      <c r="F412" s="32"/>
      <c r="G412" s="32"/>
      <c r="H412" s="32"/>
      <c r="I412" s="32"/>
      <c r="J412" s="38"/>
      <c r="K412" s="53"/>
    </row>
    <row r="413" spans="1:11" x14ac:dyDescent="0.25">
      <c r="A413" s="2"/>
      <c r="B413" s="28"/>
      <c r="C413" s="6"/>
      <c r="D413" s="33"/>
      <c r="E413" s="34"/>
      <c r="F413" s="32"/>
      <c r="G413" s="32"/>
      <c r="H413" s="32"/>
      <c r="I413" s="32"/>
      <c r="J413" s="38"/>
      <c r="K413" s="53"/>
    </row>
    <row r="414" spans="1:11" x14ac:dyDescent="0.25">
      <c r="A414" s="2"/>
      <c r="B414" s="28"/>
      <c r="C414" s="29"/>
      <c r="D414" s="30"/>
      <c r="E414" s="31"/>
      <c r="F414" s="32"/>
      <c r="G414" s="32"/>
      <c r="H414" s="32"/>
      <c r="I414" s="32"/>
      <c r="J414" s="38"/>
      <c r="K414" s="53"/>
    </row>
    <row r="415" spans="1:11" x14ac:dyDescent="0.25">
      <c r="A415" s="2"/>
      <c r="B415" s="28"/>
      <c r="C415" s="6"/>
      <c r="D415" s="33"/>
      <c r="E415" s="34"/>
      <c r="F415" s="37"/>
      <c r="G415" s="37"/>
      <c r="H415" s="37"/>
      <c r="I415" s="37"/>
      <c r="J415" s="38"/>
      <c r="K415" s="53"/>
    </row>
    <row r="416" spans="1:11" x14ac:dyDescent="0.25">
      <c r="A416" s="2"/>
      <c r="B416" s="28"/>
      <c r="C416" s="6"/>
      <c r="D416" s="33"/>
      <c r="E416" s="34"/>
      <c r="F416" s="32"/>
      <c r="G416" s="32"/>
      <c r="H416" s="32"/>
      <c r="I416" s="32"/>
      <c r="J416" s="38"/>
      <c r="K416" s="53"/>
    </row>
    <row r="417" spans="1:11" x14ac:dyDescent="0.25">
      <c r="A417" s="2"/>
      <c r="B417" s="28"/>
      <c r="C417" s="29"/>
      <c r="D417" s="30"/>
      <c r="E417" s="31"/>
      <c r="F417" s="32"/>
      <c r="G417" s="32"/>
      <c r="H417" s="32"/>
      <c r="I417" s="32"/>
      <c r="J417" s="38"/>
      <c r="K417" s="53"/>
    </row>
    <row r="418" spans="1:11" x14ac:dyDescent="0.25">
      <c r="A418" s="2"/>
      <c r="B418" s="28"/>
      <c r="C418" s="29"/>
      <c r="D418" s="30"/>
      <c r="E418" s="31"/>
      <c r="F418" s="32"/>
      <c r="G418" s="32"/>
      <c r="H418" s="32"/>
      <c r="I418" s="32"/>
      <c r="J418" s="38"/>
      <c r="K418" s="53"/>
    </row>
    <row r="419" spans="1:11" x14ac:dyDescent="0.25">
      <c r="A419" s="2"/>
      <c r="B419" s="28"/>
      <c r="C419" s="6"/>
      <c r="D419" s="33"/>
      <c r="E419" s="34"/>
      <c r="F419" s="37"/>
      <c r="G419" s="37"/>
      <c r="H419" s="37"/>
      <c r="I419" s="37"/>
      <c r="J419" s="38"/>
      <c r="K419" s="53"/>
    </row>
    <row r="420" spans="1:11" x14ac:dyDescent="0.25">
      <c r="A420" s="2"/>
      <c r="B420" s="28"/>
      <c r="C420" s="6"/>
      <c r="D420" s="30"/>
      <c r="E420" s="31"/>
      <c r="F420" s="32"/>
      <c r="G420" s="32"/>
      <c r="H420" s="32"/>
      <c r="I420" s="32"/>
      <c r="J420" s="38"/>
      <c r="K420" s="53"/>
    </row>
    <row r="421" spans="1:11" x14ac:dyDescent="0.25">
      <c r="A421" s="2"/>
      <c r="B421" s="28"/>
      <c r="C421" s="6"/>
      <c r="D421" s="33"/>
      <c r="E421" s="34"/>
      <c r="F421" s="32"/>
      <c r="G421" s="32"/>
      <c r="H421" s="32"/>
      <c r="I421" s="32"/>
      <c r="J421" s="38"/>
      <c r="K421" s="53"/>
    </row>
    <row r="422" spans="1:11" x14ac:dyDescent="0.25">
      <c r="A422" s="2"/>
      <c r="B422" s="28"/>
      <c r="C422" s="6"/>
      <c r="D422" s="33"/>
      <c r="E422" s="34"/>
      <c r="F422" s="37"/>
      <c r="G422" s="37"/>
      <c r="H422" s="37"/>
      <c r="I422" s="37"/>
      <c r="J422" s="38"/>
      <c r="K422" s="53"/>
    </row>
    <row r="423" spans="1:11" x14ac:dyDescent="0.25">
      <c r="A423" s="2"/>
      <c r="B423" s="28"/>
      <c r="C423" s="6"/>
      <c r="D423" s="33"/>
      <c r="E423" s="31"/>
      <c r="F423" s="32"/>
      <c r="G423" s="32"/>
      <c r="H423" s="32"/>
      <c r="I423" s="32"/>
      <c r="J423" s="38"/>
      <c r="K423" s="53"/>
    </row>
    <row r="424" spans="1:11" x14ac:dyDescent="0.25">
      <c r="A424" s="2"/>
      <c r="B424" s="28"/>
      <c r="C424" s="6"/>
      <c r="D424" s="33"/>
      <c r="E424" s="34"/>
      <c r="F424" s="32"/>
      <c r="G424" s="32"/>
      <c r="H424" s="32"/>
      <c r="I424" s="32"/>
      <c r="J424" s="38"/>
      <c r="K424" s="53"/>
    </row>
    <row r="425" spans="1:11" x14ac:dyDescent="0.25">
      <c r="A425" s="2"/>
      <c r="B425" s="28"/>
      <c r="C425" s="6"/>
      <c r="D425" s="33"/>
      <c r="E425" s="34"/>
      <c r="F425" s="32"/>
      <c r="G425" s="32"/>
      <c r="H425" s="32"/>
      <c r="I425" s="32"/>
      <c r="J425" s="38"/>
      <c r="K425" s="53"/>
    </row>
    <row r="426" spans="1:11" x14ac:dyDescent="0.25">
      <c r="A426" s="2"/>
      <c r="B426" s="28"/>
      <c r="C426" s="6"/>
      <c r="D426" s="33"/>
      <c r="E426" s="34"/>
      <c r="F426" s="32"/>
      <c r="G426" s="32"/>
      <c r="H426" s="32"/>
      <c r="I426" s="32"/>
      <c r="J426" s="38"/>
      <c r="K426" s="53"/>
    </row>
    <row r="427" spans="1:11" x14ac:dyDescent="0.25">
      <c r="A427" s="2"/>
      <c r="B427" s="28"/>
      <c r="C427" s="29"/>
      <c r="D427" s="30"/>
      <c r="E427" s="31"/>
      <c r="F427" s="32"/>
      <c r="G427" s="32"/>
      <c r="H427" s="32"/>
      <c r="I427" s="32"/>
      <c r="J427" s="38"/>
      <c r="K427" s="53"/>
    </row>
    <row r="428" spans="1:11" x14ac:dyDescent="0.25">
      <c r="A428" s="2"/>
      <c r="B428" s="28"/>
      <c r="C428" s="6"/>
      <c r="D428" s="33"/>
      <c r="E428" s="34"/>
      <c r="F428" s="37"/>
      <c r="G428" s="37"/>
      <c r="H428" s="37"/>
      <c r="I428" s="37"/>
      <c r="J428" s="38"/>
      <c r="K428" s="53"/>
    </row>
    <row r="429" spans="1:11" x14ac:dyDescent="0.25">
      <c r="A429" s="2"/>
      <c r="B429" s="28"/>
      <c r="C429" s="6"/>
      <c r="D429" s="33"/>
      <c r="E429" s="34"/>
      <c r="F429" s="37"/>
      <c r="G429" s="37"/>
      <c r="H429" s="32"/>
      <c r="I429" s="32"/>
      <c r="J429" s="38"/>
      <c r="K429" s="53"/>
    </row>
    <row r="430" spans="1:11" x14ac:dyDescent="0.25">
      <c r="A430" s="2"/>
      <c r="B430" s="28"/>
      <c r="C430" s="6"/>
      <c r="D430" s="30"/>
      <c r="E430" s="31"/>
      <c r="F430" s="32"/>
      <c r="G430" s="32"/>
      <c r="H430" s="32"/>
      <c r="I430" s="32"/>
      <c r="J430" s="38"/>
      <c r="K430" s="53"/>
    </row>
    <row r="431" spans="1:11" x14ac:dyDescent="0.25">
      <c r="A431" s="2"/>
      <c r="B431" s="28"/>
      <c r="C431" s="6"/>
      <c r="D431" s="30"/>
      <c r="E431" s="31"/>
      <c r="F431" s="32"/>
      <c r="G431" s="32"/>
      <c r="H431" s="32"/>
      <c r="I431" s="32"/>
      <c r="J431" s="38"/>
      <c r="K431" s="53"/>
    </row>
    <row r="432" spans="1:11" x14ac:dyDescent="0.25">
      <c r="A432" s="2"/>
      <c r="B432" s="28"/>
      <c r="C432" s="6"/>
      <c r="D432" s="33"/>
      <c r="E432" s="34"/>
      <c r="F432" s="37"/>
      <c r="G432" s="37"/>
      <c r="H432" s="37"/>
      <c r="I432" s="37"/>
      <c r="J432" s="38"/>
      <c r="K432" s="53"/>
    </row>
    <row r="433" spans="1:11" x14ac:dyDescent="0.25">
      <c r="A433" s="2"/>
      <c r="B433" s="28"/>
      <c r="C433" s="29"/>
      <c r="D433" s="30"/>
      <c r="E433" s="31"/>
      <c r="F433" s="32"/>
      <c r="G433" s="32"/>
      <c r="H433" s="32"/>
      <c r="I433" s="32"/>
      <c r="J433" s="38"/>
      <c r="K433" s="53"/>
    </row>
    <row r="434" spans="1:11" x14ac:dyDescent="0.25">
      <c r="A434" s="2"/>
      <c r="B434" s="28"/>
      <c r="C434" s="6"/>
      <c r="D434" s="30"/>
      <c r="E434" s="31"/>
      <c r="F434" s="32"/>
      <c r="G434" s="32"/>
      <c r="H434" s="32"/>
      <c r="I434" s="32"/>
      <c r="J434" s="38"/>
      <c r="K434" s="53"/>
    </row>
    <row r="435" spans="1:11" x14ac:dyDescent="0.25">
      <c r="A435" s="2"/>
      <c r="B435" s="28"/>
      <c r="C435" s="29"/>
      <c r="D435" s="30"/>
      <c r="E435" s="31"/>
      <c r="F435" s="32"/>
      <c r="G435" s="32"/>
      <c r="H435" s="32"/>
      <c r="I435" s="32"/>
      <c r="J435" s="38"/>
      <c r="K435" s="53"/>
    </row>
    <row r="436" spans="1:11" x14ac:dyDescent="0.25">
      <c r="A436" s="2"/>
      <c r="B436" s="28"/>
      <c r="C436" s="6"/>
      <c r="D436" s="30"/>
      <c r="E436" s="31"/>
      <c r="F436" s="32"/>
      <c r="G436" s="32"/>
      <c r="H436" s="32"/>
      <c r="I436" s="32"/>
      <c r="J436" s="38"/>
      <c r="K436" s="53"/>
    </row>
    <row r="437" spans="1:11" x14ac:dyDescent="0.25">
      <c r="A437" s="2"/>
      <c r="B437" s="28"/>
      <c r="C437" s="29"/>
      <c r="D437" s="30"/>
      <c r="E437" s="31"/>
      <c r="F437" s="32"/>
      <c r="G437" s="32"/>
      <c r="H437" s="32"/>
      <c r="I437" s="32"/>
      <c r="J437" s="38"/>
      <c r="K437" s="53"/>
    </row>
    <row r="438" spans="1:11" x14ac:dyDescent="0.25">
      <c r="A438" s="2"/>
      <c r="B438" s="28"/>
      <c r="C438" s="6"/>
      <c r="D438" s="30"/>
      <c r="E438" s="31"/>
      <c r="F438" s="32"/>
      <c r="G438" s="32"/>
      <c r="H438" s="32"/>
      <c r="I438" s="32"/>
      <c r="J438" s="38"/>
      <c r="K438" s="53"/>
    </row>
    <row r="439" spans="1:11" x14ac:dyDescent="0.25">
      <c r="A439" s="2"/>
      <c r="B439" s="28"/>
      <c r="C439" s="29"/>
      <c r="D439" s="30"/>
      <c r="E439" s="31"/>
      <c r="F439" s="32"/>
      <c r="G439" s="32"/>
      <c r="H439" s="32"/>
      <c r="I439" s="32"/>
      <c r="J439" s="38"/>
      <c r="K439" s="53"/>
    </row>
    <row r="440" spans="1:11" x14ac:dyDescent="0.25">
      <c r="A440" s="2"/>
      <c r="B440" s="28"/>
      <c r="C440" s="6"/>
      <c r="D440" s="33"/>
      <c r="E440" s="34"/>
      <c r="F440" s="37"/>
      <c r="G440" s="32"/>
      <c r="H440" s="32"/>
      <c r="I440" s="32"/>
      <c r="J440" s="38"/>
      <c r="K440" s="53"/>
    </row>
    <row r="441" spans="1:11" x14ac:dyDescent="0.25">
      <c r="A441" s="2"/>
      <c r="B441" s="28"/>
      <c r="C441" s="6"/>
      <c r="D441" s="33"/>
      <c r="E441" s="34"/>
      <c r="F441" s="37"/>
      <c r="G441" s="37"/>
      <c r="H441" s="37"/>
      <c r="I441" s="37"/>
      <c r="J441" s="38"/>
      <c r="K441" s="53"/>
    </row>
    <row r="442" spans="1:11" x14ac:dyDescent="0.25">
      <c r="A442" s="2"/>
      <c r="B442" s="28"/>
      <c r="C442" s="6"/>
      <c r="D442" s="33"/>
      <c r="E442" s="31"/>
      <c r="F442" s="32"/>
      <c r="G442" s="32"/>
      <c r="H442" s="32"/>
      <c r="I442" s="32"/>
      <c r="J442" s="38"/>
      <c r="K442" s="53"/>
    </row>
    <row r="443" spans="1:11" x14ac:dyDescent="0.25">
      <c r="A443" s="2"/>
      <c r="B443" s="28"/>
      <c r="C443" s="6"/>
      <c r="D443" s="33"/>
      <c r="E443" s="31"/>
      <c r="F443" s="32"/>
      <c r="G443" s="32"/>
      <c r="H443" s="32"/>
      <c r="I443" s="32"/>
      <c r="J443" s="38"/>
      <c r="K443" s="53"/>
    </row>
    <row r="444" spans="1:11" x14ac:dyDescent="0.25">
      <c r="A444" s="2"/>
      <c r="B444" s="28"/>
      <c r="C444" s="6"/>
      <c r="D444" s="33"/>
      <c r="E444" s="34"/>
      <c r="F444" s="32"/>
      <c r="G444" s="32"/>
      <c r="H444" s="32"/>
      <c r="I444" s="32"/>
      <c r="J444" s="38"/>
      <c r="K444" s="53"/>
    </row>
    <row r="445" spans="1:11" x14ac:dyDescent="0.25">
      <c r="A445" s="2"/>
      <c r="B445" s="28"/>
      <c r="C445" s="6"/>
      <c r="D445" s="33"/>
      <c r="E445" s="34"/>
      <c r="F445" s="32"/>
      <c r="G445" s="32"/>
      <c r="H445" s="32"/>
      <c r="I445" s="32"/>
      <c r="J445" s="38"/>
      <c r="K445" s="53"/>
    </row>
    <row r="446" spans="1:11" x14ac:dyDescent="0.25">
      <c r="A446" s="2"/>
      <c r="B446" s="28"/>
      <c r="C446" s="6"/>
      <c r="D446" s="33"/>
      <c r="E446" s="34"/>
      <c r="F446" s="37"/>
      <c r="G446" s="37"/>
      <c r="H446" s="37"/>
      <c r="I446" s="37"/>
      <c r="J446" s="38"/>
      <c r="K446" s="53"/>
    </row>
    <row r="447" spans="1:11" x14ac:dyDescent="0.25">
      <c r="A447" s="2"/>
      <c r="B447" s="28"/>
      <c r="C447" s="6"/>
      <c r="D447" s="33"/>
      <c r="E447" s="34"/>
      <c r="F447" s="37"/>
      <c r="G447" s="37"/>
      <c r="H447" s="37"/>
      <c r="I447" s="37"/>
      <c r="J447" s="38"/>
      <c r="K447" s="53"/>
    </row>
    <row r="448" spans="1:11" x14ac:dyDescent="0.25">
      <c r="A448" s="2"/>
      <c r="B448" s="28"/>
      <c r="C448" s="6"/>
      <c r="D448" s="33"/>
      <c r="E448" s="34"/>
      <c r="F448" s="37"/>
      <c r="G448" s="37"/>
      <c r="H448" s="32"/>
      <c r="I448" s="32"/>
      <c r="J448" s="38"/>
      <c r="K448" s="53"/>
    </row>
    <row r="449" spans="1:11" x14ac:dyDescent="0.25">
      <c r="A449" s="2"/>
      <c r="B449" s="28"/>
      <c r="C449" s="6"/>
      <c r="D449" s="33"/>
      <c r="E449" s="34"/>
      <c r="F449" s="32"/>
      <c r="G449" s="32"/>
      <c r="H449" s="32"/>
      <c r="I449" s="32"/>
      <c r="J449" s="38"/>
      <c r="K449" s="53"/>
    </row>
    <row r="450" spans="1:11" x14ac:dyDescent="0.25">
      <c r="A450" s="2"/>
      <c r="B450" s="28"/>
      <c r="C450" s="29"/>
      <c r="D450" s="30"/>
      <c r="E450" s="31"/>
      <c r="F450" s="32"/>
      <c r="G450" s="32"/>
      <c r="H450" s="32"/>
      <c r="I450" s="32"/>
      <c r="J450" s="38"/>
      <c r="K450" s="53"/>
    </row>
    <row r="451" spans="1:11" x14ac:dyDescent="0.25">
      <c r="A451" s="2"/>
      <c r="B451" s="28"/>
      <c r="C451" s="6"/>
      <c r="D451" s="33"/>
      <c r="E451" s="34"/>
      <c r="F451" s="32"/>
      <c r="G451" s="32"/>
      <c r="H451" s="32"/>
      <c r="I451" s="32"/>
      <c r="J451" s="38"/>
      <c r="K451" s="53"/>
    </row>
    <row r="452" spans="1:11" x14ac:dyDescent="0.25">
      <c r="A452" s="2"/>
      <c r="B452" s="28"/>
      <c r="C452" s="6"/>
      <c r="D452" s="33"/>
      <c r="E452" s="34"/>
      <c r="F452" s="37"/>
      <c r="G452" s="37"/>
      <c r="H452" s="37"/>
      <c r="I452" s="37"/>
      <c r="J452" s="38"/>
      <c r="K452" s="53"/>
    </row>
    <row r="453" spans="1:11" x14ac:dyDescent="0.25">
      <c r="A453" s="2"/>
      <c r="B453" s="28"/>
      <c r="C453" s="29"/>
      <c r="D453" s="30"/>
      <c r="E453" s="31"/>
      <c r="F453" s="32"/>
      <c r="G453" s="32"/>
      <c r="H453" s="32"/>
      <c r="I453" s="32"/>
      <c r="J453" s="38"/>
      <c r="K453" s="53"/>
    </row>
    <row r="454" spans="1:11" x14ac:dyDescent="0.25">
      <c r="A454" s="2"/>
      <c r="B454" s="28"/>
      <c r="C454" s="6"/>
      <c r="D454" s="33"/>
      <c r="E454" s="34"/>
      <c r="F454" s="32"/>
      <c r="G454" s="32"/>
      <c r="H454" s="32"/>
      <c r="I454" s="32"/>
      <c r="J454" s="38"/>
      <c r="K454" s="53"/>
    </row>
    <row r="455" spans="1:11" x14ac:dyDescent="0.25">
      <c r="A455" s="2"/>
      <c r="B455" s="28"/>
      <c r="C455" s="6"/>
      <c r="D455" s="33"/>
      <c r="E455" s="34"/>
      <c r="F455" s="37"/>
      <c r="G455" s="37"/>
      <c r="H455" s="37"/>
      <c r="I455" s="37"/>
      <c r="J455" s="38"/>
      <c r="K455" s="53"/>
    </row>
    <row r="456" spans="1:11" x14ac:dyDescent="0.25">
      <c r="A456" s="2"/>
      <c r="B456" s="28"/>
      <c r="C456" s="6"/>
      <c r="D456" s="33"/>
      <c r="E456" s="34"/>
      <c r="F456" s="32"/>
      <c r="G456" s="32"/>
      <c r="H456" s="32"/>
      <c r="I456" s="32"/>
      <c r="J456" s="38"/>
      <c r="K456" s="53"/>
    </row>
    <row r="457" spans="1:11" x14ac:dyDescent="0.25">
      <c r="A457" s="2"/>
      <c r="B457" s="28"/>
      <c r="C457" s="29"/>
      <c r="D457" s="30"/>
      <c r="E457" s="31"/>
      <c r="F457" s="32"/>
      <c r="G457" s="32"/>
      <c r="H457" s="32"/>
      <c r="I457" s="32"/>
      <c r="J457" s="38"/>
      <c r="K457" s="53"/>
    </row>
    <row r="458" spans="1:11" x14ac:dyDescent="0.25">
      <c r="A458" s="2"/>
      <c r="B458" s="28"/>
      <c r="C458" s="6"/>
      <c r="D458" s="33"/>
      <c r="E458" s="34"/>
      <c r="F458" s="37"/>
      <c r="G458" s="37"/>
      <c r="H458" s="37"/>
      <c r="I458" s="37"/>
      <c r="J458" s="38"/>
      <c r="K458" s="53"/>
    </row>
    <row r="459" spans="1:11" x14ac:dyDescent="0.25">
      <c r="A459" s="2"/>
      <c r="B459" s="28"/>
      <c r="C459" s="29"/>
      <c r="D459" s="30"/>
      <c r="E459" s="31"/>
      <c r="F459" s="32"/>
      <c r="G459" s="32"/>
      <c r="H459" s="32"/>
      <c r="I459" s="32"/>
      <c r="J459" s="38"/>
      <c r="K459" s="53"/>
    </row>
    <row r="460" spans="1:11" x14ac:dyDescent="0.25">
      <c r="A460" s="2"/>
      <c r="B460" s="28"/>
      <c r="C460" s="6"/>
      <c r="D460" s="33"/>
      <c r="E460" s="34"/>
      <c r="F460" s="37"/>
      <c r="G460" s="37"/>
      <c r="H460" s="37"/>
      <c r="I460" s="37"/>
      <c r="J460" s="38"/>
      <c r="K460" s="53"/>
    </row>
    <row r="461" spans="1:11" x14ac:dyDescent="0.25">
      <c r="A461" s="2"/>
      <c r="B461" s="28"/>
      <c r="C461" s="6"/>
      <c r="D461" s="33"/>
      <c r="E461" s="34"/>
      <c r="F461" s="37"/>
      <c r="G461" s="37"/>
      <c r="H461" s="32"/>
      <c r="I461" s="32"/>
      <c r="J461" s="38"/>
      <c r="K461" s="53"/>
    </row>
    <row r="462" spans="1:11" x14ac:dyDescent="0.25">
      <c r="A462" s="2"/>
      <c r="B462" s="28"/>
      <c r="C462" s="6"/>
      <c r="D462" s="33"/>
      <c r="E462" s="34"/>
      <c r="F462" s="32"/>
      <c r="G462" s="32"/>
      <c r="H462" s="32"/>
      <c r="I462" s="32"/>
      <c r="J462" s="38"/>
      <c r="K462" s="53"/>
    </row>
    <row r="463" spans="1:11" x14ac:dyDescent="0.25">
      <c r="A463" s="2"/>
      <c r="B463" s="28"/>
      <c r="C463" s="6"/>
      <c r="D463" s="33"/>
      <c r="E463" s="34"/>
      <c r="F463" s="32"/>
      <c r="G463" s="32"/>
      <c r="H463" s="32"/>
      <c r="I463" s="32"/>
      <c r="J463" s="38"/>
      <c r="K463" s="53"/>
    </row>
    <row r="464" spans="1:11" x14ac:dyDescent="0.25">
      <c r="A464" s="2"/>
      <c r="B464" s="28"/>
      <c r="C464" s="6"/>
      <c r="D464" s="33"/>
      <c r="E464" s="34"/>
      <c r="F464" s="32"/>
      <c r="G464" s="32"/>
      <c r="H464" s="32"/>
      <c r="I464" s="32"/>
      <c r="J464" s="38"/>
      <c r="K464" s="53"/>
    </row>
    <row r="465" spans="1:11" x14ac:dyDescent="0.25">
      <c r="A465" s="2"/>
      <c r="B465" s="28"/>
      <c r="C465" s="6"/>
      <c r="D465" s="33"/>
      <c r="E465" s="34"/>
      <c r="F465" s="32"/>
      <c r="G465" s="32"/>
      <c r="H465" s="32"/>
      <c r="I465" s="32"/>
      <c r="J465" s="38"/>
      <c r="K465" s="53"/>
    </row>
    <row r="466" spans="1:11" x14ac:dyDescent="0.25">
      <c r="A466" s="2"/>
      <c r="B466" s="28"/>
      <c r="C466" s="29"/>
      <c r="D466" s="30"/>
      <c r="E466" s="31"/>
      <c r="F466" s="32"/>
      <c r="G466" s="32"/>
      <c r="H466" s="32"/>
      <c r="I466" s="32"/>
      <c r="J466" s="38"/>
      <c r="K466" s="53"/>
    </row>
    <row r="467" spans="1:11" x14ac:dyDescent="0.25">
      <c r="A467" s="2"/>
      <c r="B467" s="28"/>
      <c r="C467" s="6"/>
      <c r="D467" s="33"/>
      <c r="E467" s="34"/>
      <c r="F467" s="32"/>
      <c r="G467" s="32"/>
      <c r="H467" s="32"/>
      <c r="I467" s="32"/>
      <c r="J467" s="38"/>
      <c r="K467" s="53"/>
    </row>
    <row r="468" spans="1:11" x14ac:dyDescent="0.25">
      <c r="A468" s="2"/>
      <c r="B468" s="28"/>
      <c r="C468" s="6"/>
      <c r="D468" s="33"/>
      <c r="E468" s="34"/>
      <c r="F468" s="32"/>
      <c r="G468" s="32"/>
      <c r="H468" s="32"/>
      <c r="I468" s="32"/>
      <c r="J468" s="38"/>
      <c r="K468" s="53"/>
    </row>
    <row r="469" spans="1:11" x14ac:dyDescent="0.25">
      <c r="A469" s="2"/>
      <c r="B469" s="28"/>
      <c r="C469" s="6"/>
      <c r="D469" s="33"/>
      <c r="E469" s="34"/>
      <c r="F469" s="32"/>
      <c r="G469" s="32"/>
      <c r="H469" s="32"/>
      <c r="I469" s="32"/>
      <c r="J469" s="38"/>
      <c r="K469" s="53"/>
    </row>
    <row r="470" spans="1:11" x14ac:dyDescent="0.25">
      <c r="A470" s="2"/>
      <c r="B470" s="28"/>
      <c r="C470" s="6"/>
      <c r="D470" s="33"/>
      <c r="E470" s="34"/>
      <c r="F470" s="32"/>
      <c r="G470" s="32"/>
      <c r="H470" s="32"/>
      <c r="I470" s="32"/>
      <c r="J470" s="38"/>
      <c r="K470" s="53"/>
    </row>
    <row r="471" spans="1:11" x14ac:dyDescent="0.25">
      <c r="A471" s="2"/>
      <c r="B471" s="28"/>
      <c r="C471" s="6"/>
      <c r="D471" s="33"/>
      <c r="E471" s="34"/>
      <c r="F471" s="32"/>
      <c r="G471" s="32"/>
      <c r="H471" s="32"/>
      <c r="I471" s="32"/>
      <c r="J471" s="38"/>
      <c r="K471" s="53"/>
    </row>
    <row r="472" spans="1:11" x14ac:dyDescent="0.25">
      <c r="A472" s="2"/>
      <c r="B472" s="28"/>
      <c r="C472" s="6"/>
      <c r="D472" s="33"/>
      <c r="E472" s="34"/>
      <c r="F472" s="32"/>
      <c r="G472" s="32"/>
      <c r="H472" s="32"/>
      <c r="I472" s="32"/>
      <c r="J472" s="38"/>
      <c r="K472" s="53"/>
    </row>
    <row r="473" spans="1:11" x14ac:dyDescent="0.25">
      <c r="A473" s="2"/>
      <c r="B473" s="28"/>
      <c r="C473" s="6"/>
      <c r="D473" s="33"/>
      <c r="E473" s="34"/>
      <c r="F473" s="32"/>
      <c r="G473" s="32"/>
      <c r="H473" s="32"/>
      <c r="I473" s="32"/>
      <c r="J473" s="38"/>
      <c r="K473" s="53"/>
    </row>
    <row r="474" spans="1:11" x14ac:dyDescent="0.25">
      <c r="A474" s="2"/>
      <c r="B474" s="28"/>
      <c r="C474" s="6"/>
      <c r="D474" s="33"/>
      <c r="E474" s="34"/>
      <c r="F474" s="37"/>
      <c r="G474" s="37"/>
      <c r="H474" s="32"/>
      <c r="I474" s="32"/>
      <c r="J474" s="38"/>
      <c r="K474" s="53"/>
    </row>
    <row r="475" spans="1:11" x14ac:dyDescent="0.25">
      <c r="A475" s="2"/>
      <c r="B475" s="28"/>
      <c r="C475" s="29"/>
      <c r="D475" s="30"/>
      <c r="E475" s="31"/>
      <c r="F475" s="32"/>
      <c r="G475" s="32"/>
      <c r="H475" s="32"/>
      <c r="I475" s="32"/>
      <c r="J475" s="38"/>
      <c r="K475" s="53"/>
    </row>
    <row r="476" spans="1:11" x14ac:dyDescent="0.25">
      <c r="A476" s="2"/>
      <c r="B476" s="28"/>
      <c r="C476" s="29"/>
      <c r="D476" s="30"/>
      <c r="E476" s="31"/>
      <c r="F476" s="32"/>
      <c r="G476" s="32"/>
      <c r="H476" s="32"/>
      <c r="I476" s="32"/>
      <c r="J476" s="38"/>
      <c r="K476" s="53"/>
    </row>
    <row r="477" spans="1:11" x14ac:dyDescent="0.25">
      <c r="A477" s="2"/>
      <c r="B477" s="28"/>
      <c r="C477" s="6"/>
      <c r="D477" s="33"/>
      <c r="E477" s="34"/>
      <c r="F477" s="37"/>
      <c r="G477" s="37"/>
      <c r="H477" s="37"/>
      <c r="I477" s="37"/>
      <c r="J477" s="38"/>
      <c r="K477" s="53"/>
    </row>
    <row r="478" spans="1:11" x14ac:dyDescent="0.25">
      <c r="A478" s="2"/>
      <c r="B478" s="28"/>
      <c r="C478" s="6"/>
      <c r="D478" s="33"/>
      <c r="E478" s="34"/>
      <c r="F478" s="37"/>
      <c r="G478" s="37"/>
      <c r="H478" s="37"/>
      <c r="I478" s="37"/>
      <c r="J478" s="38"/>
      <c r="K478" s="53"/>
    </row>
    <row r="479" spans="1:11" x14ac:dyDescent="0.25">
      <c r="A479" s="2"/>
      <c r="B479" s="28"/>
      <c r="C479" s="6"/>
      <c r="D479" s="33"/>
      <c r="E479" s="34"/>
      <c r="F479" s="37"/>
      <c r="G479" s="32"/>
      <c r="H479" s="32"/>
      <c r="I479" s="32"/>
      <c r="J479" s="38"/>
      <c r="K479" s="53"/>
    </row>
    <row r="480" spans="1:11" x14ac:dyDescent="0.25">
      <c r="A480" s="2"/>
      <c r="B480" s="28"/>
      <c r="C480" s="29"/>
      <c r="D480" s="30"/>
      <c r="E480" s="31"/>
      <c r="F480" s="32"/>
      <c r="G480" s="32"/>
      <c r="H480" s="32"/>
      <c r="I480" s="32"/>
      <c r="J480" s="38"/>
      <c r="K480" s="53"/>
    </row>
    <row r="481" spans="1:11" x14ac:dyDescent="0.25">
      <c r="A481" s="2"/>
      <c r="B481" s="28"/>
      <c r="C481" s="6"/>
      <c r="D481" s="33"/>
      <c r="E481" s="34"/>
      <c r="F481" s="37"/>
      <c r="G481" s="37"/>
      <c r="H481" s="37"/>
      <c r="I481" s="37"/>
      <c r="J481" s="38"/>
      <c r="K481" s="53"/>
    </row>
    <row r="482" spans="1:11" x14ac:dyDescent="0.25">
      <c r="A482" s="2"/>
      <c r="B482" s="28"/>
      <c r="C482" s="29"/>
      <c r="D482" s="30"/>
      <c r="E482" s="31"/>
      <c r="F482" s="32"/>
      <c r="G482" s="32"/>
      <c r="H482" s="32"/>
      <c r="I482" s="32"/>
      <c r="J482" s="38"/>
      <c r="K482" s="53"/>
    </row>
    <row r="483" spans="1:11" x14ac:dyDescent="0.25">
      <c r="A483" s="15"/>
      <c r="B483" s="28"/>
      <c r="C483" s="29"/>
      <c r="D483" s="30"/>
      <c r="E483" s="31"/>
      <c r="F483" s="32"/>
      <c r="G483" s="32"/>
      <c r="H483" s="32"/>
      <c r="I483" s="32"/>
      <c r="J483" s="38"/>
      <c r="K483" s="53"/>
    </row>
    <row r="484" spans="1:11" x14ac:dyDescent="0.25">
      <c r="A484" s="15"/>
      <c r="B484" s="28"/>
      <c r="C484" s="6"/>
      <c r="D484" s="33"/>
      <c r="E484" s="34"/>
      <c r="F484" s="37"/>
      <c r="G484" s="37"/>
      <c r="H484" s="37"/>
      <c r="I484" s="37"/>
      <c r="J484" s="38"/>
      <c r="K484" s="53"/>
    </row>
    <row r="485" spans="1:11" x14ac:dyDescent="0.25">
      <c r="A485" s="15"/>
      <c r="B485" s="28"/>
      <c r="C485" s="29"/>
      <c r="D485" s="30"/>
      <c r="E485" s="31"/>
      <c r="F485" s="32"/>
      <c r="G485" s="32"/>
      <c r="H485" s="32"/>
      <c r="I485" s="32"/>
      <c r="J485" s="38"/>
      <c r="K485" s="53"/>
    </row>
    <row r="486" spans="1:11" x14ac:dyDescent="0.25">
      <c r="A486" s="15"/>
      <c r="B486" s="28"/>
      <c r="C486" s="6"/>
      <c r="D486" s="33"/>
      <c r="E486" s="34"/>
      <c r="F486" s="37"/>
      <c r="G486" s="37"/>
      <c r="H486" s="37"/>
      <c r="I486" s="37"/>
      <c r="J486" s="38"/>
      <c r="K486" s="53"/>
    </row>
    <row r="487" spans="1:11" x14ac:dyDescent="0.25">
      <c r="A487" s="15"/>
      <c r="B487" s="28"/>
      <c r="C487" s="6"/>
      <c r="D487" s="33"/>
      <c r="E487" s="34"/>
      <c r="F487" s="32"/>
      <c r="G487" s="32"/>
      <c r="H487" s="32"/>
      <c r="I487" s="32"/>
      <c r="J487" s="38"/>
      <c r="K487" s="53"/>
    </row>
    <row r="488" spans="1:11" x14ac:dyDescent="0.25">
      <c r="A488" s="15"/>
      <c r="B488" s="28"/>
      <c r="C488" s="6"/>
      <c r="D488" s="33"/>
      <c r="E488" s="34"/>
      <c r="F488" s="37"/>
      <c r="G488" s="37"/>
      <c r="H488" s="37"/>
      <c r="I488" s="37"/>
      <c r="J488" s="38"/>
      <c r="K488" s="53"/>
    </row>
    <row r="489" spans="1:11" x14ac:dyDescent="0.25">
      <c r="A489" s="15"/>
      <c r="B489" s="28"/>
      <c r="C489" s="29"/>
      <c r="D489" s="30"/>
      <c r="E489" s="31"/>
      <c r="F489" s="32"/>
      <c r="G489" s="32"/>
      <c r="H489" s="32"/>
      <c r="I489" s="32"/>
      <c r="J489" s="38"/>
      <c r="K489" s="53"/>
    </row>
    <row r="490" spans="1:11" x14ac:dyDescent="0.25">
      <c r="A490" s="15"/>
      <c r="B490" s="28"/>
      <c r="C490" s="6"/>
      <c r="D490" s="33"/>
      <c r="E490" s="34"/>
      <c r="F490" s="37"/>
      <c r="G490" s="37"/>
      <c r="H490" s="37"/>
      <c r="I490" s="37"/>
      <c r="J490" s="38"/>
      <c r="K490" s="53"/>
    </row>
    <row r="491" spans="1:11" x14ac:dyDescent="0.25">
      <c r="A491" s="15"/>
      <c r="B491" s="28"/>
      <c r="C491" s="29"/>
      <c r="D491" s="30"/>
      <c r="E491" s="31"/>
      <c r="F491" s="32"/>
      <c r="G491" s="32"/>
      <c r="H491" s="32"/>
      <c r="I491" s="32"/>
      <c r="J491" s="38"/>
      <c r="K491" s="53"/>
    </row>
    <row r="492" spans="1:11" x14ac:dyDescent="0.25">
      <c r="A492" s="15"/>
      <c r="B492" s="28"/>
      <c r="C492" s="6"/>
      <c r="D492" s="33"/>
      <c r="E492" s="34"/>
      <c r="F492" s="32"/>
      <c r="G492" s="32"/>
      <c r="H492" s="32"/>
      <c r="I492" s="32"/>
      <c r="J492" s="38"/>
      <c r="K492" s="53"/>
    </row>
    <row r="493" spans="1:11" x14ac:dyDescent="0.25">
      <c r="A493" s="15"/>
      <c r="B493" s="28"/>
      <c r="C493" s="29"/>
      <c r="D493" s="30"/>
      <c r="E493" s="31"/>
      <c r="F493" s="32"/>
      <c r="G493" s="32"/>
      <c r="H493" s="32"/>
      <c r="I493" s="32"/>
      <c r="J493" s="38"/>
      <c r="K493" s="53"/>
    </row>
    <row r="494" spans="1:11" x14ac:dyDescent="0.25">
      <c r="A494" s="15"/>
      <c r="B494" s="28"/>
      <c r="C494" s="6"/>
      <c r="D494" s="33"/>
      <c r="E494" s="34"/>
      <c r="F494" s="37"/>
      <c r="G494" s="37"/>
      <c r="H494" s="37"/>
      <c r="I494" s="37"/>
      <c r="J494" s="38"/>
      <c r="K494" s="53"/>
    </row>
    <row r="495" spans="1:11" x14ac:dyDescent="0.25">
      <c r="A495" s="15"/>
      <c r="B495" s="28"/>
      <c r="C495" s="6"/>
      <c r="D495" s="30"/>
      <c r="E495" s="31"/>
      <c r="F495" s="32"/>
      <c r="G495" s="32"/>
      <c r="H495" s="32"/>
      <c r="I495" s="32"/>
      <c r="J495" s="38"/>
      <c r="K495" s="53"/>
    </row>
    <row r="496" spans="1:11" x14ac:dyDescent="0.25">
      <c r="A496" s="15"/>
      <c r="B496" s="28"/>
      <c r="C496" s="6"/>
      <c r="D496" s="30"/>
      <c r="E496" s="31"/>
      <c r="F496" s="32"/>
      <c r="G496" s="32"/>
      <c r="H496" s="32"/>
      <c r="I496" s="32"/>
      <c r="J496" s="38"/>
      <c r="K496" s="53"/>
    </row>
    <row r="497" spans="1:11" x14ac:dyDescent="0.25">
      <c r="A497" s="15"/>
      <c r="B497" s="28"/>
      <c r="C497" s="6"/>
      <c r="D497" s="33"/>
      <c r="E497" s="34"/>
      <c r="F497" s="37"/>
      <c r="G497" s="37"/>
      <c r="H497" s="32"/>
      <c r="I497" s="32"/>
      <c r="J497" s="38"/>
      <c r="K497" s="53"/>
    </row>
    <row r="498" spans="1:11" x14ac:dyDescent="0.25">
      <c r="A498" s="15"/>
      <c r="B498" s="28"/>
      <c r="C498" s="6"/>
      <c r="D498" s="33"/>
      <c r="E498" s="31"/>
      <c r="F498" s="32"/>
      <c r="G498" s="32"/>
      <c r="H498" s="32"/>
      <c r="I498" s="32"/>
      <c r="J498" s="38"/>
      <c r="K498" s="53"/>
    </row>
    <row r="499" spans="1:11" x14ac:dyDescent="0.25">
      <c r="A499" s="15"/>
      <c r="B499" s="28"/>
      <c r="C499" s="6"/>
      <c r="D499" s="33"/>
      <c r="E499" s="34"/>
      <c r="F499" s="37"/>
      <c r="G499" s="37"/>
      <c r="H499" s="37"/>
      <c r="I499" s="37"/>
      <c r="J499" s="38"/>
      <c r="K499" s="53"/>
    </row>
    <row r="500" spans="1:11" x14ac:dyDescent="0.25">
      <c r="A500" s="15"/>
      <c r="B500" s="28"/>
      <c r="C500" s="6"/>
      <c r="D500" s="30"/>
      <c r="E500" s="31"/>
      <c r="F500" s="32"/>
      <c r="G500" s="32"/>
      <c r="H500" s="32"/>
      <c r="I500" s="32"/>
      <c r="J500" s="38"/>
      <c r="K500" s="53"/>
    </row>
    <row r="501" spans="1:11" x14ac:dyDescent="0.25">
      <c r="A501" s="15"/>
      <c r="B501" s="28"/>
      <c r="C501" s="6"/>
      <c r="D501" s="33"/>
      <c r="E501" s="34"/>
      <c r="F501" s="32"/>
      <c r="G501" s="32"/>
      <c r="H501" s="32"/>
      <c r="I501" s="32"/>
      <c r="J501" s="38"/>
      <c r="K501" s="53"/>
    </row>
    <row r="502" spans="1:11" x14ac:dyDescent="0.25">
      <c r="A502" s="15"/>
      <c r="B502" s="28"/>
      <c r="C502" s="6"/>
      <c r="D502" s="33"/>
      <c r="E502" s="34"/>
      <c r="F502" s="37"/>
      <c r="G502" s="37"/>
      <c r="H502" s="37"/>
      <c r="I502" s="32"/>
      <c r="J502" s="38"/>
      <c r="K502" s="53"/>
    </row>
    <row r="503" spans="1:11" x14ac:dyDescent="0.25">
      <c r="A503" s="15"/>
      <c r="B503" s="28"/>
      <c r="C503" s="6"/>
      <c r="D503" s="33"/>
      <c r="E503" s="34"/>
      <c r="F503" s="37"/>
      <c r="G503" s="37"/>
      <c r="H503" s="37"/>
      <c r="I503" s="37"/>
      <c r="J503" s="38"/>
      <c r="K503" s="53"/>
    </row>
    <row r="504" spans="1:11" x14ac:dyDescent="0.25">
      <c r="A504" s="15"/>
      <c r="B504" s="28"/>
      <c r="C504" s="6"/>
      <c r="D504" s="33"/>
      <c r="E504" s="34"/>
      <c r="F504" s="32"/>
      <c r="G504" s="32"/>
      <c r="H504" s="32"/>
      <c r="I504" s="32"/>
      <c r="J504" s="38"/>
      <c r="K504" s="53"/>
    </row>
    <row r="505" spans="1:11" x14ac:dyDescent="0.25">
      <c r="A505" s="15"/>
      <c r="B505" s="28"/>
      <c r="C505" s="29"/>
      <c r="D505" s="30"/>
      <c r="E505" s="31"/>
      <c r="F505" s="32"/>
      <c r="G505" s="32"/>
      <c r="H505" s="32"/>
      <c r="I505" s="32"/>
      <c r="J505" s="38"/>
      <c r="K505" s="53"/>
    </row>
    <row r="506" spans="1:11" x14ac:dyDescent="0.25">
      <c r="A506" s="15"/>
      <c r="B506" s="28"/>
      <c r="C506" s="6"/>
      <c r="D506" s="30"/>
      <c r="E506" s="31"/>
      <c r="F506" s="32"/>
      <c r="G506" s="32"/>
      <c r="H506" s="32"/>
      <c r="I506" s="32"/>
      <c r="J506" s="38"/>
      <c r="K506" s="53"/>
    </row>
    <row r="507" spans="1:11" x14ac:dyDescent="0.25">
      <c r="A507" s="15"/>
      <c r="B507" s="28"/>
      <c r="C507" s="6"/>
      <c r="D507" s="30"/>
      <c r="E507" s="31"/>
      <c r="F507" s="32"/>
      <c r="G507" s="32"/>
      <c r="H507" s="32"/>
      <c r="I507" s="32"/>
      <c r="J507" s="38"/>
      <c r="K507" s="53"/>
    </row>
    <row r="508" spans="1:11" x14ac:dyDescent="0.25">
      <c r="A508" s="15"/>
      <c r="B508" s="28"/>
      <c r="C508" s="6"/>
      <c r="D508" s="33"/>
      <c r="E508" s="34"/>
      <c r="F508" s="37"/>
      <c r="G508" s="37"/>
      <c r="H508" s="37"/>
      <c r="I508" s="37"/>
      <c r="J508" s="38"/>
      <c r="K508" s="53"/>
    </row>
    <row r="509" spans="1:11" x14ac:dyDescent="0.25">
      <c r="A509" s="15"/>
      <c r="B509" s="28"/>
      <c r="C509" s="6"/>
      <c r="D509" s="33"/>
      <c r="E509" s="34"/>
      <c r="F509" s="37"/>
      <c r="G509" s="37"/>
      <c r="H509" s="37"/>
      <c r="I509" s="37"/>
      <c r="J509" s="38"/>
      <c r="K509" s="53"/>
    </row>
    <row r="510" spans="1:11" x14ac:dyDescent="0.25">
      <c r="A510" s="15"/>
      <c r="B510" s="28"/>
      <c r="C510" s="29"/>
      <c r="D510" s="30"/>
      <c r="E510" s="31"/>
      <c r="F510" s="32"/>
      <c r="G510" s="32"/>
      <c r="H510" s="32"/>
      <c r="I510" s="32"/>
      <c r="J510" s="38"/>
      <c r="K510" s="53"/>
    </row>
    <row r="511" spans="1:11" x14ac:dyDescent="0.25">
      <c r="A511" s="15"/>
      <c r="B511" s="28"/>
      <c r="C511" s="6"/>
      <c r="D511" s="33"/>
      <c r="E511" s="34"/>
      <c r="F511" s="37"/>
      <c r="G511" s="37"/>
      <c r="H511" s="37"/>
      <c r="I511" s="37"/>
      <c r="J511" s="38"/>
      <c r="K511" s="53"/>
    </row>
    <row r="512" spans="1:11" x14ac:dyDescent="0.25">
      <c r="A512" s="15"/>
      <c r="B512" s="28"/>
      <c r="C512" s="6"/>
      <c r="D512" s="33"/>
      <c r="E512" s="34"/>
      <c r="F512" s="37"/>
      <c r="G512" s="37"/>
      <c r="H512" s="37"/>
      <c r="I512" s="37"/>
      <c r="J512" s="38"/>
      <c r="K512" s="53"/>
    </row>
    <row r="513" spans="1:11" x14ac:dyDescent="0.25">
      <c r="A513" s="15"/>
      <c r="B513" s="28"/>
      <c r="C513" s="6"/>
      <c r="D513" s="33"/>
      <c r="E513" s="34"/>
      <c r="F513" s="32"/>
      <c r="G513" s="32"/>
      <c r="H513" s="32"/>
      <c r="I513" s="32"/>
      <c r="J513" s="38"/>
      <c r="K513" s="53"/>
    </row>
    <row r="514" spans="1:11" x14ac:dyDescent="0.25">
      <c r="A514" s="15"/>
      <c r="B514" s="28"/>
      <c r="C514" s="6"/>
      <c r="D514" s="33"/>
      <c r="E514" s="34"/>
      <c r="F514" s="37"/>
      <c r="G514" s="37"/>
      <c r="H514" s="37"/>
      <c r="I514" s="37"/>
      <c r="J514" s="38"/>
      <c r="K514" s="53"/>
    </row>
    <row r="515" spans="1:11" x14ac:dyDescent="0.25">
      <c r="A515" s="15"/>
      <c r="B515" s="28"/>
      <c r="C515" s="6"/>
      <c r="D515" s="33"/>
      <c r="E515" s="34"/>
      <c r="F515" s="32"/>
      <c r="G515" s="32"/>
      <c r="H515" s="32"/>
      <c r="I515" s="32"/>
      <c r="J515" s="38"/>
      <c r="K515" s="53"/>
    </row>
    <row r="516" spans="1:11" x14ac:dyDescent="0.25">
      <c r="A516" s="15"/>
      <c r="B516" s="28"/>
      <c r="C516" s="6"/>
      <c r="D516" s="33"/>
      <c r="E516" s="34"/>
      <c r="F516" s="37"/>
      <c r="G516" s="37"/>
      <c r="H516" s="37"/>
      <c r="I516" s="37"/>
      <c r="J516" s="38"/>
      <c r="K516" s="53"/>
    </row>
    <row r="517" spans="1:11" x14ac:dyDescent="0.25">
      <c r="A517" s="15"/>
      <c r="B517" s="28"/>
      <c r="C517" s="29"/>
      <c r="D517" s="30"/>
      <c r="E517" s="31"/>
      <c r="F517" s="32"/>
      <c r="G517" s="32"/>
      <c r="H517" s="32"/>
      <c r="I517" s="32"/>
      <c r="J517" s="38"/>
      <c r="K517" s="53"/>
    </row>
    <row r="518" spans="1:11" x14ac:dyDescent="0.25">
      <c r="A518" s="15"/>
      <c r="B518" s="28"/>
      <c r="C518" s="6"/>
      <c r="D518" s="33"/>
      <c r="E518" s="34"/>
      <c r="F518" s="37"/>
      <c r="G518" s="37"/>
      <c r="H518" s="37"/>
      <c r="I518" s="37"/>
      <c r="J518" s="38"/>
      <c r="K518" s="53"/>
    </row>
    <row r="519" spans="1:11" x14ac:dyDescent="0.25">
      <c r="A519" s="15"/>
      <c r="B519" s="28"/>
      <c r="C519" s="6"/>
      <c r="D519" s="33"/>
      <c r="E519" s="34"/>
      <c r="F519" s="32"/>
      <c r="G519" s="32"/>
      <c r="H519" s="32"/>
      <c r="I519" s="32"/>
      <c r="J519" s="38"/>
      <c r="K519" s="53"/>
    </row>
    <row r="520" spans="1:11" x14ac:dyDescent="0.25">
      <c r="A520" s="15"/>
      <c r="B520" s="28"/>
      <c r="C520" s="6"/>
      <c r="D520" s="33"/>
      <c r="E520" s="34"/>
      <c r="F520" s="37"/>
      <c r="G520" s="37"/>
      <c r="H520" s="37"/>
      <c r="I520" s="37"/>
      <c r="J520" s="38"/>
      <c r="K520" s="53"/>
    </row>
    <row r="521" spans="1:11" x14ac:dyDescent="0.25">
      <c r="A521" s="15"/>
      <c r="B521" s="28"/>
      <c r="C521" s="6"/>
      <c r="D521" s="33"/>
      <c r="E521" s="34"/>
      <c r="F521" s="32"/>
      <c r="G521" s="32"/>
      <c r="H521" s="32"/>
      <c r="I521" s="32"/>
      <c r="J521" s="38"/>
      <c r="K521" s="53"/>
    </row>
    <row r="522" spans="1:11" x14ac:dyDescent="0.25">
      <c r="A522" s="15"/>
      <c r="B522" s="28"/>
      <c r="C522" s="6"/>
      <c r="D522" s="33"/>
      <c r="E522" s="34"/>
      <c r="F522" s="37"/>
      <c r="G522" s="37"/>
      <c r="H522" s="37"/>
      <c r="I522" s="37"/>
      <c r="J522" s="38"/>
      <c r="K522" s="53"/>
    </row>
    <row r="523" spans="1:11" x14ac:dyDescent="0.25">
      <c r="A523" s="15"/>
      <c r="B523" s="28"/>
      <c r="C523" s="6"/>
      <c r="D523" s="33"/>
      <c r="E523" s="31"/>
      <c r="F523" s="32"/>
      <c r="G523" s="32"/>
      <c r="H523" s="32"/>
      <c r="I523" s="32"/>
      <c r="J523" s="38"/>
      <c r="K523" s="53"/>
    </row>
    <row r="524" spans="1:11" x14ac:dyDescent="0.25">
      <c r="A524" s="15"/>
      <c r="B524" s="28"/>
      <c r="C524" s="29"/>
      <c r="D524" s="30"/>
      <c r="E524" s="31"/>
      <c r="F524" s="32"/>
      <c r="G524" s="32"/>
      <c r="H524" s="32"/>
      <c r="I524" s="32"/>
      <c r="J524" s="38"/>
      <c r="K524" s="53"/>
    </row>
    <row r="525" spans="1:11" x14ac:dyDescent="0.25">
      <c r="A525" s="15"/>
      <c r="B525" s="28"/>
      <c r="C525" s="6"/>
      <c r="D525" s="33"/>
      <c r="E525" s="34"/>
      <c r="F525" s="37"/>
      <c r="G525" s="37"/>
      <c r="H525" s="37"/>
      <c r="I525" s="37"/>
      <c r="J525" s="38"/>
      <c r="K525" s="53"/>
    </row>
    <row r="526" spans="1:11" x14ac:dyDescent="0.25">
      <c r="A526" s="15"/>
      <c r="B526" s="28"/>
      <c r="C526" s="29"/>
      <c r="D526" s="30"/>
      <c r="E526" s="31"/>
      <c r="F526" s="32"/>
      <c r="G526" s="32"/>
      <c r="H526" s="32"/>
      <c r="I526" s="32"/>
      <c r="J526" s="38"/>
      <c r="K526" s="53"/>
    </row>
    <row r="527" spans="1:11" x14ac:dyDescent="0.25">
      <c r="A527" s="15"/>
      <c r="B527" s="28"/>
      <c r="C527" s="6"/>
      <c r="D527" s="33"/>
      <c r="E527" s="34"/>
      <c r="F527" s="37"/>
      <c r="G527" s="37"/>
      <c r="H527" s="37"/>
      <c r="I527" s="37"/>
      <c r="J527" s="38"/>
      <c r="K527" s="53"/>
    </row>
    <row r="528" spans="1:11" x14ac:dyDescent="0.25">
      <c r="A528" s="15"/>
      <c r="B528" s="28"/>
      <c r="C528" s="6"/>
      <c r="D528" s="33"/>
      <c r="E528" s="34"/>
      <c r="F528" s="37"/>
      <c r="G528" s="37"/>
      <c r="H528" s="37"/>
      <c r="I528" s="37"/>
      <c r="J528" s="38"/>
      <c r="K528" s="53"/>
    </row>
    <row r="529" spans="1:11" x14ac:dyDescent="0.25">
      <c r="A529" s="15"/>
      <c r="B529" s="28"/>
      <c r="C529" s="6"/>
      <c r="D529" s="33"/>
      <c r="E529" s="34"/>
      <c r="F529" s="32"/>
      <c r="G529" s="32"/>
      <c r="H529" s="32"/>
      <c r="I529" s="32"/>
      <c r="J529" s="38"/>
      <c r="K529" s="53"/>
    </row>
    <row r="530" spans="1:11" x14ac:dyDescent="0.25">
      <c r="A530" s="15"/>
      <c r="B530" s="28"/>
      <c r="C530" s="6"/>
      <c r="D530" s="33"/>
      <c r="E530" s="34"/>
      <c r="F530" s="37"/>
      <c r="G530" s="37"/>
      <c r="H530" s="32"/>
      <c r="I530" s="32"/>
      <c r="J530" s="38"/>
      <c r="K530" s="53"/>
    </row>
    <row r="531" spans="1:11" x14ac:dyDescent="0.25">
      <c r="A531" s="15"/>
      <c r="B531" s="28"/>
      <c r="C531" s="6"/>
      <c r="D531" s="33"/>
      <c r="E531" s="34"/>
      <c r="F531" s="32"/>
      <c r="G531" s="32"/>
      <c r="H531" s="32"/>
      <c r="I531" s="32"/>
      <c r="J531" s="38"/>
      <c r="K531" s="53"/>
    </row>
    <row r="532" spans="1:11" x14ac:dyDescent="0.25">
      <c r="A532" s="15"/>
      <c r="B532" s="28"/>
      <c r="C532" s="29"/>
      <c r="D532" s="30"/>
      <c r="E532" s="31"/>
      <c r="F532" s="32"/>
      <c r="G532" s="32"/>
      <c r="H532" s="32"/>
      <c r="I532" s="32"/>
      <c r="J532" s="38"/>
      <c r="K532" s="53"/>
    </row>
    <row r="533" spans="1:11" x14ac:dyDescent="0.25">
      <c r="A533" s="15"/>
      <c r="B533" s="28"/>
      <c r="C533" s="6"/>
      <c r="D533" s="33"/>
      <c r="E533" s="34"/>
      <c r="F533" s="37"/>
      <c r="G533" s="37"/>
      <c r="H533" s="37"/>
      <c r="I533" s="37"/>
      <c r="J533" s="38"/>
      <c r="K533" s="53"/>
    </row>
    <row r="534" spans="1:11" x14ac:dyDescent="0.25">
      <c r="A534" s="15"/>
      <c r="B534" s="28"/>
      <c r="C534" s="6"/>
      <c r="D534" s="33"/>
      <c r="E534" s="34"/>
      <c r="F534" s="37"/>
      <c r="G534" s="37"/>
      <c r="H534" s="37"/>
      <c r="I534" s="37"/>
      <c r="J534" s="38"/>
      <c r="K534" s="53"/>
    </row>
    <row r="535" spans="1:11" x14ac:dyDescent="0.25">
      <c r="A535" s="15"/>
      <c r="B535" s="28"/>
      <c r="C535" s="6"/>
      <c r="D535" s="33"/>
      <c r="E535" s="34"/>
      <c r="F535" s="37"/>
      <c r="G535" s="37"/>
      <c r="H535" s="32"/>
      <c r="I535" s="32"/>
      <c r="J535" s="38"/>
      <c r="K535" s="53"/>
    </row>
    <row r="536" spans="1:11" x14ac:dyDescent="0.25">
      <c r="A536" s="15"/>
      <c r="B536" s="28"/>
      <c r="C536" s="6"/>
      <c r="D536" s="33"/>
      <c r="E536" s="34"/>
      <c r="F536" s="37"/>
      <c r="G536" s="37"/>
      <c r="H536" s="37"/>
      <c r="I536" s="37"/>
      <c r="J536" s="38"/>
      <c r="K536" s="53"/>
    </row>
    <row r="537" spans="1:11" x14ac:dyDescent="0.25">
      <c r="A537" s="15"/>
      <c r="B537" s="28"/>
      <c r="C537" s="6"/>
      <c r="D537" s="33"/>
      <c r="E537" s="34"/>
      <c r="F537" s="32"/>
      <c r="G537" s="32"/>
      <c r="H537" s="32"/>
      <c r="I537" s="32"/>
      <c r="J537" s="38"/>
      <c r="K537" s="53"/>
    </row>
    <row r="538" spans="1:11" x14ac:dyDescent="0.25">
      <c r="A538" s="15"/>
      <c r="B538" s="28"/>
      <c r="C538" s="29"/>
      <c r="D538" s="30"/>
      <c r="E538" s="31"/>
      <c r="F538" s="32"/>
      <c r="G538" s="32"/>
      <c r="H538" s="32"/>
      <c r="I538" s="32"/>
      <c r="J538" s="38"/>
      <c r="K538" s="53"/>
    </row>
    <row r="539" spans="1:11" x14ac:dyDescent="0.25">
      <c r="A539" s="15"/>
      <c r="B539" s="28"/>
      <c r="C539" s="6"/>
      <c r="D539" s="33"/>
      <c r="E539" s="34"/>
      <c r="F539" s="32"/>
      <c r="G539" s="32"/>
      <c r="H539" s="32"/>
      <c r="I539" s="32"/>
      <c r="J539" s="38"/>
      <c r="K539" s="53"/>
    </row>
    <row r="540" spans="1:11" x14ac:dyDescent="0.25">
      <c r="A540" s="15"/>
      <c r="B540" s="28"/>
      <c r="C540" s="6"/>
      <c r="D540" s="33"/>
      <c r="E540" s="34"/>
      <c r="F540" s="32"/>
      <c r="G540" s="32"/>
      <c r="H540" s="32"/>
      <c r="I540" s="32"/>
      <c r="J540" s="38"/>
      <c r="K540" s="53"/>
    </row>
    <row r="541" spans="1:11" x14ac:dyDescent="0.25">
      <c r="A541" s="15"/>
      <c r="B541" s="28"/>
      <c r="C541" s="6"/>
      <c r="D541" s="33"/>
      <c r="E541" s="34"/>
      <c r="F541" s="32"/>
      <c r="G541" s="32"/>
      <c r="H541" s="32"/>
      <c r="I541" s="32"/>
      <c r="J541" s="38"/>
      <c r="K541" s="53"/>
    </row>
    <row r="542" spans="1:11" x14ac:dyDescent="0.25">
      <c r="A542" s="15"/>
      <c r="B542" s="28"/>
      <c r="C542" s="6"/>
      <c r="D542" s="33"/>
      <c r="E542" s="34"/>
      <c r="F542" s="37"/>
      <c r="G542" s="32"/>
      <c r="H542" s="32"/>
      <c r="I542" s="32"/>
      <c r="J542" s="38"/>
      <c r="K542" s="53"/>
    </row>
    <row r="543" spans="1:11" x14ac:dyDescent="0.25">
      <c r="A543" s="15"/>
      <c r="B543" s="28"/>
      <c r="C543" s="6"/>
      <c r="D543" s="33"/>
      <c r="E543" s="34"/>
      <c r="F543" s="32"/>
      <c r="G543" s="32"/>
      <c r="H543" s="32"/>
      <c r="I543" s="32"/>
      <c r="J543" s="38"/>
      <c r="K543" s="53"/>
    </row>
    <row r="544" spans="1:11" x14ac:dyDescent="0.25">
      <c r="A544" s="15"/>
      <c r="B544" s="28"/>
      <c r="C544" s="29"/>
      <c r="D544" s="30"/>
      <c r="E544" s="31"/>
      <c r="F544" s="32"/>
      <c r="G544" s="32"/>
      <c r="H544" s="32"/>
      <c r="I544" s="32"/>
      <c r="J544" s="38"/>
      <c r="K544" s="53"/>
    </row>
    <row r="545" spans="1:11" x14ac:dyDescent="0.25">
      <c r="A545" s="2"/>
      <c r="B545" s="28"/>
      <c r="C545" s="6"/>
      <c r="D545" s="33"/>
      <c r="E545" s="34"/>
      <c r="F545" s="37"/>
      <c r="G545" s="37"/>
      <c r="H545" s="37"/>
      <c r="I545" s="37"/>
      <c r="J545" s="38"/>
      <c r="K545" s="53"/>
    </row>
    <row r="546" spans="1:11" x14ac:dyDescent="0.25">
      <c r="A546" s="2"/>
      <c r="B546" s="28"/>
      <c r="C546" s="6"/>
      <c r="D546" s="33"/>
      <c r="E546" s="34"/>
      <c r="F546" s="37"/>
      <c r="G546" s="37"/>
      <c r="H546" s="37"/>
      <c r="I546" s="37"/>
      <c r="J546" s="38"/>
      <c r="K546" s="53"/>
    </row>
    <row r="547" spans="1:11" x14ac:dyDescent="0.25">
      <c r="A547" s="2"/>
      <c r="B547" s="28"/>
      <c r="C547" s="6"/>
      <c r="D547" s="33"/>
      <c r="E547" s="34"/>
      <c r="F547" s="37"/>
      <c r="G547" s="37"/>
      <c r="H547" s="37"/>
      <c r="I547" s="37"/>
      <c r="J547" s="38"/>
      <c r="K547" s="53"/>
    </row>
    <row r="548" spans="1:11" x14ac:dyDescent="0.25">
      <c r="A548" s="2"/>
      <c r="B548" s="28"/>
      <c r="C548" s="6"/>
      <c r="D548" s="33"/>
      <c r="E548" s="34"/>
      <c r="F548" s="37"/>
      <c r="G548" s="37"/>
      <c r="H548" s="37"/>
      <c r="I548" s="37"/>
      <c r="J548" s="38"/>
      <c r="K548" s="53"/>
    </row>
    <row r="549" spans="1:11" x14ac:dyDescent="0.25">
      <c r="A549" s="2"/>
      <c r="B549" s="28"/>
      <c r="C549" s="29"/>
      <c r="D549" s="30"/>
      <c r="E549" s="31"/>
      <c r="F549" s="32"/>
      <c r="G549" s="32"/>
      <c r="H549" s="32"/>
      <c r="I549" s="32"/>
      <c r="J549" s="38"/>
      <c r="K549" s="53"/>
    </row>
    <row r="550" spans="1:11" x14ac:dyDescent="0.25">
      <c r="A550" s="2"/>
      <c r="B550" s="28"/>
      <c r="C550" s="6"/>
      <c r="D550" s="33"/>
      <c r="E550" s="34"/>
      <c r="F550" s="37"/>
      <c r="G550" s="37"/>
      <c r="H550" s="37"/>
      <c r="I550" s="37"/>
      <c r="J550" s="38"/>
      <c r="K550" s="53"/>
    </row>
    <row r="551" spans="1:11" x14ac:dyDescent="0.25">
      <c r="A551" s="2"/>
      <c r="B551" s="28"/>
      <c r="C551" s="6"/>
      <c r="D551" s="33"/>
      <c r="E551" s="34"/>
      <c r="F551" s="37"/>
      <c r="G551" s="37"/>
      <c r="H551" s="37"/>
      <c r="I551" s="37"/>
      <c r="J551" s="38"/>
      <c r="K551" s="53"/>
    </row>
    <row r="552" spans="1:11" x14ac:dyDescent="0.25">
      <c r="A552" s="2"/>
      <c r="B552" s="28"/>
      <c r="C552" s="6"/>
      <c r="D552" s="33"/>
      <c r="E552" s="34"/>
      <c r="F552" s="37"/>
      <c r="G552" s="37"/>
      <c r="H552" s="37"/>
      <c r="I552" s="37"/>
      <c r="J552" s="38"/>
      <c r="K552" s="53"/>
    </row>
    <row r="553" spans="1:11" x14ac:dyDescent="0.25">
      <c r="A553" s="2"/>
      <c r="B553" s="28"/>
      <c r="C553" s="6"/>
      <c r="D553" s="33"/>
      <c r="E553" s="34"/>
      <c r="F553" s="37"/>
      <c r="G553" s="37"/>
      <c r="H553" s="37"/>
      <c r="I553" s="37"/>
      <c r="J553" s="38"/>
      <c r="K553" s="53"/>
    </row>
    <row r="554" spans="1:11" x14ac:dyDescent="0.25">
      <c r="A554" s="2"/>
      <c r="B554" s="28"/>
      <c r="C554" s="6"/>
      <c r="D554" s="33"/>
      <c r="E554" s="34"/>
      <c r="F554" s="37"/>
      <c r="G554" s="37"/>
      <c r="H554" s="37"/>
      <c r="I554" s="37"/>
      <c r="J554" s="38"/>
      <c r="K554" s="53"/>
    </row>
    <row r="555" spans="1:11" x14ac:dyDescent="0.25">
      <c r="A555" s="2"/>
      <c r="B555" s="28"/>
      <c r="C555" s="6"/>
      <c r="D555" s="33"/>
      <c r="E555" s="34"/>
      <c r="F555" s="37"/>
      <c r="G555" s="37"/>
      <c r="H555" s="37"/>
      <c r="I555" s="37"/>
      <c r="J555" s="38"/>
      <c r="K555" s="53"/>
    </row>
    <row r="556" spans="1:11" x14ac:dyDescent="0.25">
      <c r="A556" s="2"/>
      <c r="B556" s="28"/>
      <c r="C556" s="6"/>
      <c r="D556" s="33"/>
      <c r="E556" s="34"/>
      <c r="F556" s="37"/>
      <c r="G556" s="37"/>
      <c r="H556" s="37"/>
      <c r="I556" s="37"/>
      <c r="J556" s="38"/>
      <c r="K556" s="53"/>
    </row>
    <row r="557" spans="1:11" x14ac:dyDescent="0.25">
      <c r="A557" s="2"/>
      <c r="B557" s="28"/>
      <c r="C557" s="6"/>
      <c r="D557" s="33"/>
      <c r="E557" s="34"/>
      <c r="F557" s="37"/>
      <c r="G557" s="37"/>
      <c r="H557" s="37"/>
      <c r="I557" s="32"/>
      <c r="J557" s="38"/>
      <c r="K557" s="53"/>
    </row>
    <row r="558" spans="1:11" x14ac:dyDescent="0.25">
      <c r="A558" s="2"/>
      <c r="B558" s="28"/>
      <c r="C558" s="6"/>
      <c r="D558" s="33"/>
      <c r="E558" s="34"/>
      <c r="F558" s="37"/>
      <c r="G558" s="37"/>
      <c r="H558" s="37"/>
      <c r="I558" s="37"/>
      <c r="J558" s="38"/>
      <c r="K558" s="53"/>
    </row>
    <row r="559" spans="1:11" x14ac:dyDescent="0.25">
      <c r="A559" s="2"/>
      <c r="B559" s="28"/>
      <c r="C559" s="6"/>
      <c r="D559" s="33"/>
      <c r="E559" s="34"/>
      <c r="F559" s="37"/>
      <c r="G559" s="37"/>
      <c r="H559" s="37"/>
      <c r="I559" s="37"/>
      <c r="J559" s="38"/>
      <c r="K559" s="53"/>
    </row>
    <row r="560" spans="1:11" x14ac:dyDescent="0.25">
      <c r="A560" s="2"/>
      <c r="B560" s="28"/>
      <c r="C560" s="6"/>
      <c r="D560" s="33"/>
      <c r="E560" s="34"/>
      <c r="F560" s="37"/>
      <c r="G560" s="37"/>
      <c r="H560" s="37"/>
      <c r="I560" s="37"/>
      <c r="J560" s="38"/>
      <c r="K560" s="53"/>
    </row>
    <row r="561" spans="1:11" x14ac:dyDescent="0.25">
      <c r="A561" s="2"/>
      <c r="B561" s="28"/>
      <c r="C561" s="6"/>
      <c r="D561" s="33"/>
      <c r="E561" s="34"/>
      <c r="F561" s="37"/>
      <c r="G561" s="37"/>
      <c r="H561" s="37"/>
      <c r="I561" s="37"/>
      <c r="J561" s="38"/>
      <c r="K561" s="53"/>
    </row>
    <row r="562" spans="1:11" x14ac:dyDescent="0.25">
      <c r="A562" s="2"/>
      <c r="B562" s="28"/>
      <c r="C562" s="6"/>
      <c r="D562" s="33"/>
      <c r="E562" s="34"/>
      <c r="F562" s="37"/>
      <c r="G562" s="37"/>
      <c r="H562" s="37"/>
      <c r="I562" s="37"/>
      <c r="J562" s="38"/>
      <c r="K562" s="53"/>
    </row>
    <row r="563" spans="1:11" x14ac:dyDescent="0.25">
      <c r="A563" s="2"/>
      <c r="B563" s="28"/>
      <c r="C563" s="6"/>
      <c r="D563" s="33"/>
      <c r="E563" s="34"/>
      <c r="F563" s="37"/>
      <c r="G563" s="37"/>
      <c r="H563" s="37"/>
      <c r="I563" s="37"/>
      <c r="J563" s="38"/>
      <c r="K563" s="53"/>
    </row>
    <row r="564" spans="1:11" x14ac:dyDescent="0.25">
      <c r="A564" s="2"/>
      <c r="B564" s="28"/>
      <c r="C564" s="6"/>
      <c r="D564" s="33"/>
      <c r="E564" s="34"/>
      <c r="F564" s="37"/>
      <c r="G564" s="37"/>
      <c r="H564" s="37"/>
      <c r="I564" s="37"/>
      <c r="J564" s="38"/>
      <c r="K564" s="53"/>
    </row>
    <row r="565" spans="1:11" x14ac:dyDescent="0.25">
      <c r="A565" s="2"/>
      <c r="B565" s="28"/>
      <c r="C565" s="29"/>
      <c r="D565" s="30"/>
      <c r="E565" s="31"/>
      <c r="F565" s="32"/>
      <c r="G565" s="32"/>
      <c r="H565" s="32"/>
      <c r="I565" s="32"/>
      <c r="J565" s="38"/>
      <c r="K565" s="53"/>
    </row>
    <row r="566" spans="1:11" x14ac:dyDescent="0.25">
      <c r="A566" s="2"/>
      <c r="B566" s="28"/>
      <c r="C566" s="6"/>
      <c r="D566" s="33"/>
      <c r="E566" s="34"/>
      <c r="F566" s="37"/>
      <c r="G566" s="37"/>
      <c r="H566" s="37"/>
      <c r="I566" s="37"/>
      <c r="J566" s="38"/>
      <c r="K566" s="53"/>
    </row>
    <row r="567" spans="1:11" x14ac:dyDescent="0.25">
      <c r="A567" s="2"/>
      <c r="B567" s="28"/>
      <c r="C567" s="6"/>
      <c r="D567" s="33"/>
      <c r="E567" s="34"/>
      <c r="F567" s="37"/>
      <c r="G567" s="37"/>
      <c r="H567" s="37"/>
      <c r="I567" s="37"/>
      <c r="J567" s="38"/>
      <c r="K567" s="53"/>
    </row>
    <row r="568" spans="1:11" x14ac:dyDescent="0.25">
      <c r="A568" s="2"/>
      <c r="B568" s="28"/>
      <c r="C568" s="6"/>
      <c r="D568" s="33"/>
      <c r="E568" s="34"/>
      <c r="F568" s="37"/>
      <c r="G568" s="37"/>
      <c r="H568" s="37"/>
      <c r="I568" s="37"/>
      <c r="J568" s="38"/>
      <c r="K568" s="53"/>
    </row>
    <row r="569" spans="1:11" x14ac:dyDescent="0.25">
      <c r="A569" s="2"/>
      <c r="B569" s="28"/>
      <c r="C569" s="6"/>
      <c r="D569" s="33"/>
      <c r="E569" s="34"/>
      <c r="F569" s="37"/>
      <c r="G569" s="37"/>
      <c r="H569" s="37"/>
      <c r="I569" s="37"/>
      <c r="J569" s="38"/>
      <c r="K569" s="53"/>
    </row>
    <row r="570" spans="1:11" x14ac:dyDescent="0.25">
      <c r="A570" s="2"/>
      <c r="B570" s="28"/>
      <c r="C570" s="6"/>
      <c r="D570" s="33"/>
      <c r="E570" s="34"/>
      <c r="F570" s="37"/>
      <c r="G570" s="37"/>
      <c r="H570" s="37"/>
      <c r="I570" s="37"/>
      <c r="J570" s="38"/>
      <c r="K570" s="53"/>
    </row>
    <row r="571" spans="1:11" x14ac:dyDescent="0.25">
      <c r="A571" s="2"/>
      <c r="B571" s="28"/>
      <c r="C571" s="6"/>
      <c r="D571" s="33"/>
      <c r="E571" s="34"/>
      <c r="F571" s="37"/>
      <c r="G571" s="37"/>
      <c r="H571" s="37"/>
      <c r="I571" s="37"/>
      <c r="J571" s="38"/>
      <c r="K571" s="53"/>
    </row>
    <row r="572" spans="1:11" x14ac:dyDescent="0.25">
      <c r="A572" s="2"/>
      <c r="B572" s="28"/>
      <c r="C572" s="6"/>
      <c r="D572" s="33"/>
      <c r="E572" s="34"/>
      <c r="F572" s="37"/>
      <c r="G572" s="37"/>
      <c r="H572" s="37"/>
      <c r="I572" s="37"/>
      <c r="J572" s="38"/>
      <c r="K572" s="53"/>
    </row>
    <row r="573" spans="1:11" x14ac:dyDescent="0.25">
      <c r="A573" s="2"/>
      <c r="B573" s="28"/>
      <c r="C573" s="6"/>
      <c r="D573" s="33"/>
      <c r="E573" s="34"/>
      <c r="F573" s="37"/>
      <c r="G573" s="37"/>
      <c r="H573" s="37"/>
      <c r="I573" s="37"/>
      <c r="J573" s="38"/>
      <c r="K573" s="53"/>
    </row>
    <row r="574" spans="1:11" x14ac:dyDescent="0.25">
      <c r="A574" s="2"/>
      <c r="B574" s="28"/>
      <c r="C574" s="6"/>
      <c r="D574" s="33"/>
      <c r="E574" s="34"/>
      <c r="F574" s="37"/>
      <c r="G574" s="37"/>
      <c r="H574" s="37"/>
      <c r="I574" s="37"/>
      <c r="J574" s="38"/>
      <c r="K574" s="53"/>
    </row>
    <row r="575" spans="1:11" x14ac:dyDescent="0.25">
      <c r="A575" s="2"/>
      <c r="B575" s="28"/>
      <c r="C575" s="6"/>
      <c r="D575" s="33"/>
      <c r="E575" s="34"/>
      <c r="F575" s="37"/>
      <c r="G575" s="37"/>
      <c r="H575" s="32"/>
      <c r="I575" s="32"/>
      <c r="J575" s="38"/>
      <c r="K575" s="53"/>
    </row>
    <row r="576" spans="1:11" x14ac:dyDescent="0.25">
      <c r="A576" s="2"/>
      <c r="B576" s="28"/>
      <c r="C576" s="6"/>
      <c r="D576" s="33"/>
      <c r="E576" s="34"/>
      <c r="F576" s="37"/>
      <c r="G576" s="37"/>
      <c r="H576" s="37"/>
      <c r="I576" s="37"/>
      <c r="J576" s="38"/>
      <c r="K576" s="53"/>
    </row>
    <row r="577" spans="1:11" x14ac:dyDescent="0.25">
      <c r="A577" s="2"/>
      <c r="B577" s="28"/>
      <c r="C577" s="6"/>
      <c r="D577" s="33"/>
      <c r="E577" s="34"/>
      <c r="F577" s="37"/>
      <c r="G577" s="37"/>
      <c r="H577" s="37"/>
      <c r="I577" s="37"/>
      <c r="J577" s="38"/>
      <c r="K577" s="53"/>
    </row>
    <row r="578" spans="1:11" x14ac:dyDescent="0.25">
      <c r="A578" s="2"/>
      <c r="B578" s="28"/>
      <c r="C578" s="6"/>
      <c r="D578" s="33"/>
      <c r="E578" s="34"/>
      <c r="F578" s="37"/>
      <c r="G578" s="37"/>
      <c r="H578" s="37"/>
      <c r="I578" s="37"/>
      <c r="J578" s="38"/>
      <c r="K578" s="53"/>
    </row>
    <row r="579" spans="1:11" x14ac:dyDescent="0.25">
      <c r="A579" s="2"/>
      <c r="B579" s="28"/>
      <c r="C579" s="6"/>
      <c r="D579" s="33"/>
      <c r="E579" s="34"/>
      <c r="F579" s="37"/>
      <c r="G579" s="37"/>
      <c r="H579" s="37"/>
      <c r="I579" s="37"/>
      <c r="J579" s="38"/>
      <c r="K579" s="53"/>
    </row>
    <row r="580" spans="1:11" x14ac:dyDescent="0.25">
      <c r="A580" s="2"/>
      <c r="B580" s="28"/>
      <c r="C580" s="6"/>
      <c r="D580" s="33"/>
      <c r="E580" s="34"/>
      <c r="F580" s="37"/>
      <c r="G580" s="37"/>
      <c r="H580" s="37"/>
      <c r="I580" s="37"/>
      <c r="J580" s="38"/>
      <c r="K580" s="53"/>
    </row>
    <row r="581" spans="1:11" ht="16.5" thickBot="1" x14ac:dyDescent="0.3">
      <c r="A581" s="18"/>
      <c r="B581" s="39"/>
      <c r="C581" s="20"/>
      <c r="D581" s="40"/>
      <c r="E581" s="41"/>
      <c r="F581" s="42"/>
      <c r="G581" s="42"/>
      <c r="H581" s="42"/>
      <c r="I581" s="42"/>
      <c r="J581" s="43"/>
      <c r="K581" s="53"/>
    </row>
    <row r="582" spans="1:11" x14ac:dyDescent="0.25">
      <c r="A582" s="2"/>
      <c r="B582" s="28"/>
      <c r="C582" s="6"/>
      <c r="D582" s="33"/>
      <c r="E582" s="34"/>
      <c r="F582" s="37"/>
      <c r="G582" s="37"/>
      <c r="H582" s="37"/>
      <c r="I582" s="37"/>
      <c r="J582" s="38"/>
      <c r="K582" s="53"/>
    </row>
    <row r="583" spans="1:11" x14ac:dyDescent="0.25">
      <c r="A583" s="2"/>
      <c r="B583" s="28"/>
      <c r="C583" s="6"/>
      <c r="D583" s="33"/>
      <c r="E583" s="34"/>
      <c r="F583" s="37"/>
      <c r="G583" s="37"/>
      <c r="H583" s="37"/>
      <c r="I583" s="37"/>
      <c r="J583" s="38"/>
      <c r="K583" s="53"/>
    </row>
    <row r="584" spans="1:11" x14ac:dyDescent="0.25">
      <c r="A584" s="1"/>
      <c r="B584" s="1"/>
      <c r="C584" s="6"/>
      <c r="D584" s="33"/>
      <c r="E584" s="34"/>
      <c r="F584" s="5"/>
      <c r="G584" s="5"/>
      <c r="H584" s="5"/>
      <c r="I584" s="5"/>
      <c r="J584" s="44"/>
      <c r="K584" s="53"/>
    </row>
    <row r="585" spans="1:11" x14ac:dyDescent="0.25">
      <c r="A585" s="1"/>
      <c r="B585" s="1"/>
      <c r="C585" s="6"/>
      <c r="D585" s="33"/>
      <c r="E585" s="34"/>
      <c r="F585" s="5"/>
      <c r="G585" s="5"/>
      <c r="H585" s="5"/>
      <c r="I585" s="5"/>
      <c r="J585" s="44"/>
      <c r="K585" s="53"/>
    </row>
    <row r="586" spans="1:11" x14ac:dyDescent="0.25">
      <c r="A586" s="1"/>
      <c r="B586" s="1"/>
      <c r="C586" s="6"/>
      <c r="D586" s="33"/>
      <c r="E586" s="34"/>
      <c r="F586" s="11"/>
      <c r="G586" s="5"/>
      <c r="H586" s="5"/>
      <c r="I586" s="5"/>
      <c r="J586" s="45"/>
      <c r="K586" s="53"/>
    </row>
    <row r="587" spans="1:11" x14ac:dyDescent="0.25">
      <c r="A587" s="1"/>
      <c r="B587" s="1"/>
      <c r="C587" s="6"/>
      <c r="D587" s="33"/>
      <c r="E587" s="34"/>
      <c r="F587" s="11"/>
      <c r="G587" s="5"/>
      <c r="H587" s="5"/>
      <c r="I587" s="5"/>
      <c r="J587" s="45"/>
      <c r="K587" s="53"/>
    </row>
    <row r="588" spans="1:11" x14ac:dyDescent="0.25">
      <c r="A588" s="1"/>
      <c r="B588" s="1"/>
      <c r="C588" s="6"/>
      <c r="D588" s="33"/>
      <c r="E588" s="34"/>
      <c r="F588" s="5"/>
      <c r="G588" s="5"/>
      <c r="H588" s="5"/>
      <c r="I588" s="5"/>
      <c r="J588" s="44"/>
      <c r="K588" s="53"/>
    </row>
    <row r="589" spans="1:11" x14ac:dyDescent="0.25">
      <c r="A589" s="1"/>
      <c r="B589" s="1"/>
      <c r="C589" s="6"/>
      <c r="D589" s="33"/>
      <c r="E589" s="34"/>
      <c r="F589" s="11"/>
      <c r="G589" s="13"/>
      <c r="H589" s="5"/>
      <c r="I589" s="5"/>
      <c r="J589" s="45"/>
      <c r="K589" s="53"/>
    </row>
    <row r="590" spans="1:11" x14ac:dyDescent="0.25">
      <c r="A590" s="1"/>
      <c r="B590" s="1"/>
      <c r="C590" s="6"/>
      <c r="D590" s="33"/>
      <c r="E590" s="34"/>
      <c r="F590" s="11"/>
      <c r="G590" s="5"/>
      <c r="H590" s="5"/>
      <c r="I590" s="5"/>
      <c r="J590" s="45"/>
      <c r="K590" s="53"/>
    </row>
    <row r="591" spans="1:11" x14ac:dyDescent="0.25">
      <c r="A591" s="1"/>
      <c r="B591" s="1"/>
      <c r="C591" s="6"/>
      <c r="D591" s="33"/>
      <c r="E591" s="34"/>
      <c r="F591" s="11"/>
      <c r="G591" s="5"/>
      <c r="H591" s="5"/>
      <c r="I591" s="5"/>
      <c r="J591" s="45"/>
      <c r="K591" s="53"/>
    </row>
    <row r="592" spans="1:11" x14ac:dyDescent="0.25">
      <c r="A592" s="1"/>
      <c r="B592" s="1"/>
      <c r="C592" s="6"/>
      <c r="D592" s="33"/>
      <c r="E592" s="34"/>
      <c r="F592" s="11"/>
      <c r="G592" s="5"/>
      <c r="H592" s="5"/>
      <c r="I592" s="5"/>
      <c r="J592" s="45"/>
      <c r="K592" s="53"/>
    </row>
    <row r="593" spans="1:11" x14ac:dyDescent="0.25">
      <c r="A593" s="1"/>
      <c r="B593" s="1"/>
      <c r="C593" s="6"/>
      <c r="D593" s="33"/>
      <c r="E593" s="34"/>
      <c r="F593" s="11"/>
      <c r="G593" s="5"/>
      <c r="H593" s="5"/>
      <c r="I593" s="5"/>
      <c r="J593" s="45"/>
      <c r="K593" s="53"/>
    </row>
    <row r="594" spans="1:11" x14ac:dyDescent="0.25">
      <c r="A594" s="1"/>
      <c r="B594" s="1"/>
      <c r="C594" s="6"/>
      <c r="D594" s="33"/>
      <c r="E594" s="34"/>
      <c r="F594" s="11"/>
      <c r="G594" s="13"/>
      <c r="H594" s="14"/>
      <c r="I594" s="14"/>
      <c r="J594" s="45"/>
      <c r="K594" s="53"/>
    </row>
    <row r="595" spans="1:11" x14ac:dyDescent="0.25">
      <c r="A595" s="1"/>
      <c r="B595" s="1"/>
      <c r="C595" s="6"/>
      <c r="D595" s="33"/>
      <c r="E595" s="34"/>
      <c r="F595" s="11"/>
      <c r="G595" s="13"/>
      <c r="H595" s="14"/>
      <c r="I595" s="14"/>
      <c r="J595" s="45"/>
      <c r="K595" s="53"/>
    </row>
    <row r="596" spans="1:11" x14ac:dyDescent="0.25">
      <c r="A596" s="1"/>
      <c r="B596" s="1"/>
      <c r="C596" s="6"/>
      <c r="D596" s="33"/>
      <c r="E596" s="34"/>
      <c r="F596" s="11"/>
      <c r="G596" s="5"/>
      <c r="H596" s="5"/>
      <c r="I596" s="5"/>
      <c r="J596" s="45"/>
      <c r="K596" s="53"/>
    </row>
    <row r="597" spans="1:11" x14ac:dyDescent="0.25">
      <c r="A597" s="1"/>
      <c r="B597" s="1"/>
      <c r="C597" s="6"/>
      <c r="D597" s="33"/>
      <c r="E597" s="34"/>
      <c r="F597" s="11"/>
      <c r="G597" s="14"/>
      <c r="H597" s="5"/>
      <c r="I597" s="5"/>
      <c r="J597" s="45"/>
      <c r="K597" s="53"/>
    </row>
    <row r="598" spans="1:11" x14ac:dyDescent="0.25">
      <c r="A598" s="1"/>
      <c r="B598" s="1"/>
      <c r="C598" s="6"/>
      <c r="D598" s="33"/>
      <c r="E598" s="34"/>
      <c r="F598" s="11"/>
      <c r="G598" s="5"/>
      <c r="H598" s="5"/>
      <c r="I598" s="5"/>
      <c r="J598" s="45"/>
      <c r="K598" s="53"/>
    </row>
    <row r="599" spans="1:11" x14ac:dyDescent="0.25">
      <c r="A599" s="1"/>
      <c r="B599" s="1"/>
      <c r="C599" s="6"/>
      <c r="D599" s="33"/>
      <c r="E599" s="34"/>
      <c r="F599" s="11"/>
      <c r="G599" s="5"/>
      <c r="H599" s="5"/>
      <c r="I599" s="5"/>
      <c r="J599" s="45"/>
      <c r="K599" s="53"/>
    </row>
    <row r="600" spans="1:11" x14ac:dyDescent="0.25">
      <c r="A600" s="1"/>
      <c r="B600" s="1"/>
      <c r="C600" s="6"/>
      <c r="D600" s="33"/>
      <c r="E600" s="34"/>
      <c r="F600" s="11"/>
      <c r="G600" s="14"/>
      <c r="H600" s="14"/>
      <c r="I600" s="14"/>
      <c r="J600" s="45"/>
      <c r="K600" s="53"/>
    </row>
    <row r="601" spans="1:11" x14ac:dyDescent="0.25">
      <c r="A601" s="1"/>
      <c r="B601" s="1"/>
      <c r="C601" s="6"/>
      <c r="D601" s="33"/>
      <c r="E601" s="34"/>
      <c r="F601" s="11"/>
      <c r="G601" s="13"/>
      <c r="H601" s="14"/>
      <c r="I601" s="14"/>
      <c r="J601" s="45"/>
      <c r="K601" s="53"/>
    </row>
    <row r="602" spans="1:11" x14ac:dyDescent="0.25">
      <c r="A602" s="1"/>
      <c r="B602" s="1"/>
      <c r="C602" s="6"/>
      <c r="D602" s="33"/>
      <c r="E602" s="34"/>
      <c r="F602" s="11"/>
      <c r="G602" s="5"/>
      <c r="H602" s="5"/>
      <c r="I602" s="5"/>
      <c r="J602" s="45"/>
      <c r="K602" s="53"/>
    </row>
    <row r="603" spans="1:11" x14ac:dyDescent="0.25">
      <c r="A603" s="1"/>
      <c r="B603" s="1"/>
      <c r="C603" s="6"/>
      <c r="D603" s="33"/>
      <c r="E603" s="34"/>
      <c r="F603" s="11"/>
      <c r="G603" s="46"/>
      <c r="H603" s="14"/>
      <c r="I603" s="14"/>
      <c r="J603" s="45"/>
      <c r="K603" s="53"/>
    </row>
    <row r="604" spans="1:11" x14ac:dyDescent="0.25">
      <c r="A604" s="1"/>
      <c r="B604" s="1"/>
      <c r="C604" s="6"/>
      <c r="D604" s="33"/>
      <c r="E604" s="34"/>
      <c r="F604" s="11"/>
      <c r="G604" s="47"/>
      <c r="H604" s="47"/>
      <c r="I604" s="47"/>
      <c r="J604" s="48"/>
      <c r="K604" s="53"/>
    </row>
    <row r="605" spans="1:11" x14ac:dyDescent="0.25">
      <c r="A605" s="1"/>
      <c r="B605" s="1"/>
      <c r="C605" s="6"/>
      <c r="D605" s="33"/>
      <c r="E605" s="34"/>
      <c r="F605" s="11"/>
      <c r="G605" s="5"/>
      <c r="H605" s="5"/>
      <c r="I605" s="5"/>
      <c r="J605" s="45"/>
      <c r="K605" s="53"/>
    </row>
    <row r="606" spans="1:11" x14ac:dyDescent="0.25">
      <c r="A606" s="1"/>
      <c r="B606" s="1"/>
      <c r="C606" s="6"/>
      <c r="D606" s="33"/>
      <c r="E606" s="34"/>
      <c r="F606" s="11"/>
      <c r="G606" s="14"/>
      <c r="H606" s="14"/>
      <c r="I606" s="14"/>
      <c r="J606" s="45"/>
      <c r="K606" s="53"/>
    </row>
    <row r="607" spans="1:11" x14ac:dyDescent="0.25">
      <c r="A607" s="1"/>
      <c r="B607" s="1"/>
      <c r="C607" s="6"/>
      <c r="D607" s="33"/>
      <c r="E607" s="34"/>
      <c r="F607" s="11"/>
      <c r="G607" s="5"/>
      <c r="H607" s="5"/>
      <c r="I607" s="5"/>
      <c r="J607" s="45"/>
      <c r="K607" s="53"/>
    </row>
    <row r="608" spans="1:11" x14ac:dyDescent="0.25">
      <c r="A608" s="1"/>
      <c r="B608" s="1"/>
      <c r="C608" s="6"/>
      <c r="D608" s="33"/>
      <c r="E608" s="34"/>
      <c r="F608" s="11"/>
      <c r="G608" s="5"/>
      <c r="H608" s="5"/>
      <c r="I608" s="5"/>
      <c r="J608" s="45"/>
      <c r="K608" s="53"/>
    </row>
    <row r="609" spans="1:11" x14ac:dyDescent="0.25">
      <c r="A609" s="1"/>
      <c r="B609" s="1"/>
      <c r="C609" s="6"/>
      <c r="D609" s="33"/>
      <c r="E609" s="34"/>
      <c r="F609" s="11"/>
      <c r="G609" s="14"/>
      <c r="H609" s="14"/>
      <c r="I609" s="14"/>
      <c r="J609" s="45"/>
      <c r="K609" s="53"/>
    </row>
    <row r="610" spans="1:11" x14ac:dyDescent="0.25">
      <c r="A610" s="1"/>
      <c r="B610" s="1"/>
      <c r="C610" s="6"/>
      <c r="D610" s="33"/>
      <c r="E610" s="34"/>
      <c r="F610" s="11"/>
      <c r="G610" s="14"/>
      <c r="H610" s="14"/>
      <c r="I610" s="14"/>
      <c r="J610" s="45"/>
      <c r="K610" s="53"/>
    </row>
    <row r="611" spans="1:11" x14ac:dyDescent="0.25">
      <c r="A611" s="1"/>
      <c r="B611" s="1"/>
      <c r="C611" s="6"/>
      <c r="D611" s="33"/>
      <c r="E611" s="34"/>
      <c r="F611" s="11"/>
      <c r="G611" s="5"/>
      <c r="H611" s="5"/>
      <c r="I611" s="5"/>
      <c r="J611" s="45"/>
      <c r="K611" s="53"/>
    </row>
    <row r="612" spans="1:11" x14ac:dyDescent="0.25">
      <c r="A612" s="1"/>
      <c r="B612" s="1"/>
      <c r="C612" s="6"/>
      <c r="D612" s="33"/>
      <c r="E612" s="34"/>
      <c r="F612" s="11"/>
      <c r="G612" s="5"/>
      <c r="H612" s="5"/>
      <c r="I612" s="5"/>
      <c r="J612" s="45"/>
      <c r="K612" s="53"/>
    </row>
    <row r="613" spans="1:11" x14ac:dyDescent="0.25">
      <c r="A613" s="1"/>
      <c r="B613" s="1"/>
      <c r="C613" s="6"/>
      <c r="D613" s="33"/>
      <c r="E613" s="34"/>
      <c r="F613" s="11"/>
      <c r="G613" s="14"/>
      <c r="H613" s="14"/>
      <c r="I613" s="14"/>
      <c r="J613" s="45"/>
      <c r="K613" s="53"/>
    </row>
    <row r="614" spans="1:11" x14ac:dyDescent="0.25">
      <c r="A614" s="1"/>
      <c r="B614" s="1"/>
      <c r="C614" s="6"/>
      <c r="D614" s="33"/>
      <c r="E614" s="34"/>
      <c r="F614" s="11"/>
      <c r="G614" s="5"/>
      <c r="H614" s="5"/>
      <c r="I614" s="5"/>
      <c r="J614" s="45"/>
      <c r="K614" s="53"/>
    </row>
    <row r="615" spans="1:11" x14ac:dyDescent="0.25">
      <c r="A615" s="1"/>
      <c r="B615" s="1"/>
      <c r="C615" s="6"/>
      <c r="D615" s="33"/>
      <c r="E615" s="34"/>
      <c r="F615" s="11"/>
      <c r="G615" s="5"/>
      <c r="H615" s="5"/>
      <c r="I615" s="5"/>
      <c r="J615" s="45"/>
      <c r="K615" s="53"/>
    </row>
    <row r="616" spans="1:11" x14ac:dyDescent="0.25">
      <c r="A616" s="1"/>
      <c r="B616" s="1"/>
      <c r="C616" s="6"/>
      <c r="D616" s="33"/>
      <c r="E616" s="34"/>
      <c r="F616" s="11"/>
      <c r="G616" s="14"/>
      <c r="H616" s="14"/>
      <c r="I616" s="14"/>
      <c r="J616" s="45"/>
      <c r="K616" s="53"/>
    </row>
    <row r="617" spans="1:11" x14ac:dyDescent="0.25">
      <c r="A617" s="1"/>
      <c r="B617" s="1"/>
      <c r="C617" s="6"/>
      <c r="D617" s="33"/>
      <c r="E617" s="34"/>
      <c r="F617" s="11"/>
      <c r="G617" s="14"/>
      <c r="H617" s="14"/>
      <c r="I617" s="14"/>
      <c r="J617" s="45"/>
      <c r="K617" s="53"/>
    </row>
    <row r="618" spans="1:11" x14ac:dyDescent="0.25">
      <c r="A618" s="1"/>
      <c r="B618" s="1"/>
      <c r="C618" s="6"/>
      <c r="D618" s="33"/>
      <c r="E618" s="34"/>
      <c r="F618" s="11"/>
      <c r="G618" s="5"/>
      <c r="H618" s="5"/>
      <c r="I618" s="5"/>
      <c r="J618" s="45"/>
      <c r="K618" s="53"/>
    </row>
    <row r="619" spans="1:11" x14ac:dyDescent="0.25">
      <c r="A619" s="1"/>
      <c r="B619" s="1"/>
      <c r="C619" s="6"/>
      <c r="D619" s="33"/>
      <c r="E619" s="34"/>
      <c r="F619" s="11"/>
      <c r="G619" s="5"/>
      <c r="H619" s="5"/>
      <c r="I619" s="5"/>
      <c r="J619" s="45"/>
      <c r="K619" s="53"/>
    </row>
    <row r="620" spans="1:11" x14ac:dyDescent="0.25">
      <c r="A620" s="1"/>
      <c r="B620" s="1"/>
      <c r="C620" s="6"/>
      <c r="D620" s="33"/>
      <c r="E620" s="34"/>
      <c r="F620" s="11"/>
      <c r="G620" s="14"/>
      <c r="H620" s="14"/>
      <c r="I620" s="14"/>
      <c r="J620" s="45"/>
      <c r="K620" s="53"/>
    </row>
    <row r="621" spans="1:11" x14ac:dyDescent="0.25">
      <c r="A621" s="1"/>
      <c r="B621" s="1"/>
      <c r="C621" s="6"/>
      <c r="D621" s="33"/>
      <c r="E621" s="34"/>
      <c r="F621" s="11"/>
      <c r="G621" s="14"/>
      <c r="H621" s="14"/>
      <c r="I621" s="14"/>
      <c r="J621" s="45"/>
      <c r="K621" s="53"/>
    </row>
    <row r="622" spans="1:11" x14ac:dyDescent="0.25">
      <c r="A622" s="1"/>
      <c r="B622" s="1"/>
      <c r="C622" s="6"/>
      <c r="D622" s="33"/>
      <c r="E622" s="34"/>
      <c r="F622" s="11"/>
      <c r="G622" s="5"/>
      <c r="H622" s="5"/>
      <c r="I622" s="5"/>
      <c r="J622" s="45"/>
      <c r="K622" s="53"/>
    </row>
    <row r="623" spans="1:11" x14ac:dyDescent="0.25">
      <c r="A623" s="1"/>
      <c r="B623" s="1"/>
      <c r="C623" s="6"/>
      <c r="D623" s="33"/>
      <c r="E623" s="34"/>
      <c r="F623" s="11"/>
      <c r="G623" s="14"/>
      <c r="H623" s="14"/>
      <c r="I623" s="14"/>
      <c r="J623" s="45"/>
      <c r="K623" s="53"/>
    </row>
    <row r="624" spans="1:11" x14ac:dyDescent="0.25">
      <c r="A624" s="1"/>
      <c r="B624" s="1"/>
      <c r="C624" s="6"/>
      <c r="D624" s="33"/>
      <c r="E624" s="34"/>
      <c r="F624" s="11"/>
      <c r="G624" s="5"/>
      <c r="H624" s="5"/>
      <c r="I624" s="5"/>
      <c r="J624" s="45"/>
      <c r="K624" s="53"/>
    </row>
    <row r="625" spans="1:11" x14ac:dyDescent="0.25">
      <c r="A625" s="1"/>
      <c r="B625" s="1"/>
      <c r="C625" s="6"/>
      <c r="D625" s="33"/>
      <c r="E625" s="34"/>
      <c r="F625" s="11"/>
      <c r="G625" s="5"/>
      <c r="H625" s="5"/>
      <c r="I625" s="5"/>
      <c r="J625" s="45"/>
      <c r="K625" s="53"/>
    </row>
    <row r="626" spans="1:11" x14ac:dyDescent="0.25">
      <c r="A626" s="1"/>
      <c r="B626" s="1"/>
      <c r="C626" s="6"/>
      <c r="D626" s="33"/>
      <c r="E626" s="34"/>
      <c r="F626" s="11"/>
      <c r="G626" s="14"/>
      <c r="H626" s="14"/>
      <c r="I626" s="5"/>
      <c r="J626" s="45"/>
      <c r="K626" s="53"/>
    </row>
    <row r="627" spans="1:11" x14ac:dyDescent="0.25">
      <c r="A627" s="1"/>
      <c r="B627" s="1"/>
      <c r="C627" s="6"/>
      <c r="D627" s="33"/>
      <c r="E627" s="34"/>
      <c r="F627" s="11"/>
      <c r="G627" s="14"/>
      <c r="H627" s="14"/>
      <c r="I627" s="14"/>
      <c r="J627" s="45"/>
      <c r="K627" s="53"/>
    </row>
    <row r="628" spans="1:11" x14ac:dyDescent="0.25">
      <c r="A628" s="1"/>
      <c r="B628" s="1"/>
      <c r="C628" s="6"/>
      <c r="D628" s="33"/>
      <c r="E628" s="34"/>
      <c r="F628" s="11"/>
      <c r="G628" s="14"/>
      <c r="H628" s="14"/>
      <c r="I628" s="14"/>
      <c r="J628" s="45"/>
      <c r="K628" s="53"/>
    </row>
    <row r="629" spans="1:11" x14ac:dyDescent="0.25">
      <c r="A629" s="1"/>
      <c r="B629" s="1"/>
      <c r="C629" s="6"/>
      <c r="D629" s="33"/>
      <c r="E629" s="34"/>
      <c r="F629" s="11"/>
      <c r="G629" s="14"/>
      <c r="H629" s="14"/>
      <c r="I629" s="14"/>
      <c r="J629" s="45"/>
      <c r="K629" s="53"/>
    </row>
    <row r="630" spans="1:11" x14ac:dyDescent="0.25">
      <c r="A630" s="1"/>
      <c r="B630" s="1"/>
      <c r="C630" s="6"/>
      <c r="D630" s="33"/>
      <c r="E630" s="34"/>
      <c r="F630" s="11"/>
      <c r="G630" s="5"/>
      <c r="H630" s="5"/>
      <c r="I630" s="5"/>
      <c r="J630" s="45"/>
      <c r="K630" s="53"/>
    </row>
    <row r="631" spans="1:11" x14ac:dyDescent="0.25">
      <c r="A631" s="1"/>
      <c r="B631" s="1"/>
      <c r="C631" s="6"/>
      <c r="D631" s="33"/>
      <c r="E631" s="34"/>
      <c r="F631" s="11"/>
      <c r="G631" s="14"/>
      <c r="H631" s="14"/>
      <c r="I631" s="14"/>
      <c r="J631" s="45"/>
      <c r="K631" s="53"/>
    </row>
    <row r="632" spans="1:11" x14ac:dyDescent="0.25">
      <c r="A632" s="1"/>
      <c r="B632" s="1"/>
      <c r="C632" s="6"/>
      <c r="D632" s="33"/>
      <c r="E632" s="34"/>
      <c r="F632" s="11"/>
      <c r="G632" s="14"/>
      <c r="H632" s="14"/>
      <c r="I632" s="14"/>
      <c r="J632" s="45"/>
      <c r="K632" s="53"/>
    </row>
    <row r="633" spans="1:11" x14ac:dyDescent="0.25">
      <c r="A633" s="1"/>
      <c r="B633" s="1"/>
      <c r="C633" s="6"/>
      <c r="D633" s="33"/>
      <c r="E633" s="34"/>
      <c r="F633" s="11"/>
      <c r="G633" s="5"/>
      <c r="H633" s="5"/>
      <c r="I633" s="5"/>
      <c r="J633" s="45"/>
      <c r="K633" s="53"/>
    </row>
    <row r="634" spans="1:11" x14ac:dyDescent="0.25">
      <c r="A634" s="1"/>
      <c r="B634" s="1"/>
      <c r="C634" s="6"/>
      <c r="D634" s="33"/>
      <c r="E634" s="34"/>
      <c r="F634" s="11"/>
      <c r="G634" s="5"/>
      <c r="H634" s="5"/>
      <c r="I634" s="5"/>
      <c r="J634" s="45"/>
      <c r="K634" s="53"/>
    </row>
    <row r="635" spans="1:11" x14ac:dyDescent="0.25">
      <c r="A635" s="1"/>
      <c r="B635" s="1"/>
      <c r="C635" s="6"/>
      <c r="D635" s="33"/>
      <c r="E635" s="34"/>
      <c r="F635" s="11"/>
      <c r="G635" s="14"/>
      <c r="H635" s="5"/>
      <c r="I635" s="5"/>
      <c r="J635" s="45"/>
      <c r="K635" s="53"/>
    </row>
    <row r="636" spans="1:11" x14ac:dyDescent="0.25">
      <c r="A636" s="1"/>
      <c r="B636" s="1"/>
      <c r="C636" s="6"/>
      <c r="D636" s="33"/>
      <c r="E636" s="34"/>
      <c r="F636" s="11"/>
      <c r="G636" s="5"/>
      <c r="H636" s="5"/>
      <c r="I636" s="5"/>
      <c r="J636" s="45"/>
      <c r="K636" s="53"/>
    </row>
    <row r="637" spans="1:11" x14ac:dyDescent="0.25">
      <c r="A637" s="1"/>
      <c r="B637" s="1"/>
      <c r="C637" s="6"/>
      <c r="D637" s="33"/>
      <c r="E637" s="34"/>
      <c r="F637" s="11"/>
      <c r="G637" s="5"/>
      <c r="H637" s="5"/>
      <c r="I637" s="5"/>
      <c r="J637" s="45"/>
      <c r="K637" s="53"/>
    </row>
    <row r="638" spans="1:11" x14ac:dyDescent="0.25">
      <c r="A638" s="1"/>
      <c r="B638" s="1"/>
      <c r="C638" s="6"/>
      <c r="D638" s="33"/>
      <c r="E638" s="34"/>
      <c r="F638" s="11"/>
      <c r="G638" s="5"/>
      <c r="H638" s="5"/>
      <c r="I638" s="5"/>
      <c r="J638" s="45"/>
      <c r="K638" s="53"/>
    </row>
    <row r="639" spans="1:11" x14ac:dyDescent="0.25">
      <c r="A639" s="1"/>
      <c r="B639" s="1"/>
      <c r="C639" s="6"/>
      <c r="D639" s="33"/>
      <c r="E639" s="34"/>
      <c r="F639" s="11"/>
      <c r="G639" s="5"/>
      <c r="H639" s="5"/>
      <c r="I639" s="5"/>
      <c r="J639" s="45"/>
      <c r="K639" s="53"/>
    </row>
    <row r="640" spans="1:11" x14ac:dyDescent="0.25">
      <c r="A640" s="1"/>
      <c r="B640" s="1"/>
      <c r="C640" s="6"/>
      <c r="D640" s="33"/>
      <c r="E640" s="34"/>
      <c r="F640" s="11"/>
      <c r="G640" s="5"/>
      <c r="H640" s="5"/>
      <c r="I640" s="5"/>
      <c r="J640" s="45"/>
      <c r="K640" s="53"/>
    </row>
    <row r="641" spans="1:11" x14ac:dyDescent="0.25">
      <c r="A641" s="28"/>
      <c r="B641" s="1"/>
      <c r="C641" s="6"/>
      <c r="D641" s="33"/>
      <c r="E641" s="34"/>
      <c r="F641" s="11"/>
      <c r="G641" s="5"/>
      <c r="H641" s="5"/>
      <c r="I641" s="5"/>
      <c r="J641" s="45"/>
      <c r="K641" s="53"/>
    </row>
    <row r="642" spans="1:11" x14ac:dyDescent="0.25">
      <c r="A642" s="28"/>
      <c r="B642" s="1"/>
      <c r="C642" s="6"/>
      <c r="D642" s="33"/>
      <c r="E642" s="34"/>
      <c r="F642" s="11"/>
      <c r="G642" s="14"/>
      <c r="H642" s="14"/>
      <c r="I642" s="14"/>
      <c r="J642" s="45"/>
      <c r="K642" s="53"/>
    </row>
    <row r="643" spans="1:11" x14ac:dyDescent="0.25">
      <c r="A643" s="28"/>
      <c r="B643" s="1"/>
      <c r="C643" s="6"/>
      <c r="D643" s="33"/>
      <c r="E643" s="34"/>
      <c r="F643" s="11"/>
      <c r="G643" s="5"/>
      <c r="H643" s="5"/>
      <c r="I643" s="5"/>
      <c r="J643" s="45"/>
      <c r="K643" s="53"/>
    </row>
    <row r="644" spans="1:11" x14ac:dyDescent="0.25">
      <c r="A644" s="28"/>
      <c r="B644" s="1"/>
      <c r="C644" s="6"/>
      <c r="D644" s="33"/>
      <c r="E644" s="34"/>
      <c r="F644" s="11"/>
      <c r="G644" s="5"/>
      <c r="H644" s="5"/>
      <c r="I644" s="5"/>
      <c r="J644" s="45"/>
      <c r="K644" s="53"/>
    </row>
    <row r="645" spans="1:11" x14ac:dyDescent="0.25">
      <c r="A645" s="28"/>
      <c r="B645" s="1"/>
      <c r="C645" s="6"/>
      <c r="D645" s="33"/>
      <c r="E645" s="34"/>
      <c r="F645" s="11"/>
      <c r="G645" s="5"/>
      <c r="H645" s="5"/>
      <c r="I645" s="5"/>
      <c r="J645" s="45"/>
      <c r="K645" s="53"/>
    </row>
    <row r="646" spans="1:11" x14ac:dyDescent="0.25">
      <c r="A646" s="28"/>
      <c r="B646" s="1"/>
      <c r="C646" s="6"/>
      <c r="D646" s="33"/>
      <c r="E646" s="34"/>
      <c r="F646" s="11"/>
      <c r="G646" s="5"/>
      <c r="H646" s="5"/>
      <c r="I646" s="5"/>
      <c r="J646" s="45"/>
      <c r="K646" s="53"/>
    </row>
    <row r="647" spans="1:11" x14ac:dyDescent="0.25">
      <c r="A647" s="28"/>
      <c r="B647" s="1"/>
      <c r="C647" s="6"/>
      <c r="D647" s="33"/>
      <c r="E647" s="34"/>
      <c r="F647" s="11"/>
      <c r="G647" s="5"/>
      <c r="H647" s="5"/>
      <c r="I647" s="5"/>
      <c r="J647" s="45"/>
      <c r="K647" s="53"/>
    </row>
    <row r="648" spans="1:11" x14ac:dyDescent="0.25">
      <c r="A648" s="28"/>
      <c r="B648" s="1"/>
      <c r="C648" s="6"/>
      <c r="D648" s="33"/>
      <c r="E648" s="34"/>
      <c r="F648" s="11"/>
      <c r="G648" s="14"/>
      <c r="H648" s="14"/>
      <c r="I648" s="14"/>
      <c r="J648" s="45"/>
      <c r="K648" s="53"/>
    </row>
    <row r="649" spans="1:11" x14ac:dyDescent="0.25">
      <c r="A649" s="28"/>
      <c r="B649" s="1"/>
      <c r="C649" s="6"/>
      <c r="D649" s="33"/>
      <c r="E649" s="34"/>
      <c r="F649" s="11"/>
      <c r="G649" s="14"/>
      <c r="H649" s="14"/>
      <c r="I649" s="5"/>
      <c r="J649" s="45"/>
      <c r="K649" s="53"/>
    </row>
    <row r="650" spans="1:11" x14ac:dyDescent="0.25">
      <c r="A650" s="28"/>
      <c r="B650" s="1"/>
      <c r="C650" s="6"/>
      <c r="D650" s="33"/>
      <c r="E650" s="34"/>
      <c r="F650" s="11"/>
      <c r="G650" s="14"/>
      <c r="H650" s="14"/>
      <c r="I650" s="14"/>
      <c r="J650" s="45"/>
      <c r="K650" s="53"/>
    </row>
    <row r="651" spans="1:11" x14ac:dyDescent="0.25">
      <c r="A651" s="28"/>
      <c r="B651" s="1"/>
      <c r="C651" s="6"/>
      <c r="D651" s="33"/>
      <c r="E651" s="34"/>
      <c r="F651" s="11"/>
      <c r="G651" s="14"/>
      <c r="H651" s="14"/>
      <c r="I651" s="14"/>
      <c r="J651" s="45"/>
      <c r="K651" s="53"/>
    </row>
    <row r="652" spans="1:11" x14ac:dyDescent="0.25">
      <c r="A652" s="28"/>
      <c r="B652" s="1"/>
      <c r="C652" s="6"/>
      <c r="D652" s="33"/>
      <c r="E652" s="34"/>
      <c r="F652" s="11"/>
      <c r="G652" s="14"/>
      <c r="H652" s="14"/>
      <c r="I652" s="14"/>
      <c r="J652" s="45"/>
      <c r="K652" s="53"/>
    </row>
    <row r="653" spans="1:11" x14ac:dyDescent="0.25">
      <c r="A653" s="28"/>
      <c r="B653" s="1"/>
      <c r="C653" s="6"/>
      <c r="D653" s="33"/>
      <c r="E653" s="34"/>
      <c r="F653" s="11"/>
      <c r="G653" s="5"/>
      <c r="H653" s="5"/>
      <c r="I653" s="5"/>
      <c r="J653" s="45"/>
      <c r="K653" s="53"/>
    </row>
    <row r="654" spans="1:11" x14ac:dyDescent="0.25">
      <c r="A654" s="28"/>
      <c r="B654" s="1"/>
      <c r="C654" s="6"/>
      <c r="D654" s="33"/>
      <c r="E654" s="34"/>
      <c r="F654" s="11"/>
      <c r="G654" s="14"/>
      <c r="H654" s="14"/>
      <c r="I654" s="14"/>
      <c r="J654" s="45"/>
      <c r="K654" s="53"/>
    </row>
    <row r="655" spans="1:11" x14ac:dyDescent="0.25">
      <c r="A655" s="28"/>
      <c r="B655" s="1"/>
      <c r="C655" s="6"/>
      <c r="D655" s="33"/>
      <c r="E655" s="34"/>
      <c r="F655" s="11"/>
      <c r="G655" s="5"/>
      <c r="H655" s="5"/>
      <c r="I655" s="5"/>
      <c r="J655" s="45"/>
      <c r="K655" s="53"/>
    </row>
    <row r="656" spans="1:11" x14ac:dyDescent="0.25">
      <c r="A656" s="28"/>
      <c r="B656" s="1"/>
      <c r="C656" s="6"/>
      <c r="D656" s="33"/>
      <c r="E656" s="34"/>
      <c r="F656" s="11"/>
      <c r="G656" s="14"/>
      <c r="H656" s="14"/>
      <c r="I656" s="14"/>
      <c r="J656" s="45"/>
      <c r="K656" s="53"/>
    </row>
    <row r="657" spans="1:11" x14ac:dyDescent="0.25">
      <c r="A657" s="28"/>
      <c r="B657" s="1"/>
      <c r="C657" s="6"/>
      <c r="D657" s="33"/>
      <c r="E657" s="34"/>
      <c r="F657" s="11"/>
      <c r="G657" s="5"/>
      <c r="H657" s="5"/>
      <c r="I657" s="5"/>
      <c r="J657" s="45"/>
      <c r="K657" s="53"/>
    </row>
    <row r="658" spans="1:11" x14ac:dyDescent="0.25">
      <c r="A658" s="28"/>
      <c r="B658" s="1"/>
      <c r="C658" s="6"/>
      <c r="D658" s="33"/>
      <c r="E658" s="34"/>
      <c r="F658" s="11"/>
      <c r="G658" s="11"/>
      <c r="H658" s="11"/>
      <c r="I658" s="11"/>
      <c r="J658" s="45"/>
      <c r="K658" s="53"/>
    </row>
    <row r="659" spans="1:11" x14ac:dyDescent="0.25">
      <c r="A659" s="28"/>
      <c r="B659" s="1"/>
      <c r="C659" s="6"/>
      <c r="D659" s="33"/>
      <c r="E659" s="34"/>
      <c r="F659" s="11"/>
      <c r="G659" s="14"/>
      <c r="H659" s="14"/>
      <c r="I659" s="14"/>
      <c r="J659" s="45"/>
      <c r="K659" s="53"/>
    </row>
    <row r="660" spans="1:11" x14ac:dyDescent="0.25">
      <c r="A660" s="28"/>
      <c r="B660" s="1"/>
      <c r="C660" s="6"/>
      <c r="D660" s="33"/>
      <c r="E660" s="34"/>
      <c r="F660" s="11"/>
      <c r="G660" s="14"/>
      <c r="H660" s="14"/>
      <c r="I660" s="14"/>
      <c r="J660" s="45"/>
      <c r="K660" s="53"/>
    </row>
    <row r="661" spans="1:11" x14ac:dyDescent="0.25">
      <c r="A661" s="28"/>
      <c r="B661" s="1"/>
      <c r="C661" s="6"/>
      <c r="D661" s="33"/>
      <c r="E661" s="34"/>
      <c r="F661" s="11"/>
      <c r="G661" s="5"/>
      <c r="H661" s="5"/>
      <c r="I661" s="5"/>
      <c r="J661" s="45"/>
      <c r="K661" s="53"/>
    </row>
    <row r="662" spans="1:11" x14ac:dyDescent="0.25">
      <c r="A662" s="28"/>
      <c r="B662" s="1"/>
      <c r="C662" s="6"/>
      <c r="D662" s="33"/>
      <c r="E662" s="34"/>
      <c r="F662" s="11"/>
      <c r="G662" s="14"/>
      <c r="H662" s="14"/>
      <c r="I662" s="14"/>
      <c r="J662" s="45"/>
      <c r="K662" s="53"/>
    </row>
    <row r="663" spans="1:11" x14ac:dyDescent="0.25">
      <c r="A663" s="28"/>
      <c r="B663" s="1"/>
      <c r="C663" s="6"/>
      <c r="D663" s="33"/>
      <c r="E663" s="34"/>
      <c r="F663" s="11"/>
      <c r="G663" s="5"/>
      <c r="H663" s="5"/>
      <c r="I663" s="5"/>
      <c r="J663" s="45"/>
      <c r="K663" s="53"/>
    </row>
    <row r="664" spans="1:11" x14ac:dyDescent="0.25">
      <c r="A664" s="28"/>
      <c r="B664" s="1"/>
      <c r="C664" s="6"/>
      <c r="D664" s="33"/>
      <c r="E664" s="34"/>
      <c r="F664" s="11"/>
      <c r="G664" s="14"/>
      <c r="H664" s="5"/>
      <c r="I664" s="5"/>
      <c r="J664" s="45"/>
      <c r="K664" s="53"/>
    </row>
    <row r="665" spans="1:11" x14ac:dyDescent="0.25">
      <c r="A665" s="28"/>
      <c r="B665" s="1"/>
      <c r="C665" s="6"/>
      <c r="D665" s="33"/>
      <c r="E665" s="34"/>
      <c r="F665" s="11"/>
      <c r="G665" s="5"/>
      <c r="H665" s="5"/>
      <c r="I665" s="5"/>
      <c r="J665" s="45"/>
      <c r="K665" s="53"/>
    </row>
    <row r="666" spans="1:11" x14ac:dyDescent="0.25">
      <c r="A666" s="28"/>
      <c r="B666" s="1"/>
      <c r="C666" s="6"/>
      <c r="D666" s="33"/>
      <c r="E666" s="34"/>
      <c r="F666" s="11"/>
      <c r="G666" s="14"/>
      <c r="H666" s="14"/>
      <c r="I666" s="14"/>
      <c r="J666" s="45"/>
      <c r="K666" s="53"/>
    </row>
    <row r="667" spans="1:11" x14ac:dyDescent="0.25">
      <c r="A667" s="28"/>
      <c r="B667" s="1"/>
      <c r="C667" s="6"/>
      <c r="D667" s="33"/>
      <c r="E667" s="34"/>
      <c r="F667" s="11"/>
      <c r="G667" s="14"/>
      <c r="H667" s="5"/>
      <c r="I667" s="5"/>
      <c r="J667" s="45"/>
      <c r="K667" s="53"/>
    </row>
    <row r="668" spans="1:11" x14ac:dyDescent="0.25">
      <c r="A668" s="28"/>
      <c r="B668" s="1"/>
      <c r="C668" s="6"/>
      <c r="D668" s="33"/>
      <c r="E668" s="34"/>
      <c r="F668" s="11"/>
      <c r="G668" s="5"/>
      <c r="H668" s="5"/>
      <c r="I668" s="5"/>
      <c r="J668" s="45"/>
      <c r="K668" s="53"/>
    </row>
    <row r="669" spans="1:11" x14ac:dyDescent="0.25">
      <c r="A669" s="28"/>
      <c r="B669" s="1"/>
      <c r="C669" s="6"/>
      <c r="D669" s="33"/>
      <c r="E669" s="34"/>
      <c r="F669" s="11"/>
      <c r="G669" s="14"/>
      <c r="H669" s="14"/>
      <c r="I669" s="14"/>
      <c r="J669" s="45"/>
      <c r="K669" s="53"/>
    </row>
    <row r="670" spans="1:11" x14ac:dyDescent="0.25">
      <c r="A670" s="28"/>
      <c r="B670" s="1"/>
      <c r="C670" s="6"/>
      <c r="D670" s="33"/>
      <c r="E670" s="34"/>
      <c r="F670" s="11"/>
      <c r="G670" s="5"/>
      <c r="H670" s="5"/>
      <c r="I670" s="5"/>
      <c r="J670" s="45"/>
      <c r="K670" s="53"/>
    </row>
    <row r="671" spans="1:11" x14ac:dyDescent="0.25">
      <c r="A671" s="28"/>
      <c r="B671" s="1"/>
      <c r="C671" s="6"/>
      <c r="D671" s="33"/>
      <c r="E671" s="34"/>
      <c r="F671" s="11"/>
      <c r="G671" s="5"/>
      <c r="H671" s="5"/>
      <c r="I671" s="5"/>
      <c r="J671" s="45"/>
      <c r="K671" s="53"/>
    </row>
    <row r="672" spans="1:11" x14ac:dyDescent="0.25">
      <c r="A672" s="28"/>
      <c r="B672" s="1"/>
      <c r="C672" s="6"/>
      <c r="D672" s="33"/>
      <c r="E672" s="34"/>
      <c r="F672" s="11"/>
      <c r="G672" s="14"/>
      <c r="H672" s="14"/>
      <c r="I672" s="14"/>
      <c r="J672" s="45"/>
      <c r="K672" s="53"/>
    </row>
    <row r="673" spans="1:11" x14ac:dyDescent="0.25">
      <c r="A673" s="28"/>
      <c r="B673" s="1"/>
      <c r="C673" s="6"/>
      <c r="D673" s="33"/>
      <c r="E673" s="34"/>
      <c r="F673" s="11"/>
      <c r="G673" s="5"/>
      <c r="H673" s="5"/>
      <c r="I673" s="5"/>
      <c r="J673" s="45"/>
      <c r="K673" s="53"/>
    </row>
    <row r="674" spans="1:11" x14ac:dyDescent="0.25">
      <c r="A674" s="28"/>
      <c r="B674" s="1"/>
      <c r="C674" s="6"/>
      <c r="D674" s="33"/>
      <c r="E674" s="34"/>
      <c r="F674" s="11"/>
      <c r="G674" s="5"/>
      <c r="H674" s="5"/>
      <c r="I674" s="5"/>
      <c r="J674" s="45"/>
      <c r="K674" s="53"/>
    </row>
    <row r="675" spans="1:11" x14ac:dyDescent="0.25">
      <c r="A675" s="28"/>
      <c r="B675" s="1"/>
      <c r="C675" s="6"/>
      <c r="D675" s="33"/>
      <c r="E675" s="34"/>
      <c r="F675" s="11"/>
      <c r="G675" s="14"/>
      <c r="H675" s="14"/>
      <c r="I675" s="14"/>
      <c r="J675" s="45"/>
      <c r="K675" s="53"/>
    </row>
    <row r="676" spans="1:11" x14ac:dyDescent="0.25">
      <c r="A676" s="28"/>
      <c r="B676" s="1"/>
      <c r="C676" s="6"/>
      <c r="D676" s="33"/>
      <c r="E676" s="34"/>
      <c r="F676" s="11"/>
      <c r="G676" s="5"/>
      <c r="H676" s="5"/>
      <c r="I676" s="5"/>
      <c r="J676" s="45"/>
      <c r="K676" s="53"/>
    </row>
    <row r="677" spans="1:11" x14ac:dyDescent="0.25">
      <c r="A677" s="28"/>
      <c r="B677" s="1"/>
      <c r="C677" s="6"/>
      <c r="D677" s="33"/>
      <c r="E677" s="34"/>
      <c r="F677" s="11"/>
      <c r="G677" s="14"/>
      <c r="H677" s="14"/>
      <c r="I677" s="14"/>
      <c r="J677" s="45"/>
      <c r="K677" s="53"/>
    </row>
    <row r="678" spans="1:11" x14ac:dyDescent="0.25">
      <c r="A678" s="28"/>
      <c r="B678" s="1"/>
      <c r="C678" s="6"/>
      <c r="D678" s="33"/>
      <c r="E678" s="34"/>
      <c r="F678" s="11"/>
      <c r="G678" s="14"/>
      <c r="H678" s="14"/>
      <c r="I678" s="14"/>
      <c r="J678" s="45"/>
      <c r="K678" s="53"/>
    </row>
    <row r="679" spans="1:11" x14ac:dyDescent="0.25">
      <c r="A679" s="28"/>
      <c r="B679" s="1"/>
      <c r="C679" s="6"/>
      <c r="D679" s="33"/>
      <c r="E679" s="34"/>
      <c r="F679" s="11"/>
      <c r="G679" s="14"/>
      <c r="H679" s="14"/>
      <c r="I679" s="14"/>
      <c r="J679" s="45"/>
      <c r="K679" s="53"/>
    </row>
    <row r="680" spans="1:11" x14ac:dyDescent="0.25">
      <c r="A680" s="28"/>
      <c r="B680" s="1"/>
      <c r="C680" s="6"/>
      <c r="D680" s="33"/>
      <c r="E680" s="34"/>
      <c r="F680" s="11"/>
      <c r="G680" s="14"/>
      <c r="H680" s="14"/>
      <c r="I680" s="14"/>
      <c r="J680" s="45"/>
      <c r="K680" s="53"/>
    </row>
    <row r="681" spans="1:11" x14ac:dyDescent="0.25">
      <c r="A681" s="28"/>
      <c r="B681" s="1"/>
      <c r="C681" s="6"/>
      <c r="D681" s="33"/>
      <c r="E681" s="34"/>
      <c r="F681" s="11"/>
      <c r="G681" s="5"/>
      <c r="H681" s="5"/>
      <c r="I681" s="5"/>
      <c r="J681" s="45"/>
      <c r="K681" s="53"/>
    </row>
    <row r="682" spans="1:11" x14ac:dyDescent="0.25">
      <c r="A682" s="28"/>
      <c r="B682" s="1"/>
      <c r="C682" s="6"/>
      <c r="D682" s="33"/>
      <c r="E682" s="34"/>
      <c r="F682" s="11"/>
      <c r="G682" s="14"/>
      <c r="H682" s="14"/>
      <c r="I682" s="14"/>
      <c r="J682" s="45"/>
      <c r="K682" s="53"/>
    </row>
    <row r="683" spans="1:11" x14ac:dyDescent="0.25">
      <c r="A683" s="28"/>
      <c r="B683" s="1"/>
      <c r="C683" s="6"/>
      <c r="D683" s="26"/>
      <c r="E683" s="27"/>
      <c r="F683" s="5"/>
      <c r="G683" s="5"/>
      <c r="H683" s="5"/>
      <c r="I683" s="5"/>
      <c r="J683" s="45"/>
      <c r="K683" s="53"/>
    </row>
    <row r="684" spans="1:11" x14ac:dyDescent="0.25">
      <c r="A684" s="28"/>
      <c r="B684" s="1"/>
      <c r="C684" s="6"/>
      <c r="D684" s="33"/>
      <c r="E684" s="34"/>
      <c r="F684" s="5"/>
      <c r="G684" s="5"/>
      <c r="H684" s="5"/>
      <c r="I684" s="5"/>
      <c r="J684" s="45"/>
      <c r="K684" s="53"/>
    </row>
    <row r="685" spans="1:11" x14ac:dyDescent="0.25">
      <c r="A685" s="28"/>
      <c r="B685" s="1"/>
      <c r="C685" s="6"/>
      <c r="D685" s="33"/>
      <c r="E685" s="34"/>
      <c r="F685" s="11"/>
      <c r="G685" s="5"/>
      <c r="H685" s="5"/>
      <c r="I685" s="5"/>
      <c r="J685" s="45"/>
      <c r="K685" s="53"/>
    </row>
    <row r="686" spans="1:11" x14ac:dyDescent="0.25">
      <c r="A686" s="28"/>
      <c r="B686" s="1"/>
      <c r="C686" s="6"/>
      <c r="D686" s="33"/>
      <c r="E686" s="34"/>
      <c r="F686" s="11"/>
      <c r="G686" s="14"/>
      <c r="H686" s="14"/>
      <c r="I686" s="14"/>
      <c r="J686" s="45"/>
      <c r="K686" s="53"/>
    </row>
    <row r="687" spans="1:11" x14ac:dyDescent="0.25">
      <c r="A687" s="28"/>
      <c r="B687" s="1"/>
      <c r="C687" s="6"/>
      <c r="D687" s="26"/>
      <c r="E687" s="27"/>
      <c r="F687" s="5"/>
      <c r="G687" s="5"/>
      <c r="H687" s="5"/>
      <c r="I687" s="5"/>
      <c r="J687" s="45"/>
      <c r="K687" s="53"/>
    </row>
    <row r="688" spans="1:11" x14ac:dyDescent="0.25">
      <c r="A688" s="28"/>
      <c r="B688" s="1"/>
      <c r="C688" s="6"/>
      <c r="D688" s="33"/>
      <c r="E688" s="34"/>
      <c r="F688" s="11"/>
      <c r="G688" s="14"/>
      <c r="H688" s="14"/>
      <c r="I688" s="14"/>
      <c r="J688" s="45"/>
      <c r="K688" s="53"/>
    </row>
    <row r="689" spans="1:11" x14ac:dyDescent="0.25">
      <c r="A689" s="28"/>
      <c r="B689" s="1"/>
      <c r="C689" s="6"/>
      <c r="D689" s="26"/>
      <c r="E689" s="27"/>
      <c r="F689" s="5"/>
      <c r="G689" s="5"/>
      <c r="H689" s="5"/>
      <c r="I689" s="5"/>
      <c r="J689" s="45"/>
      <c r="K689" s="53"/>
    </row>
    <row r="690" spans="1:11" x14ac:dyDescent="0.25">
      <c r="A690" s="28"/>
      <c r="B690" s="1"/>
      <c r="C690" s="6"/>
      <c r="D690" s="26"/>
      <c r="E690" s="27"/>
      <c r="F690" s="5"/>
      <c r="G690" s="5"/>
      <c r="H690" s="5"/>
      <c r="I690" s="5"/>
      <c r="J690" s="45"/>
      <c r="K690" s="53"/>
    </row>
    <row r="691" spans="1:11" x14ac:dyDescent="0.25">
      <c r="A691" s="28"/>
      <c r="B691" s="1"/>
      <c r="C691" s="6"/>
      <c r="D691" s="26"/>
      <c r="E691" s="27"/>
      <c r="F691" s="5"/>
      <c r="G691" s="5"/>
      <c r="H691" s="5"/>
      <c r="I691" s="5"/>
      <c r="J691" s="45"/>
      <c r="K691" s="53"/>
    </row>
    <row r="692" spans="1:11" x14ac:dyDescent="0.25">
      <c r="A692" s="28"/>
      <c r="B692" s="1"/>
      <c r="C692" s="6"/>
      <c r="D692" s="33"/>
      <c r="E692" s="34"/>
      <c r="F692" s="11"/>
      <c r="G692" s="14"/>
      <c r="H692" s="14"/>
      <c r="I692" s="14"/>
      <c r="J692" s="45"/>
      <c r="K692" s="53"/>
    </row>
    <row r="693" spans="1:11" x14ac:dyDescent="0.25">
      <c r="A693" s="28"/>
      <c r="B693" s="1"/>
      <c r="C693" s="6"/>
      <c r="D693" s="33"/>
      <c r="E693" s="34"/>
      <c r="F693" s="11"/>
      <c r="G693" s="14"/>
      <c r="H693" s="14"/>
      <c r="I693" s="14"/>
      <c r="J693" s="45"/>
      <c r="K693" s="53"/>
    </row>
    <row r="694" spans="1:11" x14ac:dyDescent="0.25">
      <c r="A694" s="28"/>
      <c r="B694" s="1"/>
      <c r="C694" s="6"/>
      <c r="D694" s="33"/>
      <c r="E694" s="27"/>
      <c r="F694" s="5"/>
      <c r="G694" s="5"/>
      <c r="H694" s="5"/>
      <c r="I694" s="5"/>
      <c r="J694" s="45"/>
      <c r="K694" s="53"/>
    </row>
    <row r="695" spans="1:11" x14ac:dyDescent="0.25">
      <c r="A695" s="28"/>
      <c r="B695" s="1"/>
      <c r="C695" s="6"/>
      <c r="D695" s="26"/>
      <c r="E695" s="27"/>
      <c r="F695" s="5"/>
      <c r="G695" s="5"/>
      <c r="H695" s="5"/>
      <c r="I695" s="5"/>
      <c r="J695" s="45"/>
      <c r="K695" s="53"/>
    </row>
    <row r="696" spans="1:11" x14ac:dyDescent="0.25">
      <c r="A696" s="28"/>
      <c r="B696" s="1"/>
      <c r="C696" s="6"/>
      <c r="D696" s="33"/>
      <c r="E696" s="34"/>
      <c r="F696" s="5"/>
      <c r="G696" s="5"/>
      <c r="H696" s="5"/>
      <c r="I696" s="5"/>
      <c r="J696" s="45"/>
      <c r="K696" s="53"/>
    </row>
    <row r="697" spans="1:11" x14ac:dyDescent="0.25">
      <c r="A697" s="1"/>
      <c r="B697" s="1"/>
      <c r="C697" s="6"/>
      <c r="D697" s="33"/>
      <c r="E697" s="34"/>
      <c r="F697" s="11"/>
      <c r="G697" s="14"/>
      <c r="H697" s="14"/>
      <c r="I697" s="14"/>
      <c r="J697" s="45"/>
      <c r="K697" s="53"/>
    </row>
    <row r="698" spans="1:11" x14ac:dyDescent="0.25">
      <c r="A698" s="1"/>
      <c r="B698" s="1"/>
      <c r="C698" s="6"/>
      <c r="D698" s="33"/>
      <c r="E698" s="34"/>
      <c r="F698" s="11"/>
      <c r="G698" s="14"/>
      <c r="H698" s="14"/>
      <c r="I698" s="14"/>
      <c r="J698" s="45"/>
      <c r="K698" s="53"/>
    </row>
    <row r="699" spans="1:11" x14ac:dyDescent="0.25">
      <c r="A699" s="1"/>
      <c r="B699" s="1"/>
      <c r="C699" s="6"/>
      <c r="D699" s="33"/>
      <c r="E699" s="34"/>
      <c r="F699" s="11"/>
      <c r="G699" s="14"/>
      <c r="H699" s="14"/>
      <c r="I699" s="14"/>
      <c r="J699" s="45"/>
      <c r="K699" s="53"/>
    </row>
    <row r="700" spans="1:11" x14ac:dyDescent="0.25">
      <c r="A700" s="1"/>
      <c r="B700" s="1"/>
      <c r="C700" s="6"/>
      <c r="D700" s="33"/>
      <c r="E700" s="34"/>
      <c r="F700" s="11"/>
      <c r="G700" s="14"/>
      <c r="H700" s="14"/>
      <c r="I700" s="14"/>
      <c r="J700" s="45"/>
      <c r="K700" s="53"/>
    </row>
    <row r="701" spans="1:11" x14ac:dyDescent="0.25">
      <c r="A701" s="1"/>
      <c r="B701" s="1"/>
      <c r="C701" s="6"/>
      <c r="D701" s="33"/>
      <c r="E701" s="34"/>
      <c r="F701" s="11"/>
      <c r="G701" s="14"/>
      <c r="H701" s="14"/>
      <c r="I701" s="14"/>
      <c r="J701" s="45"/>
      <c r="K701" s="53"/>
    </row>
    <row r="702" spans="1:11" x14ac:dyDescent="0.25">
      <c r="A702" s="1"/>
      <c r="B702" s="1"/>
      <c r="C702" s="6"/>
      <c r="D702" s="33"/>
      <c r="E702" s="34"/>
      <c r="F702" s="11"/>
      <c r="G702" s="14"/>
      <c r="H702" s="14"/>
      <c r="I702" s="14"/>
      <c r="J702" s="45"/>
      <c r="K702" s="53"/>
    </row>
    <row r="703" spans="1:11" x14ac:dyDescent="0.25">
      <c r="A703" s="1"/>
      <c r="B703" s="1"/>
      <c r="C703" s="6"/>
      <c r="D703" s="33"/>
      <c r="E703" s="34"/>
      <c r="F703" s="5"/>
      <c r="G703" s="5"/>
      <c r="H703" s="5"/>
      <c r="I703" s="5"/>
      <c r="J703" s="45"/>
      <c r="K703" s="53"/>
    </row>
    <row r="704" spans="1:11" x14ac:dyDescent="0.25">
      <c r="A704" s="1"/>
      <c r="B704" s="1"/>
      <c r="C704" s="6"/>
      <c r="D704" s="33"/>
      <c r="E704" s="34"/>
      <c r="F704" s="11"/>
      <c r="G704" s="14"/>
      <c r="H704" s="14"/>
      <c r="I704" s="14"/>
      <c r="J704" s="45"/>
      <c r="K704" s="53"/>
    </row>
    <row r="705" spans="1:11" x14ac:dyDescent="0.25">
      <c r="A705" s="1"/>
      <c r="B705" s="1"/>
      <c r="C705" s="6"/>
      <c r="D705" s="33"/>
      <c r="E705" s="34"/>
      <c r="F705" s="11"/>
      <c r="G705" s="14"/>
      <c r="H705" s="14"/>
      <c r="I705" s="14"/>
      <c r="J705" s="45"/>
      <c r="K705" s="53"/>
    </row>
    <row r="706" spans="1:11" x14ac:dyDescent="0.25">
      <c r="A706" s="1"/>
      <c r="B706" s="1"/>
      <c r="C706" s="6"/>
      <c r="D706" s="33"/>
      <c r="E706" s="34"/>
      <c r="F706" s="11"/>
      <c r="G706" s="14"/>
      <c r="H706" s="14"/>
      <c r="I706" s="14"/>
      <c r="J706" s="45"/>
      <c r="K706" s="53"/>
    </row>
    <row r="707" spans="1:11" x14ac:dyDescent="0.25">
      <c r="A707" s="1"/>
      <c r="B707" s="1"/>
      <c r="C707" s="6"/>
      <c r="D707" s="33"/>
      <c r="E707" s="34"/>
      <c r="F707" s="11"/>
      <c r="G707" s="14"/>
      <c r="H707" s="14"/>
      <c r="I707" s="5"/>
      <c r="J707" s="45"/>
      <c r="K707" s="53"/>
    </row>
    <row r="708" spans="1:11" x14ac:dyDescent="0.25">
      <c r="A708" s="1"/>
      <c r="B708" s="1"/>
      <c r="C708" s="6"/>
      <c r="D708" s="33"/>
      <c r="E708" s="34"/>
      <c r="F708" s="11"/>
      <c r="G708" s="14"/>
      <c r="H708" s="14"/>
      <c r="I708" s="14"/>
      <c r="J708" s="45"/>
      <c r="K708" s="53"/>
    </row>
    <row r="709" spans="1:11" x14ac:dyDescent="0.25">
      <c r="A709" s="1"/>
      <c r="B709" s="1"/>
      <c r="C709" s="6"/>
      <c r="D709" s="33"/>
      <c r="E709" s="34"/>
      <c r="F709" s="11"/>
      <c r="G709" s="11"/>
      <c r="H709" s="11"/>
      <c r="I709" s="11"/>
      <c r="J709" s="45"/>
      <c r="K709" s="53"/>
    </row>
    <row r="710" spans="1:11" x14ac:dyDescent="0.25">
      <c r="A710" s="1"/>
      <c r="B710" s="1"/>
      <c r="C710" s="6"/>
      <c r="D710" s="33"/>
      <c r="E710" s="34"/>
      <c r="F710" s="11"/>
      <c r="G710" s="14"/>
      <c r="H710" s="14"/>
      <c r="I710" s="14"/>
      <c r="J710" s="45"/>
      <c r="K710" s="53"/>
    </row>
    <row r="711" spans="1:11" x14ac:dyDescent="0.25">
      <c r="A711" s="1"/>
      <c r="B711" s="1"/>
      <c r="C711" s="6"/>
      <c r="D711" s="33"/>
      <c r="E711" s="34"/>
      <c r="F711" s="11"/>
      <c r="G711" s="14"/>
      <c r="H711" s="14"/>
      <c r="I711" s="14"/>
      <c r="J711" s="45"/>
      <c r="K711" s="53"/>
    </row>
    <row r="712" spans="1:11" x14ac:dyDescent="0.25">
      <c r="A712" s="1"/>
      <c r="B712" s="1"/>
      <c r="C712" s="6"/>
      <c r="D712" s="33"/>
      <c r="E712" s="34"/>
      <c r="F712" s="11"/>
      <c r="G712" s="14"/>
      <c r="H712" s="14"/>
      <c r="I712" s="14"/>
      <c r="J712" s="45"/>
      <c r="K712" s="53"/>
    </row>
    <row r="713" spans="1:11" x14ac:dyDescent="0.25">
      <c r="A713" s="1"/>
      <c r="B713" s="1"/>
      <c r="C713" s="6"/>
      <c r="D713" s="33"/>
      <c r="E713" s="34"/>
      <c r="F713" s="11"/>
      <c r="G713" s="14"/>
      <c r="H713" s="14"/>
      <c r="I713" s="14"/>
      <c r="J713" s="45"/>
      <c r="K713" s="53"/>
    </row>
    <row r="714" spans="1:11" x14ac:dyDescent="0.25">
      <c r="A714" s="1"/>
      <c r="B714" s="1"/>
      <c r="C714" s="6"/>
      <c r="D714" s="33"/>
      <c r="E714" s="34"/>
      <c r="F714" s="11"/>
      <c r="G714" s="14"/>
      <c r="H714" s="14"/>
      <c r="I714" s="14"/>
      <c r="J714" s="45"/>
      <c r="K714" s="53"/>
    </row>
    <row r="715" spans="1:11" x14ac:dyDescent="0.25">
      <c r="A715" s="1"/>
      <c r="B715" s="1"/>
      <c r="C715" s="6"/>
      <c r="D715" s="33"/>
      <c r="E715" s="34"/>
      <c r="F715" s="11"/>
      <c r="G715" s="14"/>
      <c r="H715" s="14"/>
      <c r="I715" s="14"/>
      <c r="J715" s="45"/>
      <c r="K715" s="53"/>
    </row>
    <row r="716" spans="1:11" x14ac:dyDescent="0.25">
      <c r="A716" s="1"/>
      <c r="B716" s="1"/>
      <c r="C716" s="6"/>
      <c r="D716" s="33"/>
      <c r="E716" s="34"/>
      <c r="F716" s="11"/>
      <c r="G716" s="14"/>
      <c r="H716" s="14"/>
      <c r="I716" s="14"/>
      <c r="J716" s="45"/>
      <c r="K716" s="53"/>
    </row>
    <row r="717" spans="1:11" x14ac:dyDescent="0.25">
      <c r="A717" s="1"/>
      <c r="B717" s="1"/>
      <c r="C717" s="6"/>
      <c r="D717" s="33"/>
      <c r="E717" s="34"/>
      <c r="F717" s="11"/>
      <c r="G717" s="14"/>
      <c r="H717" s="14"/>
      <c r="I717" s="14"/>
      <c r="J717" s="45"/>
      <c r="K717" s="53"/>
    </row>
    <row r="718" spans="1:11" x14ac:dyDescent="0.25">
      <c r="A718" s="1"/>
      <c r="B718" s="1"/>
      <c r="C718" s="6"/>
      <c r="D718" s="33"/>
      <c r="E718" s="34"/>
      <c r="F718" s="11"/>
      <c r="G718" s="14"/>
      <c r="H718" s="14"/>
      <c r="I718" s="14"/>
      <c r="J718" s="45"/>
      <c r="K718" s="53"/>
    </row>
    <row r="719" spans="1:11" x14ac:dyDescent="0.25">
      <c r="A719" s="1"/>
      <c r="B719" s="1"/>
      <c r="C719" s="6"/>
      <c r="D719" s="33"/>
      <c r="E719" s="34"/>
      <c r="F719" s="11"/>
      <c r="G719" s="14"/>
      <c r="H719" s="14"/>
      <c r="I719" s="14"/>
      <c r="J719" s="45"/>
      <c r="K719" s="53"/>
    </row>
    <row r="720" spans="1:11" x14ac:dyDescent="0.25">
      <c r="A720" s="1"/>
      <c r="B720" s="1"/>
      <c r="C720" s="6"/>
      <c r="D720" s="33"/>
      <c r="E720" s="34"/>
      <c r="F720" s="11"/>
      <c r="G720" s="14"/>
      <c r="H720" s="14"/>
      <c r="I720" s="14"/>
      <c r="J720" s="45"/>
      <c r="K720" s="53"/>
    </row>
    <row r="721" spans="1:11" x14ac:dyDescent="0.25">
      <c r="A721" s="1"/>
      <c r="B721" s="1"/>
      <c r="C721" s="6"/>
      <c r="D721" s="33"/>
      <c r="E721" s="34"/>
      <c r="F721" s="11"/>
      <c r="G721" s="14"/>
      <c r="H721" s="14"/>
      <c r="I721" s="14"/>
      <c r="J721" s="45"/>
      <c r="K721" s="53"/>
    </row>
    <row r="722" spans="1:11" x14ac:dyDescent="0.25">
      <c r="A722" s="1"/>
      <c r="B722" s="1"/>
      <c r="C722" s="6"/>
      <c r="D722" s="33"/>
      <c r="E722" s="34"/>
      <c r="F722" s="11"/>
      <c r="G722" s="14"/>
      <c r="H722" s="14"/>
      <c r="I722" s="14"/>
      <c r="J722" s="45"/>
      <c r="K722" s="53"/>
    </row>
    <row r="723" spans="1:11" x14ac:dyDescent="0.25">
      <c r="A723" s="1"/>
      <c r="B723" s="1"/>
      <c r="C723" s="6"/>
      <c r="D723" s="33"/>
      <c r="E723" s="34"/>
      <c r="F723" s="11"/>
      <c r="G723" s="14"/>
      <c r="H723" s="14"/>
      <c r="I723" s="14"/>
      <c r="J723" s="45"/>
      <c r="K723" s="53"/>
    </row>
    <row r="724" spans="1:11" x14ac:dyDescent="0.25">
      <c r="A724" s="1"/>
      <c r="B724" s="1"/>
      <c r="C724" s="6"/>
      <c r="D724" s="33"/>
      <c r="E724" s="34"/>
      <c r="F724" s="11"/>
      <c r="G724" s="14"/>
      <c r="H724" s="14"/>
      <c r="I724" s="14"/>
      <c r="J724" s="45"/>
      <c r="K724" s="53"/>
    </row>
    <row r="725" spans="1:11" x14ac:dyDescent="0.25">
      <c r="A725" s="1"/>
      <c r="B725" s="1"/>
      <c r="C725" s="6"/>
      <c r="D725" s="26"/>
      <c r="E725" s="27"/>
      <c r="F725" s="5"/>
      <c r="G725" s="5"/>
      <c r="H725" s="5"/>
      <c r="I725" s="5"/>
      <c r="J725" s="45"/>
      <c r="K725" s="53"/>
    </row>
    <row r="726" spans="1:11" x14ac:dyDescent="0.25">
      <c r="A726" s="1"/>
      <c r="B726" s="1"/>
      <c r="C726" s="6"/>
      <c r="D726" s="33"/>
      <c r="E726" s="34"/>
      <c r="F726" s="11"/>
      <c r="G726" s="14"/>
      <c r="H726" s="14"/>
      <c r="I726" s="14"/>
      <c r="J726" s="45"/>
      <c r="K726" s="53"/>
    </row>
    <row r="727" spans="1:11" x14ac:dyDescent="0.25">
      <c r="A727" s="1"/>
      <c r="B727" s="1"/>
      <c r="C727" s="6"/>
      <c r="D727" s="33"/>
      <c r="E727" s="34"/>
      <c r="F727" s="11"/>
      <c r="G727" s="5"/>
      <c r="H727" s="5"/>
      <c r="I727" s="5"/>
      <c r="J727" s="45"/>
      <c r="K727" s="53"/>
    </row>
    <row r="728" spans="1:11" x14ac:dyDescent="0.25">
      <c r="A728" s="1"/>
      <c r="B728" s="1"/>
      <c r="C728" s="6"/>
      <c r="D728" s="33"/>
      <c r="E728" s="34"/>
      <c r="F728" s="49"/>
      <c r="G728" s="14"/>
      <c r="H728" s="14"/>
      <c r="I728" s="14"/>
      <c r="J728" s="45"/>
      <c r="K728" s="53"/>
    </row>
    <row r="729" spans="1:11" x14ac:dyDescent="0.25">
      <c r="A729" s="1"/>
      <c r="B729" s="1"/>
      <c r="C729" s="6"/>
      <c r="D729" s="33"/>
      <c r="E729" s="34"/>
      <c r="F729" s="11"/>
      <c r="G729" s="14"/>
      <c r="H729" s="14"/>
      <c r="I729" s="14"/>
      <c r="J729" s="45"/>
      <c r="K729" s="53"/>
    </row>
    <row r="730" spans="1:11" x14ac:dyDescent="0.25">
      <c r="A730" s="1"/>
      <c r="B730" s="1"/>
      <c r="C730" s="6"/>
      <c r="D730" s="33"/>
      <c r="E730" s="34"/>
      <c r="F730" s="11"/>
      <c r="G730" s="5"/>
      <c r="H730" s="5"/>
      <c r="I730" s="5"/>
      <c r="J730" s="45"/>
      <c r="K730" s="53"/>
    </row>
    <row r="731" spans="1:11" x14ac:dyDescent="0.25">
      <c r="A731" s="1"/>
      <c r="B731" s="1"/>
      <c r="C731" s="6"/>
      <c r="D731" s="33"/>
      <c r="E731" s="34"/>
      <c r="F731" s="11"/>
      <c r="G731" s="14"/>
      <c r="H731" s="14"/>
      <c r="I731" s="14"/>
      <c r="J731" s="45"/>
      <c r="K731" s="53"/>
    </row>
    <row r="732" spans="1:11" x14ac:dyDescent="0.25">
      <c r="A732" s="1"/>
      <c r="B732" s="1"/>
      <c r="C732" s="6"/>
      <c r="D732" s="33"/>
      <c r="E732" s="34"/>
      <c r="F732" s="11"/>
      <c r="G732" s="14"/>
      <c r="H732" s="14"/>
      <c r="I732" s="14"/>
      <c r="J732" s="45"/>
      <c r="K732" s="53"/>
    </row>
    <row r="733" spans="1:11" x14ac:dyDescent="0.25">
      <c r="A733" s="1"/>
      <c r="B733" s="1"/>
      <c r="C733" s="6"/>
      <c r="D733" s="33"/>
      <c r="E733" s="34"/>
      <c r="F733" s="11"/>
      <c r="G733" s="14"/>
      <c r="H733" s="14"/>
      <c r="I733" s="14"/>
      <c r="J733" s="45"/>
      <c r="K733" s="53"/>
    </row>
    <row r="734" spans="1:11" x14ac:dyDescent="0.25">
      <c r="A734" s="1"/>
      <c r="B734" s="1"/>
      <c r="C734" s="6"/>
      <c r="D734" s="33"/>
      <c r="E734" s="34"/>
      <c r="F734" s="11"/>
      <c r="G734" s="5"/>
      <c r="H734" s="5"/>
      <c r="I734" s="5"/>
      <c r="J734" s="45"/>
      <c r="K734" s="53"/>
    </row>
    <row r="735" spans="1:11" x14ac:dyDescent="0.25">
      <c r="A735" s="1"/>
      <c r="B735" s="1"/>
      <c r="C735" s="6"/>
      <c r="D735" s="33"/>
      <c r="E735" s="34"/>
      <c r="F735" s="11"/>
      <c r="G735" s="14"/>
      <c r="H735" s="14"/>
      <c r="I735" s="14"/>
      <c r="J735" s="45"/>
      <c r="K735" s="53"/>
    </row>
    <row r="736" spans="1:11" x14ac:dyDescent="0.25">
      <c r="A736" s="1"/>
      <c r="B736" s="1"/>
      <c r="C736" s="6"/>
      <c r="D736" s="33"/>
      <c r="E736" s="34"/>
      <c r="F736" s="11"/>
      <c r="G736" s="14"/>
      <c r="H736" s="14"/>
      <c r="I736" s="14"/>
      <c r="J736" s="45"/>
      <c r="K736" s="53"/>
    </row>
    <row r="737" spans="1:11" x14ac:dyDescent="0.25">
      <c r="A737" s="1"/>
      <c r="B737" s="1"/>
      <c r="C737" s="6"/>
      <c r="D737" s="33"/>
      <c r="E737" s="34"/>
      <c r="F737" s="11"/>
      <c r="G737" s="14"/>
      <c r="H737" s="14"/>
      <c r="I737" s="14"/>
      <c r="J737" s="45"/>
      <c r="K737" s="53"/>
    </row>
    <row r="738" spans="1:11" x14ac:dyDescent="0.25">
      <c r="A738" s="1"/>
      <c r="B738" s="1"/>
      <c r="C738" s="6"/>
      <c r="D738" s="33"/>
      <c r="E738" s="34"/>
      <c r="F738" s="11"/>
      <c r="G738" s="5"/>
      <c r="H738" s="5"/>
      <c r="I738" s="5"/>
      <c r="J738" s="45"/>
      <c r="K738" s="53"/>
    </row>
    <row r="739" spans="1:11" x14ac:dyDescent="0.25">
      <c r="A739" s="1"/>
      <c r="B739" s="1"/>
      <c r="C739" s="6"/>
      <c r="D739" s="33"/>
      <c r="E739" s="34"/>
      <c r="F739" s="11"/>
      <c r="G739" s="14"/>
      <c r="H739" s="14"/>
      <c r="I739" s="14"/>
      <c r="J739" s="45"/>
      <c r="K739" s="53"/>
    </row>
    <row r="740" spans="1:11" x14ac:dyDescent="0.25">
      <c r="A740" s="1"/>
      <c r="B740" s="1"/>
      <c r="C740" s="6"/>
      <c r="D740" s="33"/>
      <c r="E740" s="34"/>
      <c r="F740" s="11"/>
      <c r="G740" s="14"/>
      <c r="H740" s="14"/>
      <c r="I740" s="14"/>
      <c r="J740" s="45"/>
      <c r="K740" s="53"/>
    </row>
    <row r="741" spans="1:11" x14ac:dyDescent="0.25">
      <c r="A741" s="1"/>
      <c r="B741" s="1"/>
      <c r="C741" s="6"/>
      <c r="D741" s="33"/>
      <c r="E741" s="34"/>
      <c r="F741" s="11"/>
      <c r="G741" s="14"/>
      <c r="H741" s="14"/>
      <c r="I741" s="14"/>
      <c r="J741" s="45"/>
      <c r="K741" s="53"/>
    </row>
    <row r="742" spans="1:11" x14ac:dyDescent="0.25">
      <c r="A742" s="1"/>
      <c r="B742" s="1"/>
      <c r="C742" s="6"/>
      <c r="D742" s="33"/>
      <c r="E742" s="34"/>
      <c r="F742" s="11"/>
      <c r="G742" s="14"/>
      <c r="H742" s="14"/>
      <c r="I742" s="14"/>
      <c r="J742" s="45"/>
      <c r="K742" s="53"/>
    </row>
    <row r="743" spans="1:11" x14ac:dyDescent="0.25">
      <c r="A743" s="1"/>
      <c r="B743" s="1"/>
      <c r="C743" s="6"/>
      <c r="D743" s="33"/>
      <c r="E743" s="34"/>
      <c r="F743" s="14"/>
      <c r="G743" s="14"/>
      <c r="H743" s="14"/>
      <c r="I743" s="14"/>
      <c r="J743" s="45"/>
      <c r="K743" s="53"/>
    </row>
    <row r="744" spans="1:11" x14ac:dyDescent="0.25">
      <c r="A744" s="1"/>
      <c r="B744" s="1"/>
      <c r="C744" s="6"/>
      <c r="D744" s="33"/>
      <c r="E744" s="34"/>
      <c r="F744" s="11"/>
      <c r="G744" s="14"/>
      <c r="H744" s="14"/>
      <c r="I744" s="14"/>
      <c r="J744" s="45"/>
      <c r="K744" s="53"/>
    </row>
    <row r="745" spans="1:11" x14ac:dyDescent="0.25">
      <c r="A745" s="1"/>
      <c r="B745" s="1"/>
      <c r="C745" s="6"/>
      <c r="D745" s="33"/>
      <c r="E745" s="34"/>
      <c r="F745" s="11"/>
      <c r="G745" s="14"/>
      <c r="H745" s="14"/>
      <c r="I745" s="14"/>
      <c r="J745" s="45"/>
      <c r="K745" s="53"/>
    </row>
    <row r="746" spans="1:11" x14ac:dyDescent="0.25">
      <c r="A746" s="1"/>
      <c r="B746" s="1"/>
      <c r="C746" s="6"/>
      <c r="D746" s="33"/>
      <c r="E746" s="34"/>
      <c r="F746" s="11"/>
      <c r="G746" s="14"/>
      <c r="H746" s="14"/>
      <c r="I746" s="14"/>
      <c r="J746" s="45"/>
      <c r="K746" s="53"/>
    </row>
    <row r="747" spans="1:11" x14ac:dyDescent="0.25">
      <c r="A747" s="1"/>
      <c r="B747" s="1"/>
      <c r="C747" s="6"/>
      <c r="D747" s="33"/>
      <c r="E747" s="34"/>
      <c r="F747" s="11"/>
      <c r="G747" s="14"/>
      <c r="H747" s="14"/>
      <c r="I747" s="14"/>
      <c r="J747" s="45"/>
      <c r="K747" s="53"/>
    </row>
    <row r="748" spans="1:11" x14ac:dyDescent="0.25">
      <c r="A748" s="1"/>
      <c r="B748" s="1"/>
      <c r="C748" s="6"/>
      <c r="D748" s="33"/>
      <c r="E748" s="34"/>
      <c r="F748" s="11"/>
      <c r="G748" s="14"/>
      <c r="H748" s="14"/>
      <c r="I748" s="14"/>
      <c r="J748" s="45"/>
      <c r="K748" s="53"/>
    </row>
    <row r="749" spans="1:11" x14ac:dyDescent="0.25">
      <c r="A749" s="1"/>
      <c r="B749" s="1"/>
      <c r="C749" s="6"/>
      <c r="D749" s="33"/>
      <c r="E749" s="34"/>
      <c r="F749" s="11"/>
      <c r="G749" s="14"/>
      <c r="H749" s="14"/>
      <c r="I749" s="14"/>
      <c r="J749" s="45"/>
      <c r="K749" s="53"/>
    </row>
    <row r="750" spans="1:11" x14ac:dyDescent="0.25">
      <c r="A750" s="1"/>
      <c r="B750" s="1"/>
      <c r="C750" s="6"/>
      <c r="D750" s="33"/>
      <c r="E750" s="34"/>
      <c r="F750" s="11"/>
      <c r="G750" s="14"/>
      <c r="H750" s="14"/>
      <c r="I750" s="14"/>
      <c r="J750" s="45"/>
      <c r="K750" s="53"/>
    </row>
    <row r="751" spans="1:11" x14ac:dyDescent="0.25">
      <c r="A751" s="1"/>
      <c r="B751" s="1"/>
      <c r="C751" s="6"/>
      <c r="D751" s="33"/>
      <c r="E751" s="34"/>
      <c r="F751" s="16"/>
      <c r="G751" s="17"/>
      <c r="H751" s="14"/>
      <c r="I751" s="14"/>
      <c r="J751" s="45"/>
      <c r="K751" s="53"/>
    </row>
    <row r="752" spans="1:11" x14ac:dyDescent="0.25">
      <c r="A752" s="1"/>
      <c r="B752" s="1"/>
      <c r="C752" s="6"/>
      <c r="D752" s="33"/>
      <c r="E752" s="34"/>
      <c r="F752" s="11"/>
      <c r="G752" s="14"/>
      <c r="H752" s="14"/>
      <c r="I752" s="14"/>
      <c r="J752" s="45"/>
      <c r="K752" s="53"/>
    </row>
    <row r="753" spans="1:11" x14ac:dyDescent="0.25">
      <c r="A753" s="1"/>
      <c r="B753" s="1"/>
      <c r="C753" s="6"/>
      <c r="D753" s="33"/>
      <c r="E753" s="34"/>
      <c r="F753" s="11"/>
      <c r="G753" s="14"/>
      <c r="H753" s="14"/>
      <c r="I753" s="14"/>
      <c r="J753" s="45"/>
      <c r="K753" s="53"/>
    </row>
    <row r="754" spans="1:11" x14ac:dyDescent="0.25">
      <c r="A754" s="1"/>
      <c r="B754" s="1"/>
      <c r="C754" s="6"/>
      <c r="D754" s="33"/>
      <c r="E754" s="34"/>
      <c r="F754" s="11"/>
      <c r="G754" s="14"/>
      <c r="H754" s="14"/>
      <c r="I754" s="14"/>
      <c r="J754" s="45"/>
      <c r="K754" s="53"/>
    </row>
    <row r="755" spans="1:11" x14ac:dyDescent="0.25">
      <c r="A755" s="1"/>
      <c r="B755" s="1"/>
      <c r="C755" s="6"/>
      <c r="D755" s="33"/>
      <c r="E755" s="34"/>
      <c r="F755" s="11"/>
      <c r="G755" s="14"/>
      <c r="H755" s="14"/>
      <c r="I755" s="14"/>
      <c r="J755" s="45"/>
      <c r="K755" s="53"/>
    </row>
    <row r="756" spans="1:11" x14ac:dyDescent="0.25">
      <c r="A756" s="1"/>
      <c r="B756" s="1"/>
      <c r="C756" s="6"/>
      <c r="D756" s="33"/>
      <c r="E756" s="34"/>
      <c r="F756" s="11"/>
      <c r="G756" s="14"/>
      <c r="H756" s="14"/>
      <c r="I756" s="14"/>
      <c r="J756" s="45"/>
      <c r="K756" s="53"/>
    </row>
    <row r="757" spans="1:11" x14ac:dyDescent="0.25">
      <c r="A757" s="1"/>
      <c r="B757" s="1"/>
      <c r="C757" s="6"/>
      <c r="D757" s="33"/>
      <c r="E757" s="34"/>
      <c r="F757" s="11"/>
      <c r="G757" s="14"/>
      <c r="H757" s="14"/>
      <c r="I757" s="14"/>
      <c r="J757" s="45"/>
      <c r="K757" s="53"/>
    </row>
    <row r="758" spans="1:11" x14ac:dyDescent="0.25">
      <c r="A758" s="2"/>
      <c r="B758" s="1"/>
      <c r="C758" s="6"/>
      <c r="D758" s="7"/>
      <c r="E758" s="8"/>
      <c r="F758" s="5"/>
      <c r="G758" s="5"/>
      <c r="H758" s="5"/>
      <c r="I758" s="5"/>
      <c r="J758" s="9"/>
      <c r="K758" s="53"/>
    </row>
    <row r="759" spans="1:11" x14ac:dyDescent="0.25">
      <c r="A759" s="2"/>
      <c r="B759" s="1"/>
      <c r="C759" s="6"/>
      <c r="D759" s="7"/>
      <c r="E759" s="8"/>
      <c r="F759" s="5"/>
      <c r="G759" s="5"/>
      <c r="H759" s="5"/>
      <c r="I759" s="5"/>
      <c r="J759" s="9"/>
      <c r="K759" s="53"/>
    </row>
    <row r="760" spans="1:11" x14ac:dyDescent="0.25">
      <c r="A760" s="2"/>
      <c r="B760" s="1"/>
      <c r="C760" s="6"/>
      <c r="D760" s="7"/>
      <c r="E760" s="8"/>
      <c r="F760" s="11"/>
      <c r="G760" s="5"/>
      <c r="H760" s="5"/>
      <c r="I760" s="5"/>
      <c r="J760" s="12"/>
      <c r="K760" s="53"/>
    </row>
    <row r="761" spans="1:11" x14ac:dyDescent="0.25">
      <c r="A761" s="2"/>
      <c r="B761" s="1"/>
      <c r="C761" s="6"/>
      <c r="D761" s="7"/>
      <c r="E761" s="8"/>
      <c r="F761" s="11"/>
      <c r="G761" s="5"/>
      <c r="H761" s="5"/>
      <c r="I761" s="5"/>
      <c r="J761" s="12"/>
      <c r="K761" s="53"/>
    </row>
    <row r="762" spans="1:11" x14ac:dyDescent="0.25">
      <c r="A762" s="2"/>
      <c r="B762" s="1"/>
      <c r="C762" s="6"/>
      <c r="D762" s="7"/>
      <c r="E762" s="8"/>
      <c r="F762" s="11"/>
      <c r="G762" s="5"/>
      <c r="H762" s="5"/>
      <c r="I762" s="5"/>
      <c r="J762" s="12"/>
      <c r="K762" s="53"/>
    </row>
    <row r="763" spans="1:11" x14ac:dyDescent="0.25">
      <c r="A763" s="2"/>
      <c r="B763" s="1"/>
      <c r="C763" s="6"/>
      <c r="D763" s="7"/>
      <c r="E763" s="8"/>
      <c r="F763" s="11"/>
      <c r="G763" s="5"/>
      <c r="H763" s="5"/>
      <c r="I763" s="5"/>
      <c r="J763" s="12"/>
      <c r="K763" s="53"/>
    </row>
    <row r="764" spans="1:11" x14ac:dyDescent="0.25">
      <c r="A764" s="2"/>
      <c r="B764" s="1"/>
      <c r="C764" s="6"/>
      <c r="D764" s="7"/>
      <c r="E764" s="8"/>
      <c r="F764" s="11"/>
      <c r="G764" s="5"/>
      <c r="H764" s="5"/>
      <c r="I764" s="5"/>
      <c r="J764" s="12"/>
      <c r="K764" s="53"/>
    </row>
    <row r="765" spans="1:11" x14ac:dyDescent="0.25">
      <c r="A765" s="2"/>
      <c r="B765" s="1"/>
      <c r="C765" s="6"/>
      <c r="D765" s="7"/>
      <c r="E765" s="8"/>
      <c r="F765" s="11"/>
      <c r="G765" s="5"/>
      <c r="H765" s="5"/>
      <c r="I765" s="5"/>
      <c r="J765" s="12"/>
      <c r="K765" s="53"/>
    </row>
    <row r="766" spans="1:11" x14ac:dyDescent="0.25">
      <c r="A766" s="2"/>
      <c r="B766" s="1"/>
      <c r="C766" s="6"/>
      <c r="D766" s="7"/>
      <c r="E766" s="8"/>
      <c r="F766" s="11"/>
      <c r="G766" s="5"/>
      <c r="H766" s="5"/>
      <c r="I766" s="5"/>
      <c r="J766" s="12"/>
      <c r="K766" s="53"/>
    </row>
    <row r="767" spans="1:11" x14ac:dyDescent="0.25">
      <c r="A767" s="2"/>
      <c r="B767" s="1"/>
      <c r="C767" s="6"/>
      <c r="D767" s="7"/>
      <c r="E767" s="8"/>
      <c r="F767" s="11"/>
      <c r="G767" s="5"/>
      <c r="H767" s="5"/>
      <c r="I767" s="5"/>
      <c r="J767" s="12"/>
      <c r="K767" s="53"/>
    </row>
    <row r="768" spans="1:11" x14ac:dyDescent="0.25">
      <c r="A768" s="2"/>
      <c r="B768" s="1"/>
      <c r="C768" s="6"/>
      <c r="D768" s="7"/>
      <c r="E768" s="8"/>
      <c r="F768" s="11"/>
      <c r="G768" s="5"/>
      <c r="H768" s="5"/>
      <c r="I768" s="5"/>
      <c r="J768" s="12"/>
      <c r="K768" s="53"/>
    </row>
    <row r="769" spans="1:11" x14ac:dyDescent="0.25">
      <c r="A769" s="2"/>
      <c r="B769" s="1"/>
      <c r="C769" s="6"/>
      <c r="D769" s="7"/>
      <c r="E769" s="8"/>
      <c r="F769" s="11"/>
      <c r="G769" s="5"/>
      <c r="H769" s="5"/>
      <c r="I769" s="5"/>
      <c r="J769" s="12"/>
      <c r="K769" s="53"/>
    </row>
    <row r="770" spans="1:11" x14ac:dyDescent="0.25">
      <c r="A770" s="2"/>
      <c r="B770" s="1"/>
      <c r="C770" s="6"/>
      <c r="D770" s="7"/>
      <c r="E770" s="8"/>
      <c r="F770" s="11"/>
      <c r="G770" s="5"/>
      <c r="H770" s="5"/>
      <c r="I770" s="5"/>
      <c r="J770" s="12"/>
      <c r="K770" s="53"/>
    </row>
    <row r="771" spans="1:11" x14ac:dyDescent="0.25">
      <c r="A771" s="2"/>
      <c r="B771" s="1"/>
      <c r="C771" s="6"/>
      <c r="D771" s="7"/>
      <c r="E771" s="8"/>
      <c r="F771" s="11"/>
      <c r="G771" s="5"/>
      <c r="H771" s="5"/>
      <c r="I771" s="5"/>
      <c r="J771" s="12"/>
      <c r="K771" s="53"/>
    </row>
    <row r="772" spans="1:11" x14ac:dyDescent="0.25">
      <c r="A772" s="2"/>
      <c r="B772" s="1"/>
      <c r="C772" s="6"/>
      <c r="D772" s="7"/>
      <c r="E772" s="8"/>
      <c r="F772" s="11"/>
      <c r="G772" s="5"/>
      <c r="H772" s="5"/>
      <c r="I772" s="5"/>
      <c r="J772" s="12"/>
      <c r="K772" s="53"/>
    </row>
    <row r="773" spans="1:11" x14ac:dyDescent="0.25">
      <c r="A773" s="2"/>
      <c r="B773" s="1"/>
      <c r="C773" s="6"/>
      <c r="D773" s="7"/>
      <c r="E773" s="8"/>
      <c r="F773" s="11"/>
      <c r="G773" s="5"/>
      <c r="H773" s="5"/>
      <c r="I773" s="5"/>
      <c r="J773" s="12"/>
      <c r="K773" s="53"/>
    </row>
    <row r="774" spans="1:11" x14ac:dyDescent="0.25">
      <c r="A774" s="2"/>
      <c r="B774" s="1"/>
      <c r="C774" s="6"/>
      <c r="D774" s="7"/>
      <c r="E774" s="8"/>
      <c r="F774" s="11"/>
      <c r="G774" s="5"/>
      <c r="H774" s="5"/>
      <c r="I774" s="5"/>
      <c r="J774" s="12"/>
      <c r="K774" s="53"/>
    </row>
    <row r="775" spans="1:11" x14ac:dyDescent="0.25">
      <c r="A775" s="2"/>
      <c r="B775" s="1"/>
      <c r="C775" s="6"/>
      <c r="D775" s="7"/>
      <c r="E775" s="8"/>
      <c r="F775" s="11"/>
      <c r="G775" s="13"/>
      <c r="H775" s="14"/>
      <c r="I775" s="14"/>
      <c r="J775" s="12"/>
      <c r="K775" s="53"/>
    </row>
    <row r="776" spans="1:11" x14ac:dyDescent="0.25">
      <c r="A776" s="2"/>
      <c r="B776" s="1"/>
      <c r="C776" s="6"/>
      <c r="D776" s="7"/>
      <c r="E776" s="8"/>
      <c r="F776" s="11"/>
      <c r="G776" s="5"/>
      <c r="H776" s="5"/>
      <c r="I776" s="5"/>
      <c r="J776" s="12"/>
      <c r="K776" s="53"/>
    </row>
    <row r="777" spans="1:11" x14ac:dyDescent="0.25">
      <c r="A777" s="2"/>
      <c r="B777" s="1"/>
      <c r="C777" s="6"/>
      <c r="D777" s="7"/>
      <c r="E777" s="8"/>
      <c r="F777" s="11"/>
      <c r="G777" s="5"/>
      <c r="H777" s="5"/>
      <c r="I777" s="5"/>
      <c r="J777" s="12"/>
      <c r="K777" s="53"/>
    </row>
    <row r="778" spans="1:11" x14ac:dyDescent="0.25">
      <c r="A778" s="2"/>
      <c r="B778" s="1"/>
      <c r="C778" s="6"/>
      <c r="D778" s="7"/>
      <c r="E778" s="8"/>
      <c r="F778" s="11"/>
      <c r="G778" s="5"/>
      <c r="H778" s="5"/>
      <c r="I778" s="5"/>
      <c r="J778" s="12"/>
      <c r="K778" s="53"/>
    </row>
    <row r="779" spans="1:11" x14ac:dyDescent="0.25">
      <c r="A779" s="2"/>
      <c r="B779" s="1"/>
      <c r="C779" s="6"/>
      <c r="D779" s="7"/>
      <c r="E779" s="8"/>
      <c r="F779" s="11"/>
      <c r="G779" s="5"/>
      <c r="H779" s="5"/>
      <c r="I779" s="5"/>
      <c r="J779" s="12"/>
      <c r="K779" s="53"/>
    </row>
    <row r="780" spans="1:11" x14ac:dyDescent="0.25">
      <c r="A780" s="2"/>
      <c r="B780" s="1"/>
      <c r="C780" s="6"/>
      <c r="D780" s="7"/>
      <c r="E780" s="8"/>
      <c r="F780" s="11"/>
      <c r="G780" s="5"/>
      <c r="H780" s="5"/>
      <c r="I780" s="5"/>
      <c r="J780" s="12"/>
      <c r="K780" s="53"/>
    </row>
    <row r="781" spans="1:11" x14ac:dyDescent="0.25">
      <c r="A781" s="2"/>
      <c r="B781" s="1"/>
      <c r="C781" s="6"/>
      <c r="D781" s="7"/>
      <c r="E781" s="8"/>
      <c r="F781" s="11"/>
      <c r="G781" s="5"/>
      <c r="H781" s="5"/>
      <c r="I781" s="5"/>
      <c r="J781" s="12"/>
      <c r="K781" s="53"/>
    </row>
    <row r="782" spans="1:11" x14ac:dyDescent="0.25">
      <c r="A782" s="2"/>
      <c r="B782" s="1"/>
      <c r="C782" s="6"/>
      <c r="D782" s="7"/>
      <c r="E782" s="8"/>
      <c r="F782" s="11"/>
      <c r="G782" s="5"/>
      <c r="H782" s="5"/>
      <c r="I782" s="5"/>
      <c r="J782" s="12"/>
      <c r="K782" s="53"/>
    </row>
    <row r="783" spans="1:11" x14ac:dyDescent="0.25">
      <c r="A783" s="2"/>
      <c r="B783" s="1"/>
      <c r="C783" s="6"/>
      <c r="D783" s="7"/>
      <c r="E783" s="8"/>
      <c r="F783" s="11"/>
      <c r="G783" s="5"/>
      <c r="H783" s="5"/>
      <c r="I783" s="5"/>
      <c r="J783" s="12"/>
      <c r="K783" s="53"/>
    </row>
    <row r="784" spans="1:11" x14ac:dyDescent="0.25">
      <c r="A784" s="2"/>
      <c r="B784" s="1"/>
      <c r="C784" s="6"/>
      <c r="D784" s="7"/>
      <c r="E784" s="8"/>
      <c r="F784" s="11"/>
      <c r="G784" s="5"/>
      <c r="H784" s="5"/>
      <c r="I784" s="5"/>
      <c r="J784" s="12"/>
      <c r="K784" s="53"/>
    </row>
    <row r="785" spans="1:11" x14ac:dyDescent="0.25">
      <c r="A785" s="2"/>
      <c r="B785" s="1"/>
      <c r="C785" s="6"/>
      <c r="D785" s="7"/>
      <c r="E785" s="8"/>
      <c r="F785" s="11"/>
      <c r="G785" s="5"/>
      <c r="H785" s="5"/>
      <c r="I785" s="5"/>
      <c r="J785" s="12"/>
      <c r="K785" s="53"/>
    </row>
    <row r="786" spans="1:11" x14ac:dyDescent="0.25">
      <c r="A786" s="2"/>
      <c r="B786" s="1"/>
      <c r="C786" s="6"/>
      <c r="D786" s="7"/>
      <c r="E786" s="8"/>
      <c r="F786" s="11"/>
      <c r="G786" s="5"/>
      <c r="H786" s="5"/>
      <c r="I786" s="5"/>
      <c r="J786" s="12"/>
      <c r="K786" s="53"/>
    </row>
    <row r="787" spans="1:11" x14ac:dyDescent="0.25">
      <c r="A787" s="2"/>
      <c r="B787" s="1"/>
      <c r="C787" s="6"/>
      <c r="D787" s="7"/>
      <c r="E787" s="8"/>
      <c r="F787" s="11"/>
      <c r="G787" s="5"/>
      <c r="H787" s="5"/>
      <c r="I787" s="5"/>
      <c r="J787" s="12"/>
      <c r="K787" s="53"/>
    </row>
    <row r="788" spans="1:11" x14ac:dyDescent="0.25">
      <c r="A788" s="2"/>
      <c r="B788" s="1"/>
      <c r="C788" s="6"/>
      <c r="D788" s="7"/>
      <c r="E788" s="8"/>
      <c r="F788" s="11"/>
      <c r="G788" s="14"/>
      <c r="H788" s="14"/>
      <c r="I788" s="14"/>
      <c r="J788" s="12"/>
      <c r="K788" s="53"/>
    </row>
    <row r="789" spans="1:11" x14ac:dyDescent="0.25">
      <c r="A789" s="2"/>
      <c r="B789" s="1"/>
      <c r="C789" s="6"/>
      <c r="D789" s="7"/>
      <c r="E789" s="8"/>
      <c r="F789" s="11"/>
      <c r="G789" s="5"/>
      <c r="H789" s="5"/>
      <c r="I789" s="5"/>
      <c r="J789" s="12"/>
      <c r="K789" s="53"/>
    </row>
    <row r="790" spans="1:11" x14ac:dyDescent="0.25">
      <c r="A790" s="2"/>
      <c r="B790" s="1"/>
      <c r="C790" s="6"/>
      <c r="D790" s="7"/>
      <c r="E790" s="8"/>
      <c r="F790" s="11"/>
      <c r="G790" s="5"/>
      <c r="H790" s="5"/>
      <c r="I790" s="5"/>
      <c r="J790" s="12"/>
      <c r="K790" s="53"/>
    </row>
    <row r="791" spans="1:11" x14ac:dyDescent="0.25">
      <c r="A791" s="2"/>
      <c r="B791" s="1"/>
      <c r="C791" s="6"/>
      <c r="D791" s="7"/>
      <c r="E791" s="8"/>
      <c r="F791" s="11"/>
      <c r="G791" s="14"/>
      <c r="H791" s="14"/>
      <c r="I791" s="14"/>
      <c r="J791" s="12"/>
      <c r="K791" s="53"/>
    </row>
    <row r="792" spans="1:11" x14ac:dyDescent="0.25">
      <c r="A792" s="2"/>
      <c r="B792" s="1"/>
      <c r="C792" s="6"/>
      <c r="D792" s="7"/>
      <c r="E792" s="8"/>
      <c r="F792" s="11"/>
      <c r="G792" s="14"/>
      <c r="H792" s="14"/>
      <c r="I792" s="14"/>
      <c r="J792" s="12"/>
      <c r="K792" s="53"/>
    </row>
    <row r="793" spans="1:11" x14ac:dyDescent="0.25">
      <c r="A793" s="2"/>
      <c r="B793" s="1"/>
      <c r="C793" s="6"/>
      <c r="D793" s="7"/>
      <c r="E793" s="8"/>
      <c r="F793" s="11"/>
      <c r="G793" s="5"/>
      <c r="H793" s="5"/>
      <c r="I793" s="5"/>
      <c r="J793" s="12"/>
      <c r="K793" s="53"/>
    </row>
    <row r="794" spans="1:11" x14ac:dyDescent="0.25">
      <c r="A794" s="2"/>
      <c r="B794" s="1"/>
      <c r="C794" s="6"/>
      <c r="D794" s="7"/>
      <c r="E794" s="8"/>
      <c r="F794" s="11"/>
      <c r="G794" s="5"/>
      <c r="H794" s="5"/>
      <c r="I794" s="5"/>
      <c r="J794" s="12"/>
      <c r="K794" s="53"/>
    </row>
    <row r="795" spans="1:11" x14ac:dyDescent="0.25">
      <c r="A795" s="2"/>
      <c r="B795" s="1"/>
      <c r="C795" s="6"/>
      <c r="D795" s="7"/>
      <c r="E795" s="8"/>
      <c r="F795" s="11"/>
      <c r="G795" s="5"/>
      <c r="H795" s="5"/>
      <c r="I795" s="5"/>
      <c r="J795" s="12"/>
      <c r="K795" s="53"/>
    </row>
    <row r="796" spans="1:11" x14ac:dyDescent="0.25">
      <c r="A796" s="2"/>
      <c r="B796" s="1"/>
      <c r="C796" s="6"/>
      <c r="D796" s="7"/>
      <c r="E796" s="8"/>
      <c r="F796" s="11"/>
      <c r="G796" s="5"/>
      <c r="H796" s="5"/>
      <c r="I796" s="5"/>
      <c r="J796" s="12"/>
      <c r="K796" s="53"/>
    </row>
    <row r="797" spans="1:11" x14ac:dyDescent="0.25">
      <c r="A797" s="2"/>
      <c r="B797" s="1"/>
      <c r="C797" s="6"/>
      <c r="D797" s="7"/>
      <c r="E797" s="8"/>
      <c r="F797" s="11"/>
      <c r="G797" s="5"/>
      <c r="H797" s="5"/>
      <c r="I797" s="5"/>
      <c r="J797" s="12"/>
      <c r="K797" s="53"/>
    </row>
    <row r="798" spans="1:11" x14ac:dyDescent="0.25">
      <c r="A798" s="2"/>
      <c r="B798" s="1"/>
      <c r="C798" s="6"/>
      <c r="D798" s="7"/>
      <c r="E798" s="8"/>
      <c r="F798" s="11"/>
      <c r="G798" s="5"/>
      <c r="H798" s="5"/>
      <c r="I798" s="5"/>
      <c r="J798" s="12"/>
      <c r="K798" s="53"/>
    </row>
    <row r="799" spans="1:11" x14ac:dyDescent="0.25">
      <c r="A799" s="2"/>
      <c r="B799" s="1"/>
      <c r="C799" s="6"/>
      <c r="D799" s="7"/>
      <c r="E799" s="8"/>
      <c r="F799" s="11"/>
      <c r="G799" s="5"/>
      <c r="H799" s="5"/>
      <c r="I799" s="5"/>
      <c r="J799" s="12"/>
      <c r="K799" s="53"/>
    </row>
    <row r="800" spans="1:11" x14ac:dyDescent="0.25">
      <c r="A800" s="2"/>
      <c r="B800" s="1"/>
      <c r="C800" s="6"/>
      <c r="D800" s="7"/>
      <c r="E800" s="8"/>
      <c r="F800" s="11"/>
      <c r="G800" s="5"/>
      <c r="H800" s="5"/>
      <c r="I800" s="5"/>
      <c r="J800" s="12"/>
      <c r="K800" s="53"/>
    </row>
    <row r="801" spans="1:11" x14ac:dyDescent="0.25">
      <c r="A801" s="2"/>
      <c r="B801" s="1"/>
      <c r="C801" s="6"/>
      <c r="D801" s="7"/>
      <c r="E801" s="8"/>
      <c r="F801" s="11"/>
      <c r="G801" s="5"/>
      <c r="H801" s="5"/>
      <c r="I801" s="5"/>
      <c r="J801" s="12"/>
      <c r="K801" s="53"/>
    </row>
    <row r="802" spans="1:11" x14ac:dyDescent="0.25">
      <c r="A802" s="2"/>
      <c r="B802" s="1"/>
      <c r="C802" s="6"/>
      <c r="D802" s="7"/>
      <c r="E802" s="8"/>
      <c r="F802" s="11"/>
      <c r="G802" s="5"/>
      <c r="H802" s="5"/>
      <c r="I802" s="5"/>
      <c r="J802" s="12"/>
      <c r="K802" s="53"/>
    </row>
    <row r="803" spans="1:11" x14ac:dyDescent="0.25">
      <c r="A803" s="2"/>
      <c r="B803" s="1"/>
      <c r="C803" s="6"/>
      <c r="D803" s="7"/>
      <c r="E803" s="8"/>
      <c r="F803" s="11"/>
      <c r="G803" s="5"/>
      <c r="H803" s="5"/>
      <c r="I803" s="5"/>
      <c r="J803" s="12"/>
      <c r="K803" s="53"/>
    </row>
    <row r="804" spans="1:11" x14ac:dyDescent="0.25">
      <c r="A804" s="2"/>
      <c r="B804" s="1"/>
      <c r="C804" s="6"/>
      <c r="D804" s="7"/>
      <c r="E804" s="8"/>
      <c r="F804" s="11"/>
      <c r="G804" s="5"/>
      <c r="H804" s="5"/>
      <c r="I804" s="5"/>
      <c r="J804" s="12"/>
      <c r="K804" s="53"/>
    </row>
    <row r="805" spans="1:11" x14ac:dyDescent="0.25">
      <c r="A805" s="15"/>
      <c r="B805" s="1"/>
      <c r="C805" s="6"/>
      <c r="D805" s="7"/>
      <c r="E805" s="8"/>
      <c r="F805" s="11"/>
      <c r="G805" s="5"/>
      <c r="H805" s="5"/>
      <c r="I805" s="5"/>
      <c r="J805" s="12"/>
      <c r="K805" s="53"/>
    </row>
    <row r="806" spans="1:11" x14ac:dyDescent="0.25">
      <c r="A806" s="15"/>
      <c r="B806" s="1"/>
      <c r="C806" s="6"/>
      <c r="D806" s="7"/>
      <c r="E806" s="8"/>
      <c r="F806" s="11"/>
      <c r="G806" s="5"/>
      <c r="H806" s="5"/>
      <c r="I806" s="5"/>
      <c r="J806" s="12"/>
      <c r="K806" s="53"/>
    </row>
    <row r="807" spans="1:11" x14ac:dyDescent="0.25">
      <c r="A807" s="15"/>
      <c r="B807" s="1"/>
      <c r="C807" s="6"/>
      <c r="D807" s="7"/>
      <c r="E807" s="8"/>
      <c r="F807" s="10"/>
      <c r="G807" s="10"/>
      <c r="H807" s="5"/>
      <c r="I807" s="5"/>
      <c r="J807" s="12"/>
      <c r="K807" s="53"/>
    </row>
    <row r="808" spans="1:11" x14ac:dyDescent="0.25">
      <c r="A808" s="15"/>
      <c r="B808" s="1"/>
      <c r="C808" s="6"/>
      <c r="D808" s="7"/>
      <c r="E808" s="8"/>
      <c r="F808" s="11"/>
      <c r="G808" s="14"/>
      <c r="H808" s="14"/>
      <c r="I808" s="14"/>
      <c r="J808" s="12"/>
      <c r="K808" s="53"/>
    </row>
    <row r="809" spans="1:11" x14ac:dyDescent="0.25">
      <c r="A809" s="15"/>
      <c r="B809" s="1"/>
      <c r="C809" s="6"/>
      <c r="D809" s="7"/>
      <c r="E809" s="8"/>
      <c r="F809" s="11"/>
      <c r="G809" s="5"/>
      <c r="H809" s="5"/>
      <c r="I809" s="5"/>
      <c r="J809" s="12"/>
      <c r="K809" s="53"/>
    </row>
    <row r="810" spans="1:11" x14ac:dyDescent="0.25">
      <c r="A810" s="15"/>
      <c r="B810" s="1"/>
      <c r="C810" s="6"/>
      <c r="D810" s="7"/>
      <c r="E810" s="8"/>
      <c r="F810" s="11"/>
      <c r="G810" s="5"/>
      <c r="H810" s="5"/>
      <c r="I810" s="5"/>
      <c r="J810" s="12"/>
      <c r="K810" s="53"/>
    </row>
    <row r="811" spans="1:11" x14ac:dyDescent="0.25">
      <c r="A811" s="15"/>
      <c r="B811" s="1"/>
      <c r="C811" s="6"/>
      <c r="D811" s="7"/>
      <c r="E811" s="8"/>
      <c r="F811" s="11"/>
      <c r="G811" s="5"/>
      <c r="H811" s="5"/>
      <c r="I811" s="5"/>
      <c r="J811" s="12"/>
      <c r="K811" s="53"/>
    </row>
    <row r="812" spans="1:11" x14ac:dyDescent="0.25">
      <c r="A812" s="15"/>
      <c r="B812" s="1"/>
      <c r="C812" s="6"/>
      <c r="D812" s="7"/>
      <c r="E812" s="8"/>
      <c r="F812" s="11"/>
      <c r="G812" s="14"/>
      <c r="H812" s="14"/>
      <c r="I812" s="5"/>
      <c r="J812" s="12"/>
      <c r="K812" s="53"/>
    </row>
    <row r="813" spans="1:11" x14ac:dyDescent="0.25">
      <c r="A813" s="15"/>
      <c r="B813" s="1"/>
      <c r="C813" s="6"/>
      <c r="D813" s="7"/>
      <c r="E813" s="8"/>
      <c r="F813" s="10"/>
      <c r="G813" s="10"/>
      <c r="H813" s="5"/>
      <c r="I813" s="5"/>
      <c r="J813" s="12"/>
      <c r="K813" s="53"/>
    </row>
    <row r="814" spans="1:11" x14ac:dyDescent="0.25">
      <c r="A814" s="15"/>
      <c r="B814" s="1"/>
      <c r="C814" s="6"/>
      <c r="D814" s="7"/>
      <c r="E814" s="8"/>
      <c r="F814" s="10"/>
      <c r="G814" s="10"/>
      <c r="H814" s="5"/>
      <c r="I814" s="5"/>
      <c r="J814" s="12"/>
      <c r="K814" s="53"/>
    </row>
    <row r="815" spans="1:11" x14ac:dyDescent="0.25">
      <c r="A815" s="15"/>
      <c r="B815" s="1"/>
      <c r="C815" s="6"/>
      <c r="D815" s="7"/>
      <c r="E815" s="8"/>
      <c r="F815" s="11"/>
      <c r="G815" s="5"/>
      <c r="H815" s="5"/>
      <c r="I815" s="5"/>
      <c r="J815" s="12"/>
      <c r="K815" s="53"/>
    </row>
    <row r="816" spans="1:11" x14ac:dyDescent="0.25">
      <c r="A816" s="15"/>
      <c r="B816" s="1"/>
      <c r="C816" s="6"/>
      <c r="D816" s="7"/>
      <c r="E816" s="8"/>
      <c r="F816" s="11"/>
      <c r="G816" s="14"/>
      <c r="H816" s="14"/>
      <c r="I816" s="14"/>
      <c r="J816" s="12"/>
      <c r="K816" s="53"/>
    </row>
    <row r="817" spans="1:11" x14ac:dyDescent="0.25">
      <c r="A817" s="15"/>
      <c r="B817" s="1"/>
      <c r="C817" s="6"/>
      <c r="D817" s="7"/>
      <c r="E817" s="8"/>
      <c r="F817" s="10"/>
      <c r="G817" s="10"/>
      <c r="H817" s="5"/>
      <c r="I817" s="5"/>
      <c r="J817" s="12"/>
      <c r="K817" s="53"/>
    </row>
    <row r="818" spans="1:11" x14ac:dyDescent="0.25">
      <c r="A818" s="15"/>
      <c r="B818" s="1"/>
      <c r="C818" s="6"/>
      <c r="D818" s="7"/>
      <c r="E818" s="8"/>
      <c r="F818" s="10"/>
      <c r="G818" s="10"/>
      <c r="H818" s="5"/>
      <c r="I818" s="5"/>
      <c r="J818" s="12"/>
      <c r="K818" s="53"/>
    </row>
    <row r="819" spans="1:11" x14ac:dyDescent="0.25">
      <c r="A819" s="15"/>
      <c r="B819" s="1"/>
      <c r="C819" s="6"/>
      <c r="D819" s="7"/>
      <c r="E819" s="8"/>
      <c r="F819" s="11"/>
      <c r="G819" s="14"/>
      <c r="H819" s="14"/>
      <c r="I819" s="14"/>
      <c r="J819" s="12"/>
      <c r="K819" s="53"/>
    </row>
    <row r="820" spans="1:11" x14ac:dyDescent="0.25">
      <c r="A820" s="15"/>
      <c r="B820" s="1"/>
      <c r="C820" s="6"/>
      <c r="D820" s="7"/>
      <c r="E820" s="8"/>
      <c r="F820" s="11"/>
      <c r="G820" s="14"/>
      <c r="H820" s="14"/>
      <c r="I820" s="14"/>
      <c r="J820" s="12"/>
      <c r="K820" s="53"/>
    </row>
    <row r="821" spans="1:11" x14ac:dyDescent="0.25">
      <c r="A821" s="15"/>
      <c r="B821" s="1"/>
      <c r="C821" s="6"/>
      <c r="D821" s="7"/>
      <c r="E821" s="8"/>
      <c r="F821" s="10"/>
      <c r="G821" s="10"/>
      <c r="H821" s="5"/>
      <c r="I821" s="5"/>
      <c r="J821" s="12"/>
      <c r="K821" s="53"/>
    </row>
    <row r="822" spans="1:11" x14ac:dyDescent="0.25">
      <c r="A822" s="15"/>
      <c r="B822" s="1"/>
      <c r="C822" s="6"/>
      <c r="D822" s="7"/>
      <c r="E822" s="8"/>
      <c r="F822" s="11"/>
      <c r="G822" s="5"/>
      <c r="H822" s="5"/>
      <c r="I822" s="5"/>
      <c r="J822" s="12"/>
      <c r="K822" s="53"/>
    </row>
    <row r="823" spans="1:11" x14ac:dyDescent="0.25">
      <c r="A823" s="15"/>
      <c r="B823" s="1"/>
      <c r="C823" s="6"/>
      <c r="D823" s="7"/>
      <c r="E823" s="8"/>
      <c r="F823" s="10"/>
      <c r="G823" s="10"/>
      <c r="H823" s="5"/>
      <c r="I823" s="5"/>
      <c r="J823" s="12"/>
      <c r="K823" s="53"/>
    </row>
    <row r="824" spans="1:11" x14ac:dyDescent="0.25">
      <c r="A824" s="15"/>
      <c r="B824" s="1"/>
      <c r="C824" s="6"/>
      <c r="D824" s="7"/>
      <c r="E824" s="8"/>
      <c r="F824" s="11"/>
      <c r="G824" s="5"/>
      <c r="H824" s="5"/>
      <c r="I824" s="5"/>
      <c r="J824" s="12"/>
      <c r="K824" s="53"/>
    </row>
    <row r="825" spans="1:11" x14ac:dyDescent="0.25">
      <c r="A825" s="15"/>
      <c r="B825" s="1"/>
      <c r="C825" s="6"/>
      <c r="D825" s="7"/>
      <c r="E825" s="8"/>
      <c r="F825" s="11"/>
      <c r="G825" s="5"/>
      <c r="H825" s="5"/>
      <c r="I825" s="5"/>
      <c r="J825" s="12"/>
      <c r="K825" s="53"/>
    </row>
    <row r="826" spans="1:11" x14ac:dyDescent="0.25">
      <c r="A826" s="15"/>
      <c r="B826" s="1"/>
      <c r="C826" s="6"/>
      <c r="D826" s="7"/>
      <c r="E826" s="8"/>
      <c r="F826" s="11"/>
      <c r="G826" s="5"/>
      <c r="H826" s="5"/>
      <c r="I826" s="5"/>
      <c r="J826" s="12"/>
      <c r="K826" s="53"/>
    </row>
    <row r="827" spans="1:11" x14ac:dyDescent="0.25">
      <c r="A827" s="15"/>
      <c r="B827" s="1"/>
      <c r="C827" s="6"/>
      <c r="D827" s="7"/>
      <c r="E827" s="8"/>
      <c r="F827" s="11"/>
      <c r="G827" s="5"/>
      <c r="H827" s="5"/>
      <c r="I827" s="5"/>
      <c r="J827" s="12"/>
      <c r="K827" s="53"/>
    </row>
    <row r="828" spans="1:11" x14ac:dyDescent="0.25">
      <c r="A828" s="15"/>
      <c r="B828" s="1"/>
      <c r="C828" s="6"/>
      <c r="D828" s="7"/>
      <c r="E828" s="8"/>
      <c r="F828" s="11"/>
      <c r="G828" s="5"/>
      <c r="H828" s="5"/>
      <c r="I828" s="5"/>
      <c r="J828" s="12"/>
      <c r="K828" s="53"/>
    </row>
    <row r="829" spans="1:11" x14ac:dyDescent="0.25">
      <c r="A829" s="15"/>
      <c r="B829" s="1"/>
      <c r="C829" s="6"/>
      <c r="D829" s="7"/>
      <c r="E829" s="8"/>
      <c r="F829" s="10"/>
      <c r="G829" s="10"/>
      <c r="H829" s="5"/>
      <c r="I829" s="5"/>
      <c r="J829" s="12"/>
      <c r="K829" s="53"/>
    </row>
    <row r="830" spans="1:11" x14ac:dyDescent="0.25">
      <c r="A830" s="15"/>
      <c r="B830" s="1"/>
      <c r="C830" s="6"/>
      <c r="D830" s="7"/>
      <c r="E830" s="8"/>
      <c r="F830" s="10"/>
      <c r="G830" s="10"/>
      <c r="H830" s="5"/>
      <c r="I830" s="5"/>
      <c r="J830" s="12"/>
      <c r="K830" s="53"/>
    </row>
    <row r="831" spans="1:11" x14ac:dyDescent="0.25">
      <c r="A831" s="15"/>
      <c r="B831" s="1"/>
      <c r="C831" s="6"/>
      <c r="D831" s="7"/>
      <c r="E831" s="8"/>
      <c r="F831" s="10"/>
      <c r="G831" s="10"/>
      <c r="H831" s="5"/>
      <c r="I831" s="5"/>
      <c r="J831" s="12"/>
      <c r="K831" s="53"/>
    </row>
    <row r="832" spans="1:11" x14ac:dyDescent="0.25">
      <c r="A832" s="15"/>
      <c r="B832" s="1"/>
      <c r="C832" s="6"/>
      <c r="D832" s="7"/>
      <c r="E832" s="8"/>
      <c r="F832" s="10"/>
      <c r="G832" s="10"/>
      <c r="H832" s="5"/>
      <c r="I832" s="5"/>
      <c r="J832" s="12"/>
      <c r="K832" s="53"/>
    </row>
    <row r="833" spans="1:11" x14ac:dyDescent="0.25">
      <c r="A833" s="15"/>
      <c r="B833" s="1"/>
      <c r="C833" s="6"/>
      <c r="D833" s="3"/>
      <c r="E833" s="4"/>
      <c r="F833" s="5"/>
      <c r="G833" s="5"/>
      <c r="H833" s="5"/>
      <c r="I833" s="5"/>
      <c r="J833" s="12"/>
      <c r="K833" s="53"/>
    </row>
    <row r="834" spans="1:11" x14ac:dyDescent="0.25">
      <c r="A834" s="15"/>
      <c r="B834" s="1"/>
      <c r="C834" s="6"/>
      <c r="D834" s="7"/>
      <c r="E834" s="8"/>
      <c r="F834" s="11"/>
      <c r="G834" s="5"/>
      <c r="H834" s="5"/>
      <c r="I834" s="5"/>
      <c r="J834" s="12"/>
      <c r="K834" s="53"/>
    </row>
    <row r="835" spans="1:11" x14ac:dyDescent="0.25">
      <c r="A835" s="15"/>
      <c r="B835" s="1"/>
      <c r="C835" s="6"/>
      <c r="D835" s="7"/>
      <c r="E835" s="8"/>
      <c r="F835" s="10"/>
      <c r="G835" s="10"/>
      <c r="H835" s="5"/>
      <c r="I835" s="5"/>
      <c r="J835" s="12"/>
      <c r="K835" s="53"/>
    </row>
    <row r="836" spans="1:11" x14ac:dyDescent="0.25">
      <c r="A836" s="15"/>
      <c r="B836" s="1"/>
      <c r="C836" s="6"/>
      <c r="D836" s="3"/>
      <c r="E836" s="4"/>
      <c r="F836" s="10"/>
      <c r="G836" s="10"/>
      <c r="H836" s="5"/>
      <c r="I836" s="5"/>
      <c r="J836" s="12"/>
      <c r="K836" s="53"/>
    </row>
    <row r="837" spans="1:11" x14ac:dyDescent="0.25">
      <c r="A837" s="15"/>
      <c r="B837" s="1"/>
      <c r="C837" s="6"/>
      <c r="D837" s="7"/>
      <c r="E837" s="8"/>
      <c r="F837" s="11"/>
      <c r="G837" s="14"/>
      <c r="H837" s="14"/>
      <c r="I837" s="14"/>
      <c r="J837" s="12"/>
      <c r="K837" s="53"/>
    </row>
    <row r="838" spans="1:11" x14ac:dyDescent="0.25">
      <c r="A838" s="15"/>
      <c r="B838" s="1"/>
      <c r="C838" s="6"/>
      <c r="D838" s="3"/>
      <c r="E838" s="4"/>
      <c r="F838" s="5"/>
      <c r="G838" s="5"/>
      <c r="H838" s="5"/>
      <c r="I838" s="5"/>
      <c r="J838" s="12"/>
      <c r="K838" s="53"/>
    </row>
    <row r="839" spans="1:11" x14ac:dyDescent="0.25">
      <c r="A839" s="15"/>
      <c r="B839" s="1"/>
      <c r="C839" s="6"/>
      <c r="D839" s="7"/>
      <c r="E839" s="8"/>
      <c r="F839" s="11"/>
      <c r="G839" s="5"/>
      <c r="H839" s="5"/>
      <c r="I839" s="5"/>
      <c r="J839" s="12"/>
      <c r="K839" s="53"/>
    </row>
    <row r="840" spans="1:11" x14ac:dyDescent="0.25">
      <c r="A840" s="15"/>
      <c r="B840" s="1"/>
      <c r="C840" s="6"/>
      <c r="D840" s="7"/>
      <c r="E840" s="8"/>
      <c r="F840" s="10"/>
      <c r="G840" s="10"/>
      <c r="H840" s="5"/>
      <c r="I840" s="5"/>
      <c r="J840" s="12"/>
      <c r="K840" s="53"/>
    </row>
    <row r="841" spans="1:11" x14ac:dyDescent="0.25">
      <c r="A841" s="15"/>
      <c r="B841" s="1"/>
      <c r="C841" s="6"/>
      <c r="D841" s="7"/>
      <c r="E841" s="8"/>
      <c r="F841" s="11"/>
      <c r="G841" s="5"/>
      <c r="H841" s="5"/>
      <c r="I841" s="5"/>
      <c r="J841" s="12"/>
      <c r="K841" s="53"/>
    </row>
    <row r="842" spans="1:11" x14ac:dyDescent="0.25">
      <c r="A842" s="15"/>
      <c r="B842" s="1"/>
      <c r="C842" s="6"/>
      <c r="D842" s="3"/>
      <c r="E842" s="4"/>
      <c r="F842" s="5"/>
      <c r="G842" s="5"/>
      <c r="H842" s="5"/>
      <c r="I842" s="5"/>
      <c r="J842" s="12"/>
      <c r="K842" s="53"/>
    </row>
    <row r="843" spans="1:11" x14ac:dyDescent="0.25">
      <c r="A843" s="15"/>
      <c r="B843" s="1"/>
      <c r="C843" s="6"/>
      <c r="D843" s="7"/>
      <c r="E843" s="8"/>
      <c r="F843" s="11"/>
      <c r="G843" s="10"/>
      <c r="H843" s="5"/>
      <c r="I843" s="5"/>
      <c r="J843" s="12"/>
      <c r="K843" s="53"/>
    </row>
    <row r="844" spans="1:11" x14ac:dyDescent="0.25">
      <c r="A844" s="15"/>
      <c r="B844" s="1"/>
      <c r="C844" s="6"/>
      <c r="D844" s="7"/>
      <c r="E844" s="8"/>
      <c r="F844" s="11"/>
      <c r="G844" s="14"/>
      <c r="H844" s="14"/>
      <c r="I844" s="14"/>
      <c r="J844" s="12"/>
      <c r="K844" s="53"/>
    </row>
    <row r="845" spans="1:11" x14ac:dyDescent="0.25">
      <c r="A845" s="15"/>
      <c r="B845" s="1"/>
      <c r="C845" s="6"/>
      <c r="D845" s="7"/>
      <c r="E845" s="8"/>
      <c r="F845" s="10"/>
      <c r="G845" s="10"/>
      <c r="H845" s="5"/>
      <c r="I845" s="5"/>
      <c r="J845" s="12"/>
      <c r="K845" s="53"/>
    </row>
    <row r="846" spans="1:11" x14ac:dyDescent="0.25">
      <c r="A846" s="15"/>
      <c r="B846" s="1"/>
      <c r="C846" s="6"/>
      <c r="D846" s="7"/>
      <c r="E846" s="8"/>
      <c r="F846" s="10"/>
      <c r="G846" s="10"/>
      <c r="H846" s="5"/>
      <c r="I846" s="5"/>
      <c r="J846" s="12"/>
      <c r="K846" s="53"/>
    </row>
    <row r="847" spans="1:11" x14ac:dyDescent="0.25">
      <c r="A847" s="15"/>
      <c r="B847" s="1"/>
      <c r="C847" s="6"/>
      <c r="D847" s="7"/>
      <c r="E847" s="8"/>
      <c r="F847" s="11"/>
      <c r="G847" s="14"/>
      <c r="H847" s="14"/>
      <c r="I847" s="14"/>
      <c r="J847" s="12"/>
      <c r="K847" s="53"/>
    </row>
    <row r="848" spans="1:11" x14ac:dyDescent="0.25">
      <c r="A848" s="15"/>
      <c r="B848" s="1"/>
      <c r="C848" s="6"/>
      <c r="D848" s="7"/>
      <c r="E848" s="8"/>
      <c r="F848" s="11"/>
      <c r="G848" s="10"/>
      <c r="H848" s="5"/>
      <c r="I848" s="5"/>
      <c r="J848" s="12"/>
      <c r="K848" s="53"/>
    </row>
    <row r="849" spans="1:11" x14ac:dyDescent="0.25">
      <c r="A849" s="15"/>
      <c r="B849" s="1"/>
      <c r="C849" s="6"/>
      <c r="D849" s="7"/>
      <c r="E849" s="8"/>
      <c r="F849" s="11"/>
      <c r="G849" s="14"/>
      <c r="H849" s="14"/>
      <c r="I849" s="5"/>
      <c r="J849" s="12"/>
      <c r="K849" s="53"/>
    </row>
    <row r="850" spans="1:11" x14ac:dyDescent="0.25">
      <c r="A850" s="15"/>
      <c r="B850" s="1"/>
      <c r="C850" s="6"/>
      <c r="D850" s="7"/>
      <c r="E850" s="8"/>
      <c r="F850" s="10"/>
      <c r="G850" s="10"/>
      <c r="H850" s="5"/>
      <c r="I850" s="5"/>
      <c r="J850" s="12"/>
      <c r="K850" s="53"/>
    </row>
    <row r="851" spans="1:11" x14ac:dyDescent="0.25">
      <c r="A851" s="15"/>
      <c r="B851" s="1"/>
      <c r="C851" s="6"/>
      <c r="D851" s="7"/>
      <c r="E851" s="8"/>
      <c r="F851" s="11"/>
      <c r="G851" s="14"/>
      <c r="H851" s="14"/>
      <c r="I851" s="14"/>
      <c r="J851" s="12"/>
      <c r="K851" s="53"/>
    </row>
    <row r="852" spans="1:11" x14ac:dyDescent="0.25">
      <c r="A852" s="15"/>
      <c r="B852" s="1"/>
      <c r="C852" s="6"/>
      <c r="D852" s="7"/>
      <c r="E852" s="8"/>
      <c r="F852" s="11"/>
      <c r="G852" s="14"/>
      <c r="H852" s="14"/>
      <c r="I852" s="14"/>
      <c r="J852" s="12"/>
      <c r="K852" s="53"/>
    </row>
    <row r="853" spans="1:11" x14ac:dyDescent="0.25">
      <c r="A853" s="15"/>
      <c r="B853" s="1"/>
      <c r="C853" s="6"/>
      <c r="D853" s="7"/>
      <c r="E853" s="8"/>
      <c r="F853" s="11"/>
      <c r="G853" s="14"/>
      <c r="H853" s="14"/>
      <c r="I853" s="14"/>
      <c r="J853" s="12"/>
      <c r="K853" s="53"/>
    </row>
    <row r="854" spans="1:11" x14ac:dyDescent="0.25">
      <c r="A854" s="15"/>
      <c r="B854" s="1"/>
      <c r="C854" s="6"/>
      <c r="D854" s="7"/>
      <c r="E854" s="8"/>
      <c r="F854" s="11"/>
      <c r="G854" s="14"/>
      <c r="H854" s="14"/>
      <c r="I854" s="14"/>
      <c r="J854" s="12"/>
      <c r="K854" s="53"/>
    </row>
    <row r="855" spans="1:11" x14ac:dyDescent="0.25">
      <c r="A855" s="2"/>
      <c r="B855" s="1"/>
      <c r="C855" s="6"/>
      <c r="D855" s="7"/>
      <c r="E855" s="8"/>
      <c r="F855" s="11"/>
      <c r="G855" s="14"/>
      <c r="H855" s="14"/>
      <c r="I855" s="14"/>
      <c r="J855" s="12"/>
      <c r="K855" s="53"/>
    </row>
    <row r="856" spans="1:11" x14ac:dyDescent="0.25">
      <c r="A856" s="2"/>
      <c r="B856" s="1"/>
      <c r="C856" s="6"/>
      <c r="D856" s="7"/>
      <c r="E856" s="8"/>
      <c r="F856" s="11"/>
      <c r="G856" s="14"/>
      <c r="H856" s="14"/>
      <c r="I856" s="14"/>
      <c r="J856" s="12"/>
      <c r="K856" s="53"/>
    </row>
    <row r="857" spans="1:11" x14ac:dyDescent="0.25">
      <c r="A857" s="2"/>
      <c r="B857" s="1"/>
      <c r="C857" s="6"/>
      <c r="D857" s="7"/>
      <c r="E857" s="8"/>
      <c r="F857" s="11"/>
      <c r="G857" s="14"/>
      <c r="H857" s="14"/>
      <c r="I857" s="14"/>
      <c r="J857" s="12"/>
      <c r="K857" s="53"/>
    </row>
    <row r="858" spans="1:11" x14ac:dyDescent="0.25">
      <c r="A858" s="2"/>
      <c r="B858" s="1"/>
      <c r="C858" s="6"/>
      <c r="D858" s="7"/>
      <c r="E858" s="8"/>
      <c r="F858" s="11"/>
      <c r="G858" s="14"/>
      <c r="H858" s="14"/>
      <c r="I858" s="14"/>
      <c r="J858" s="12"/>
      <c r="K858" s="53"/>
    </row>
    <row r="859" spans="1:11" x14ac:dyDescent="0.25">
      <c r="A859" s="2"/>
      <c r="B859" s="1"/>
      <c r="C859" s="6"/>
      <c r="D859" s="3"/>
      <c r="E859" s="4"/>
      <c r="F859" s="5"/>
      <c r="G859" s="5"/>
      <c r="H859" s="5"/>
      <c r="I859" s="5"/>
      <c r="J859" s="12"/>
      <c r="K859" s="53"/>
    </row>
    <row r="860" spans="1:11" x14ac:dyDescent="0.25">
      <c r="A860" s="2"/>
      <c r="B860" s="1"/>
      <c r="C860" s="6"/>
      <c r="D860" s="7"/>
      <c r="E860" s="8"/>
      <c r="F860" s="11"/>
      <c r="G860" s="14"/>
      <c r="H860" s="14"/>
      <c r="I860" s="14"/>
      <c r="J860" s="12"/>
      <c r="K860" s="53"/>
    </row>
    <row r="861" spans="1:11" x14ac:dyDescent="0.25">
      <c r="A861" s="2"/>
      <c r="B861" s="1"/>
      <c r="C861" s="6"/>
      <c r="D861" s="7"/>
      <c r="E861" s="8"/>
      <c r="F861" s="11"/>
      <c r="G861" s="14"/>
      <c r="H861" s="14"/>
      <c r="I861" s="14"/>
      <c r="J861" s="12"/>
      <c r="K861" s="53"/>
    </row>
    <row r="862" spans="1:11" x14ac:dyDescent="0.25">
      <c r="A862" s="2"/>
      <c r="B862" s="1"/>
      <c r="C862" s="6"/>
      <c r="D862" s="7"/>
      <c r="E862" s="8"/>
      <c r="F862" s="11"/>
      <c r="G862" s="14"/>
      <c r="H862" s="14"/>
      <c r="I862" s="14"/>
      <c r="J862" s="12"/>
      <c r="K862" s="53"/>
    </row>
    <row r="863" spans="1:11" x14ac:dyDescent="0.25">
      <c r="A863" s="2"/>
      <c r="B863" s="1"/>
      <c r="C863" s="6"/>
      <c r="D863" s="7"/>
      <c r="E863" s="8"/>
      <c r="F863" s="11"/>
      <c r="G863" s="14"/>
      <c r="H863" s="14"/>
      <c r="I863" s="14"/>
      <c r="J863" s="12"/>
      <c r="K863" s="53"/>
    </row>
    <row r="864" spans="1:11" x14ac:dyDescent="0.25">
      <c r="A864" s="2"/>
      <c r="B864" s="1"/>
      <c r="C864" s="6"/>
      <c r="D864" s="7"/>
      <c r="E864" s="8"/>
      <c r="F864" s="11"/>
      <c r="G864" s="14"/>
      <c r="H864" s="14"/>
      <c r="I864" s="14"/>
      <c r="J864" s="12"/>
      <c r="K864" s="53"/>
    </row>
    <row r="865" spans="1:11" x14ac:dyDescent="0.25">
      <c r="A865" s="2"/>
      <c r="B865" s="1"/>
      <c r="C865" s="6"/>
      <c r="D865" s="7"/>
      <c r="E865" s="8"/>
      <c r="F865" s="11"/>
      <c r="G865" s="5"/>
      <c r="H865" s="5"/>
      <c r="I865" s="5"/>
      <c r="J865" s="12"/>
      <c r="K865" s="53"/>
    </row>
    <row r="866" spans="1:11" x14ac:dyDescent="0.25">
      <c r="A866" s="2"/>
      <c r="B866" s="1"/>
      <c r="C866" s="6"/>
      <c r="D866" s="7"/>
      <c r="E866" s="8"/>
      <c r="F866" s="11"/>
      <c r="G866" s="14"/>
      <c r="H866" s="14"/>
      <c r="I866" s="14"/>
      <c r="J866" s="12"/>
      <c r="K866" s="53"/>
    </row>
    <row r="867" spans="1:11" x14ac:dyDescent="0.25">
      <c r="A867" s="2"/>
      <c r="B867" s="1"/>
      <c r="C867" s="6"/>
      <c r="D867" s="7"/>
      <c r="E867" s="8"/>
      <c r="F867" s="11"/>
      <c r="G867" s="14"/>
      <c r="H867" s="14"/>
      <c r="I867" s="14"/>
      <c r="J867" s="12"/>
      <c r="K867" s="53"/>
    </row>
    <row r="868" spans="1:11" x14ac:dyDescent="0.25">
      <c r="A868" s="2"/>
      <c r="B868" s="1"/>
      <c r="C868" s="6"/>
      <c r="D868" s="7"/>
      <c r="E868" s="8"/>
      <c r="F868" s="11"/>
      <c r="G868" s="5"/>
      <c r="H868" s="5"/>
      <c r="I868" s="5"/>
      <c r="J868" s="12"/>
      <c r="K868" s="53"/>
    </row>
    <row r="869" spans="1:11" x14ac:dyDescent="0.25">
      <c r="A869" s="2"/>
      <c r="B869" s="1"/>
      <c r="C869" s="6"/>
      <c r="D869" s="7"/>
      <c r="E869" s="8"/>
      <c r="F869" s="11"/>
      <c r="G869" s="14"/>
      <c r="H869" s="14"/>
      <c r="I869" s="14"/>
      <c r="J869" s="12"/>
      <c r="K869" s="53"/>
    </row>
    <row r="870" spans="1:11" x14ac:dyDescent="0.25">
      <c r="A870" s="2"/>
      <c r="B870" s="1"/>
      <c r="C870" s="6"/>
      <c r="D870" s="7"/>
      <c r="E870" s="8"/>
      <c r="F870" s="11"/>
      <c r="G870" s="14"/>
      <c r="H870" s="14"/>
      <c r="I870" s="14"/>
      <c r="J870" s="12"/>
      <c r="K870" s="53"/>
    </row>
    <row r="871" spans="1:11" x14ac:dyDescent="0.25">
      <c r="A871" s="2"/>
      <c r="B871" s="1"/>
      <c r="C871" s="6"/>
      <c r="D871" s="7"/>
      <c r="E871" s="8"/>
      <c r="F871" s="11"/>
      <c r="G871" s="14"/>
      <c r="H871" s="5"/>
      <c r="I871" s="5"/>
      <c r="J871" s="12"/>
      <c r="K871" s="53"/>
    </row>
    <row r="872" spans="1:11" x14ac:dyDescent="0.25">
      <c r="A872" s="2"/>
      <c r="B872" s="1"/>
      <c r="C872" s="6"/>
      <c r="D872" s="7"/>
      <c r="E872" s="8"/>
      <c r="F872" s="14"/>
      <c r="G872" s="14"/>
      <c r="H872" s="5"/>
      <c r="I872" s="5"/>
      <c r="J872" s="12"/>
      <c r="K872" s="53"/>
    </row>
    <row r="873" spans="1:11" x14ac:dyDescent="0.25">
      <c r="A873" s="2"/>
      <c r="B873" s="1"/>
      <c r="C873" s="6"/>
      <c r="D873" s="7"/>
      <c r="E873" s="8"/>
      <c r="F873" s="11"/>
      <c r="G873" s="14"/>
      <c r="H873" s="14"/>
      <c r="I873" s="14"/>
      <c r="J873" s="12"/>
      <c r="K873" s="53"/>
    </row>
    <row r="874" spans="1:11" x14ac:dyDescent="0.25">
      <c r="A874" s="2"/>
      <c r="B874" s="1"/>
      <c r="C874" s="6"/>
      <c r="D874" s="7"/>
      <c r="E874" s="8"/>
      <c r="F874" s="11"/>
      <c r="G874" s="14"/>
      <c r="H874" s="14"/>
      <c r="I874" s="14"/>
      <c r="J874" s="12"/>
      <c r="K874" s="53"/>
    </row>
    <row r="875" spans="1:11" x14ac:dyDescent="0.25">
      <c r="A875" s="2"/>
      <c r="B875" s="1"/>
      <c r="C875" s="6"/>
      <c r="D875" s="7"/>
      <c r="E875" s="8"/>
      <c r="F875" s="11"/>
      <c r="G875" s="14"/>
      <c r="H875" s="14"/>
      <c r="I875" s="14"/>
      <c r="J875" s="12"/>
      <c r="K875" s="53"/>
    </row>
    <row r="876" spans="1:11" x14ac:dyDescent="0.25">
      <c r="A876" s="2"/>
      <c r="B876" s="1"/>
      <c r="C876" s="6"/>
      <c r="D876" s="7"/>
      <c r="E876" s="8"/>
      <c r="F876" s="11"/>
      <c r="G876" s="14"/>
      <c r="H876" s="14"/>
      <c r="I876" s="14"/>
      <c r="J876" s="12"/>
      <c r="K876" s="53"/>
    </row>
    <row r="877" spans="1:11" x14ac:dyDescent="0.25">
      <c r="A877" s="2"/>
      <c r="B877" s="1"/>
      <c r="C877" s="6"/>
      <c r="D877" s="7"/>
      <c r="E877" s="8"/>
      <c r="F877" s="11"/>
      <c r="G877" s="14"/>
      <c r="H877" s="14"/>
      <c r="I877" s="14"/>
      <c r="J877" s="12"/>
      <c r="K877" s="53"/>
    </row>
    <row r="878" spans="1:11" x14ac:dyDescent="0.25">
      <c r="A878" s="2"/>
      <c r="B878" s="1"/>
      <c r="C878" s="6"/>
      <c r="D878" s="7"/>
      <c r="E878" s="8"/>
      <c r="F878" s="11"/>
      <c r="G878" s="14"/>
      <c r="H878" s="14"/>
      <c r="I878" s="14"/>
      <c r="J878" s="12"/>
      <c r="K878" s="53"/>
    </row>
    <row r="879" spans="1:11" x14ac:dyDescent="0.25">
      <c r="A879" s="2"/>
      <c r="B879" s="1"/>
      <c r="C879" s="6"/>
      <c r="D879" s="7"/>
      <c r="E879" s="8"/>
      <c r="F879" s="16"/>
      <c r="G879" s="17"/>
      <c r="H879" s="14"/>
      <c r="I879" s="14"/>
      <c r="J879" s="12"/>
      <c r="K879" s="53"/>
    </row>
    <row r="880" spans="1:11" x14ac:dyDescent="0.25">
      <c r="A880" s="2"/>
      <c r="B880" s="1"/>
      <c r="C880" s="6"/>
      <c r="D880" s="7"/>
      <c r="E880" s="8"/>
      <c r="F880" s="11"/>
      <c r="G880" s="14"/>
      <c r="H880" s="14"/>
      <c r="I880" s="14"/>
      <c r="J880" s="12"/>
      <c r="K880" s="53"/>
    </row>
    <row r="881" spans="1:11" x14ac:dyDescent="0.25">
      <c r="A881" s="2"/>
      <c r="B881" s="1"/>
      <c r="C881" s="6"/>
      <c r="D881" s="7"/>
      <c r="E881" s="8"/>
      <c r="F881" s="11"/>
      <c r="G881" s="14"/>
      <c r="H881" s="14"/>
      <c r="I881" s="14"/>
      <c r="J881" s="12"/>
      <c r="K881" s="53"/>
    </row>
    <row r="882" spans="1:11" x14ac:dyDescent="0.25">
      <c r="A882" s="2"/>
      <c r="B882" s="1"/>
      <c r="C882" s="6"/>
      <c r="D882" s="7"/>
      <c r="E882" s="8"/>
      <c r="F882" s="11"/>
      <c r="G882" s="14"/>
      <c r="H882" s="14"/>
      <c r="I882" s="14"/>
      <c r="J882" s="12"/>
      <c r="K882" s="53"/>
    </row>
    <row r="883" spans="1:11" x14ac:dyDescent="0.25">
      <c r="A883" s="2"/>
      <c r="B883" s="1"/>
      <c r="C883" s="6"/>
      <c r="D883" s="7"/>
      <c r="E883" s="8"/>
      <c r="F883" s="11"/>
      <c r="G883" s="14"/>
      <c r="H883" s="14"/>
      <c r="I883" s="14"/>
      <c r="J883" s="12"/>
      <c r="K883" s="53"/>
    </row>
    <row r="884" spans="1:11" x14ac:dyDescent="0.25">
      <c r="A884" s="2"/>
      <c r="B884" s="1"/>
      <c r="C884" s="6"/>
      <c r="D884" s="7"/>
      <c r="E884" s="8"/>
      <c r="F884" s="11"/>
      <c r="G884" s="14"/>
      <c r="H884" s="14"/>
      <c r="I884" s="5"/>
      <c r="J884" s="12"/>
      <c r="K884" s="53"/>
    </row>
    <row r="885" spans="1:11" x14ac:dyDescent="0.25">
      <c r="A885" s="2"/>
      <c r="B885" s="1"/>
      <c r="C885" s="6"/>
      <c r="D885" s="7"/>
      <c r="E885" s="8"/>
      <c r="F885" s="11"/>
      <c r="G885" s="14"/>
      <c r="H885" s="14"/>
      <c r="I885" s="14"/>
      <c r="J885" s="12"/>
      <c r="K885" s="53"/>
    </row>
    <row r="886" spans="1:11" x14ac:dyDescent="0.25">
      <c r="A886" s="2"/>
      <c r="B886" s="1"/>
      <c r="C886" s="6"/>
      <c r="D886" s="7"/>
      <c r="E886" s="8"/>
      <c r="F886" s="11"/>
      <c r="G886" s="14"/>
      <c r="H886" s="14"/>
      <c r="I886" s="14"/>
      <c r="J886" s="12"/>
      <c r="K886" s="53"/>
    </row>
    <row r="887" spans="1:11" x14ac:dyDescent="0.25">
      <c r="A887" s="2"/>
      <c r="B887" s="1"/>
      <c r="C887" s="6"/>
      <c r="D887" s="7"/>
      <c r="E887" s="8"/>
      <c r="F887" s="11"/>
      <c r="G887" s="5"/>
      <c r="H887" s="5"/>
      <c r="I887" s="5"/>
      <c r="J887" s="12"/>
      <c r="K887" s="53"/>
    </row>
    <row r="888" spans="1:11" x14ac:dyDescent="0.25">
      <c r="A888" s="2"/>
      <c r="B888" s="1"/>
      <c r="C888" s="6"/>
      <c r="D888" s="7"/>
      <c r="E888" s="8"/>
      <c r="F888" s="11"/>
      <c r="G888" s="14"/>
      <c r="H888" s="14"/>
      <c r="I888" s="14"/>
      <c r="J888" s="12"/>
      <c r="K888" s="53"/>
    </row>
    <row r="889" spans="1:11" x14ac:dyDescent="0.25">
      <c r="A889" s="2"/>
      <c r="B889" s="1"/>
      <c r="C889" s="6"/>
      <c r="D889" s="7"/>
      <c r="E889" s="8"/>
      <c r="F889" s="11"/>
      <c r="G889" s="14"/>
      <c r="H889" s="14"/>
      <c r="I889" s="14"/>
      <c r="J889" s="12"/>
      <c r="K889" s="53"/>
    </row>
    <row r="890" spans="1:11" x14ac:dyDescent="0.25">
      <c r="A890" s="2"/>
      <c r="B890" s="1"/>
      <c r="C890" s="6"/>
      <c r="D890" s="7"/>
      <c r="E890" s="8"/>
      <c r="F890" s="11"/>
      <c r="G890" s="14"/>
      <c r="H890" s="14"/>
      <c r="I890" s="14"/>
      <c r="J890" s="12"/>
      <c r="K890" s="53"/>
    </row>
    <row r="891" spans="1:11" x14ac:dyDescent="0.25">
      <c r="A891" s="2"/>
      <c r="B891" s="1"/>
      <c r="C891" s="6"/>
      <c r="D891" s="7"/>
      <c r="E891" s="8"/>
      <c r="F891" s="11"/>
      <c r="G891" s="14"/>
      <c r="H891" s="14"/>
      <c r="I891" s="14"/>
      <c r="J891" s="12"/>
      <c r="K891" s="53"/>
    </row>
    <row r="892" spans="1:11" x14ac:dyDescent="0.25">
      <c r="A892" s="2"/>
      <c r="B892" s="1"/>
      <c r="C892" s="6"/>
      <c r="D892" s="7"/>
      <c r="E892" s="8"/>
      <c r="F892" s="11"/>
      <c r="G892" s="14"/>
      <c r="H892" s="14"/>
      <c r="I892" s="14"/>
      <c r="J892" s="12"/>
      <c r="K892" s="53"/>
    </row>
    <row r="893" spans="1:11" x14ac:dyDescent="0.25">
      <c r="A893" s="2"/>
      <c r="B893" s="1"/>
      <c r="C893" s="6"/>
      <c r="D893" s="7"/>
      <c r="E893" s="8"/>
      <c r="F893" s="11"/>
      <c r="G893" s="14"/>
      <c r="H893" s="14"/>
      <c r="I893" s="14"/>
      <c r="J893" s="12"/>
      <c r="K893" s="53"/>
    </row>
    <row r="894" spans="1:11" x14ac:dyDescent="0.25">
      <c r="A894" s="2"/>
      <c r="B894" s="1"/>
      <c r="C894" s="6"/>
      <c r="D894" s="7"/>
      <c r="E894" s="8"/>
      <c r="F894" s="11"/>
      <c r="G894" s="14"/>
      <c r="H894" s="14"/>
      <c r="I894" s="14"/>
      <c r="J894" s="12"/>
      <c r="K894" s="53"/>
    </row>
    <row r="895" spans="1:11" x14ac:dyDescent="0.25">
      <c r="A895" s="2"/>
      <c r="B895" s="1"/>
      <c r="C895" s="6"/>
      <c r="D895" s="7"/>
      <c r="E895" s="8"/>
      <c r="F895" s="11"/>
      <c r="G895" s="14"/>
      <c r="H895" s="14"/>
      <c r="I895" s="14"/>
      <c r="J895" s="12"/>
      <c r="K895" s="53"/>
    </row>
    <row r="896" spans="1:11" x14ac:dyDescent="0.25">
      <c r="A896" s="2"/>
      <c r="B896" s="1"/>
      <c r="C896" s="6"/>
      <c r="D896" s="7"/>
      <c r="E896" s="8"/>
      <c r="F896" s="11"/>
      <c r="G896" s="14"/>
      <c r="H896" s="14"/>
      <c r="I896" s="14"/>
      <c r="J896" s="12"/>
      <c r="K896" s="53"/>
    </row>
    <row r="897" spans="1:11" x14ac:dyDescent="0.25">
      <c r="A897" s="2"/>
      <c r="B897" s="1"/>
      <c r="C897" s="6"/>
      <c r="D897" s="7"/>
      <c r="E897" s="8"/>
      <c r="F897" s="11"/>
      <c r="G897" s="14"/>
      <c r="H897" s="14"/>
      <c r="I897" s="14"/>
      <c r="J897" s="12"/>
      <c r="K897" s="53"/>
    </row>
    <row r="898" spans="1:11" x14ac:dyDescent="0.25">
      <c r="A898" s="2"/>
      <c r="B898" s="1"/>
      <c r="C898" s="6"/>
      <c r="D898" s="7"/>
      <c r="E898" s="8"/>
      <c r="F898" s="11"/>
      <c r="G898" s="14"/>
      <c r="H898" s="14"/>
      <c r="I898" s="14"/>
      <c r="J898" s="12"/>
      <c r="K898" s="53"/>
    </row>
    <row r="899" spans="1:11" x14ac:dyDescent="0.25">
      <c r="A899" s="2"/>
      <c r="B899" s="1"/>
      <c r="C899" s="6"/>
      <c r="D899" s="7"/>
      <c r="E899" s="8"/>
      <c r="F899" s="11"/>
      <c r="G899" s="14"/>
      <c r="H899" s="14"/>
      <c r="I899" s="14"/>
      <c r="J899" s="12"/>
      <c r="K899" s="53"/>
    </row>
    <row r="900" spans="1:11" x14ac:dyDescent="0.25">
      <c r="A900" s="2"/>
      <c r="B900" s="1"/>
      <c r="C900" s="6"/>
      <c r="D900" s="7"/>
      <c r="E900" s="8"/>
      <c r="F900" s="11"/>
      <c r="G900" s="14"/>
      <c r="H900" s="14"/>
      <c r="I900" s="14"/>
      <c r="J900" s="12"/>
      <c r="K900" s="53"/>
    </row>
    <row r="901" spans="1:11" x14ac:dyDescent="0.25">
      <c r="A901" s="2"/>
      <c r="B901" s="1"/>
      <c r="C901" s="6"/>
      <c r="D901" s="7"/>
      <c r="E901" s="8"/>
      <c r="F901" s="11"/>
      <c r="G901" s="14"/>
      <c r="H901" s="14"/>
      <c r="I901" s="14"/>
      <c r="J901" s="12"/>
      <c r="K901" s="53"/>
    </row>
    <row r="902" spans="1:11" x14ac:dyDescent="0.25">
      <c r="A902" s="2"/>
      <c r="B902" s="1"/>
      <c r="C902" s="6"/>
      <c r="D902" s="7"/>
      <c r="E902" s="8"/>
      <c r="F902" s="11"/>
      <c r="G902" s="14"/>
      <c r="H902" s="14"/>
      <c r="I902" s="14"/>
      <c r="J902" s="12"/>
      <c r="K902" s="53"/>
    </row>
    <row r="903" spans="1:11" x14ac:dyDescent="0.25">
      <c r="A903" s="2"/>
      <c r="B903" s="1"/>
      <c r="C903" s="6"/>
      <c r="D903" s="7"/>
      <c r="E903" s="8"/>
      <c r="F903" s="11"/>
      <c r="G903" s="14"/>
      <c r="H903" s="14"/>
      <c r="I903" s="14"/>
      <c r="J903" s="12"/>
      <c r="K903" s="53"/>
    </row>
    <row r="904" spans="1:11" x14ac:dyDescent="0.25">
      <c r="A904" s="2"/>
      <c r="B904" s="1"/>
      <c r="C904" s="6"/>
      <c r="D904" s="7"/>
      <c r="E904" s="8"/>
      <c r="F904" s="11"/>
      <c r="G904" s="14"/>
      <c r="H904" s="14"/>
      <c r="I904" s="14"/>
      <c r="J904" s="12"/>
      <c r="K904" s="53"/>
    </row>
    <row r="905" spans="1:11" x14ac:dyDescent="0.25">
      <c r="A905" s="2"/>
      <c r="B905" s="1"/>
      <c r="C905" s="6"/>
      <c r="D905" s="7"/>
      <c r="E905" s="8"/>
      <c r="F905" s="11"/>
      <c r="G905" s="14"/>
      <c r="H905" s="14"/>
      <c r="I905" s="14"/>
      <c r="J905" s="12"/>
      <c r="K905" s="53"/>
    </row>
    <row r="906" spans="1:11" x14ac:dyDescent="0.25">
      <c r="A906" s="2"/>
      <c r="B906" s="1"/>
      <c r="C906" s="6"/>
      <c r="D906" s="7"/>
      <c r="E906" s="8"/>
      <c r="F906" s="11"/>
      <c r="G906" s="14"/>
      <c r="H906" s="14"/>
      <c r="I906" s="14"/>
      <c r="J906" s="12"/>
      <c r="K906" s="53"/>
    </row>
    <row r="907" spans="1:11" x14ac:dyDescent="0.25">
      <c r="A907" s="2"/>
      <c r="B907" s="1"/>
      <c r="C907" s="6"/>
      <c r="D907" s="7"/>
      <c r="E907" s="8"/>
      <c r="F907" s="11"/>
      <c r="G907" s="14"/>
      <c r="H907" s="14"/>
      <c r="I907" s="14"/>
      <c r="J907" s="12"/>
      <c r="K907" s="53"/>
    </row>
    <row r="908" spans="1:11" x14ac:dyDescent="0.25">
      <c r="A908" s="2"/>
      <c r="B908" s="1"/>
      <c r="C908" s="6"/>
      <c r="D908" s="7"/>
      <c r="E908" s="8"/>
      <c r="F908" s="11"/>
      <c r="G908" s="14"/>
      <c r="H908" s="14"/>
      <c r="I908" s="14"/>
      <c r="J908" s="12"/>
      <c r="K908" s="53"/>
    </row>
    <row r="909" spans="1:11" x14ac:dyDescent="0.25">
      <c r="A909" s="2"/>
      <c r="B909" s="1"/>
      <c r="C909" s="6"/>
      <c r="D909" s="7"/>
      <c r="E909" s="8"/>
      <c r="F909" s="11"/>
      <c r="G909" s="14"/>
      <c r="H909" s="14"/>
      <c r="I909" s="14"/>
      <c r="J909" s="12"/>
      <c r="K909" s="53"/>
    </row>
    <row r="910" spans="1:11" x14ac:dyDescent="0.25">
      <c r="A910" s="2"/>
      <c r="B910" s="1"/>
      <c r="C910" s="6"/>
      <c r="D910" s="7"/>
      <c r="E910" s="8"/>
      <c r="F910" s="11"/>
      <c r="G910" s="14"/>
      <c r="H910" s="14"/>
      <c r="I910" s="14"/>
      <c r="J910" s="12"/>
      <c r="K910" s="53"/>
    </row>
    <row r="911" spans="1:11" x14ac:dyDescent="0.25">
      <c r="A911" s="2"/>
      <c r="B911" s="1"/>
      <c r="C911" s="6"/>
      <c r="D911" s="7"/>
      <c r="E911" s="8"/>
      <c r="F911" s="10"/>
      <c r="G911" s="10"/>
      <c r="H911" s="5"/>
      <c r="I911" s="5"/>
      <c r="J911" s="12"/>
      <c r="K911" s="53"/>
    </row>
    <row r="912" spans="1:11" x14ac:dyDescent="0.25">
      <c r="A912" s="2"/>
      <c r="B912" s="1"/>
      <c r="C912" s="6"/>
      <c r="D912" s="7"/>
      <c r="E912" s="8"/>
      <c r="F912" s="11"/>
      <c r="G912" s="14"/>
      <c r="H912" s="14"/>
      <c r="I912" s="14"/>
      <c r="J912" s="12"/>
      <c r="K912" s="53"/>
    </row>
    <row r="913" spans="1:11" x14ac:dyDescent="0.25">
      <c r="A913" s="2"/>
      <c r="B913" s="1"/>
      <c r="C913" s="6"/>
      <c r="D913" s="7"/>
      <c r="E913" s="8"/>
      <c r="F913" s="11"/>
      <c r="G913" s="14"/>
      <c r="H913" s="14"/>
      <c r="I913" s="14"/>
      <c r="J913" s="12"/>
      <c r="K913" s="53"/>
    </row>
    <row r="914" spans="1:11" x14ac:dyDescent="0.25">
      <c r="A914" s="2"/>
      <c r="B914" s="1"/>
      <c r="C914" s="6"/>
      <c r="D914" s="7"/>
      <c r="E914" s="8"/>
      <c r="F914" s="11"/>
      <c r="G914" s="14"/>
      <c r="H914" s="14"/>
      <c r="I914" s="14"/>
      <c r="J914" s="12"/>
      <c r="K914" s="53"/>
    </row>
    <row r="915" spans="1:11" x14ac:dyDescent="0.25">
      <c r="A915" s="2"/>
      <c r="B915" s="1"/>
      <c r="C915" s="6"/>
      <c r="D915" s="7"/>
      <c r="E915" s="8"/>
      <c r="F915" s="11"/>
      <c r="G915" s="14"/>
      <c r="H915" s="14"/>
      <c r="I915" s="14"/>
      <c r="J915" s="12"/>
      <c r="K915" s="53"/>
    </row>
    <row r="916" spans="1:11" x14ac:dyDescent="0.25">
      <c r="A916" s="2"/>
      <c r="B916" s="1"/>
      <c r="C916" s="6"/>
      <c r="D916" s="7"/>
      <c r="E916" s="8"/>
      <c r="F916" s="11"/>
      <c r="G916" s="14"/>
      <c r="H916" s="14"/>
      <c r="I916" s="5"/>
      <c r="J916" s="12"/>
      <c r="K916" s="53"/>
    </row>
    <row r="917" spans="1:11" x14ac:dyDescent="0.25">
      <c r="A917" s="2"/>
      <c r="B917" s="1"/>
      <c r="C917" s="6"/>
      <c r="D917" s="7"/>
      <c r="E917" s="8"/>
      <c r="F917" s="11"/>
      <c r="G917" s="14"/>
      <c r="H917" s="14"/>
      <c r="I917" s="14"/>
      <c r="J917" s="12"/>
      <c r="K917" s="53"/>
    </row>
    <row r="918" spans="1:11" x14ac:dyDescent="0.25">
      <c r="A918" s="2"/>
      <c r="B918" s="1"/>
      <c r="C918" s="6"/>
      <c r="D918" s="7"/>
      <c r="E918" s="8"/>
      <c r="F918" s="11"/>
      <c r="G918" s="14"/>
      <c r="H918" s="14"/>
      <c r="I918" s="14"/>
      <c r="J918" s="12"/>
      <c r="K918" s="53"/>
    </row>
    <row r="919" spans="1:11" x14ac:dyDescent="0.25">
      <c r="A919" s="2"/>
      <c r="B919" s="1"/>
      <c r="C919" s="6"/>
      <c r="D919" s="7"/>
      <c r="E919" s="8"/>
      <c r="F919" s="11"/>
      <c r="G919" s="14"/>
      <c r="H919" s="14"/>
      <c r="I919" s="14"/>
      <c r="J919" s="12"/>
      <c r="K919" s="53"/>
    </row>
    <row r="920" spans="1:11" x14ac:dyDescent="0.25">
      <c r="A920" s="2"/>
      <c r="B920" s="1"/>
      <c r="C920" s="6"/>
      <c r="D920" s="7"/>
      <c r="E920" s="8"/>
      <c r="F920" s="11"/>
      <c r="G920" s="14"/>
      <c r="H920" s="14"/>
      <c r="I920" s="14"/>
      <c r="J920" s="12"/>
      <c r="K920" s="53"/>
    </row>
    <row r="921" spans="1:11" x14ac:dyDescent="0.25">
      <c r="A921" s="2"/>
      <c r="B921" s="1"/>
      <c r="C921" s="6"/>
      <c r="D921" s="7"/>
      <c r="E921" s="8"/>
      <c r="F921" s="11"/>
      <c r="G921" s="14"/>
      <c r="H921" s="14"/>
      <c r="I921" s="14"/>
      <c r="J921" s="12"/>
      <c r="K921" s="53"/>
    </row>
    <row r="922" spans="1:11" x14ac:dyDescent="0.25">
      <c r="A922" s="2"/>
      <c r="B922" s="1"/>
      <c r="C922" s="6"/>
      <c r="D922" s="7"/>
      <c r="E922" s="8"/>
      <c r="F922" s="11"/>
      <c r="G922" s="14"/>
      <c r="H922" s="14"/>
      <c r="I922" s="14"/>
      <c r="J922" s="12"/>
      <c r="K922" s="53"/>
    </row>
    <row r="923" spans="1:11" ht="16.5" thickBot="1" x14ac:dyDescent="0.3">
      <c r="A923" s="18"/>
      <c r="B923" s="19"/>
      <c r="C923" s="20"/>
      <c r="D923" s="21"/>
      <c r="E923" s="22"/>
      <c r="F923" s="23"/>
      <c r="G923" s="24"/>
      <c r="H923" s="24"/>
      <c r="I923" s="24"/>
      <c r="J923" s="25"/>
      <c r="K923" s="53"/>
    </row>
    <row r="1616" spans="1:10" x14ac:dyDescent="0.25">
      <c r="A1616" s="2"/>
      <c r="B1616" s="1"/>
      <c r="C1616" s="6"/>
      <c r="D1616" s="7"/>
      <c r="E1616" s="8"/>
      <c r="F1616" s="5"/>
      <c r="G1616" s="5"/>
      <c r="H1616" s="5"/>
      <c r="I1616" s="5"/>
      <c r="J1616" s="9"/>
    </row>
    <row r="1617" spans="1:10" x14ac:dyDescent="0.25">
      <c r="A1617" s="2"/>
      <c r="B1617" s="1"/>
      <c r="C1617" s="6"/>
      <c r="D1617" s="7"/>
      <c r="E1617" s="8"/>
      <c r="F1617" s="5"/>
      <c r="G1617" s="5"/>
      <c r="H1617" s="5"/>
      <c r="I1617" s="5"/>
      <c r="J1617" s="9"/>
    </row>
    <row r="1618" spans="1:10" x14ac:dyDescent="0.25">
      <c r="A1618" s="2"/>
      <c r="B1618" s="1"/>
      <c r="C1618" s="6"/>
      <c r="D1618" s="7"/>
      <c r="E1618" s="8"/>
      <c r="F1618" s="11"/>
      <c r="G1618" s="5"/>
      <c r="H1618" s="5"/>
      <c r="I1618" s="5"/>
      <c r="J1618" s="12"/>
    </row>
    <row r="1619" spans="1:10" x14ac:dyDescent="0.25">
      <c r="A1619" s="2"/>
      <c r="B1619" s="1"/>
      <c r="C1619" s="6"/>
      <c r="D1619" s="7"/>
      <c r="E1619" s="8"/>
      <c r="F1619" s="11"/>
      <c r="G1619" s="5"/>
      <c r="H1619" s="5"/>
      <c r="I1619" s="5"/>
      <c r="J1619" s="12"/>
    </row>
    <row r="1620" spans="1:10" x14ac:dyDescent="0.25">
      <c r="A1620" s="2"/>
      <c r="B1620" s="1"/>
      <c r="C1620" s="6"/>
      <c r="D1620" s="7"/>
      <c r="E1620" s="8"/>
      <c r="F1620" s="11"/>
      <c r="G1620" s="5"/>
      <c r="H1620" s="5"/>
      <c r="I1620" s="5"/>
      <c r="J1620" s="12"/>
    </row>
    <row r="1621" spans="1:10" x14ac:dyDescent="0.25">
      <c r="A1621" s="2"/>
      <c r="B1621" s="1"/>
      <c r="C1621" s="6"/>
      <c r="D1621" s="7"/>
      <c r="E1621" s="8"/>
      <c r="F1621" s="11"/>
      <c r="G1621" s="5"/>
      <c r="H1621" s="5"/>
      <c r="I1621" s="5"/>
      <c r="J1621" s="12"/>
    </row>
    <row r="1622" spans="1:10" x14ac:dyDescent="0.25">
      <c r="A1622" s="2"/>
      <c r="B1622" s="1"/>
      <c r="C1622" s="6"/>
      <c r="D1622" s="7"/>
      <c r="E1622" s="8"/>
      <c r="F1622" s="11"/>
      <c r="G1622" s="5"/>
      <c r="H1622" s="5"/>
      <c r="I1622" s="5"/>
      <c r="J1622" s="12"/>
    </row>
    <row r="1623" spans="1:10" x14ac:dyDescent="0.25">
      <c r="A1623" s="2"/>
      <c r="B1623" s="1"/>
      <c r="C1623" s="6"/>
      <c r="D1623" s="7"/>
      <c r="E1623" s="8"/>
      <c r="F1623" s="11"/>
      <c r="G1623" s="5"/>
      <c r="H1623" s="5"/>
      <c r="I1623" s="5"/>
      <c r="J1623" s="12"/>
    </row>
    <row r="1624" spans="1:10" x14ac:dyDescent="0.25">
      <c r="A1624" s="2"/>
      <c r="B1624" s="1"/>
      <c r="C1624" s="6"/>
      <c r="D1624" s="7"/>
      <c r="E1624" s="8"/>
      <c r="F1624" s="11"/>
      <c r="G1624" s="5"/>
      <c r="H1624" s="5"/>
      <c r="I1624" s="5"/>
      <c r="J1624" s="12"/>
    </row>
    <row r="1625" spans="1:10" x14ac:dyDescent="0.25">
      <c r="A1625" s="2"/>
      <c r="B1625" s="1"/>
      <c r="C1625" s="6"/>
      <c r="D1625" s="7"/>
      <c r="E1625" s="8"/>
      <c r="F1625" s="11"/>
      <c r="G1625" s="5"/>
      <c r="H1625" s="5"/>
      <c r="I1625" s="5"/>
      <c r="J1625" s="12"/>
    </row>
    <row r="1626" spans="1:10" x14ac:dyDescent="0.25">
      <c r="A1626" s="2"/>
      <c r="B1626" s="1"/>
      <c r="C1626" s="6"/>
      <c r="D1626" s="7"/>
      <c r="E1626" s="8"/>
      <c r="F1626" s="11"/>
      <c r="G1626" s="5"/>
      <c r="H1626" s="5"/>
      <c r="I1626" s="5"/>
      <c r="J1626" s="12"/>
    </row>
    <row r="1627" spans="1:10" x14ac:dyDescent="0.25">
      <c r="A1627" s="2"/>
      <c r="B1627" s="1"/>
      <c r="C1627" s="6"/>
      <c r="D1627" s="7"/>
      <c r="E1627" s="8"/>
      <c r="F1627" s="11"/>
      <c r="G1627" s="5"/>
      <c r="H1627" s="5"/>
      <c r="I1627" s="5"/>
      <c r="J1627" s="12"/>
    </row>
    <row r="1628" spans="1:10" x14ac:dyDescent="0.25">
      <c r="A1628" s="2"/>
      <c r="B1628" s="1"/>
      <c r="C1628" s="6"/>
      <c r="D1628" s="7"/>
      <c r="E1628" s="8"/>
      <c r="F1628" s="11"/>
      <c r="G1628" s="5"/>
      <c r="H1628" s="5"/>
      <c r="I1628" s="5"/>
      <c r="J1628" s="12"/>
    </row>
    <row r="1629" spans="1:10" x14ac:dyDescent="0.25">
      <c r="A1629" s="2"/>
      <c r="B1629" s="1"/>
      <c r="C1629" s="6"/>
      <c r="D1629" s="7"/>
      <c r="E1629" s="8"/>
      <c r="F1629" s="11"/>
      <c r="G1629" s="5"/>
      <c r="H1629" s="5"/>
      <c r="I1629" s="5"/>
      <c r="J1629" s="12"/>
    </row>
    <row r="1630" spans="1:10" x14ac:dyDescent="0.25">
      <c r="A1630" s="2"/>
      <c r="B1630" s="1"/>
      <c r="C1630" s="6"/>
      <c r="D1630" s="7"/>
      <c r="E1630" s="8"/>
      <c r="F1630" s="11"/>
      <c r="G1630" s="5"/>
      <c r="H1630" s="5"/>
      <c r="I1630" s="5"/>
      <c r="J1630" s="12"/>
    </row>
    <row r="1631" spans="1:10" x14ac:dyDescent="0.25">
      <c r="A1631" s="2"/>
      <c r="B1631" s="1"/>
      <c r="C1631" s="6"/>
      <c r="D1631" s="7"/>
      <c r="E1631" s="8"/>
      <c r="F1631" s="11"/>
      <c r="G1631" s="5"/>
      <c r="H1631" s="5"/>
      <c r="I1631" s="5"/>
      <c r="J1631" s="12"/>
    </row>
    <row r="1632" spans="1:10" x14ac:dyDescent="0.25">
      <c r="A1632" s="2"/>
      <c r="B1632" s="1"/>
      <c r="C1632" s="6"/>
      <c r="D1632" s="7"/>
      <c r="E1632" s="8"/>
      <c r="F1632" s="11"/>
      <c r="G1632" s="5"/>
      <c r="H1632" s="5"/>
      <c r="I1632" s="5"/>
      <c r="J1632" s="12"/>
    </row>
    <row r="1633" spans="1:10" x14ac:dyDescent="0.25">
      <c r="A1633" s="2"/>
      <c r="B1633" s="1"/>
      <c r="C1633" s="6"/>
      <c r="D1633" s="7"/>
      <c r="E1633" s="8"/>
      <c r="F1633" s="11"/>
      <c r="G1633" s="13"/>
      <c r="H1633" s="14"/>
      <c r="I1633" s="14"/>
      <c r="J1633" s="12"/>
    </row>
    <row r="1634" spans="1:10" x14ac:dyDescent="0.25">
      <c r="A1634" s="2"/>
      <c r="B1634" s="1"/>
      <c r="C1634" s="6"/>
      <c r="D1634" s="7"/>
      <c r="E1634" s="8"/>
      <c r="F1634" s="11"/>
      <c r="G1634" s="5"/>
      <c r="H1634" s="5"/>
      <c r="I1634" s="5"/>
      <c r="J1634" s="12"/>
    </row>
    <row r="1635" spans="1:10" x14ac:dyDescent="0.25">
      <c r="A1635" s="2"/>
      <c r="B1635" s="1"/>
      <c r="C1635" s="6"/>
      <c r="D1635" s="7"/>
      <c r="E1635" s="8"/>
      <c r="F1635" s="11"/>
      <c r="G1635" s="5"/>
      <c r="H1635" s="5"/>
      <c r="I1635" s="5"/>
      <c r="J1635" s="12"/>
    </row>
    <row r="1636" spans="1:10" x14ac:dyDescent="0.25">
      <c r="A1636" s="2"/>
      <c r="B1636" s="1"/>
      <c r="C1636" s="6"/>
      <c r="D1636" s="7"/>
      <c r="E1636" s="8"/>
      <c r="F1636" s="11"/>
      <c r="G1636" s="5"/>
      <c r="H1636" s="5"/>
      <c r="I1636" s="5"/>
      <c r="J1636" s="12"/>
    </row>
    <row r="1637" spans="1:10" x14ac:dyDescent="0.25">
      <c r="A1637" s="2"/>
      <c r="B1637" s="1"/>
      <c r="C1637" s="6"/>
      <c r="D1637" s="7"/>
      <c r="E1637" s="8"/>
      <c r="F1637" s="11"/>
      <c r="G1637" s="5"/>
      <c r="H1637" s="5"/>
      <c r="I1637" s="5"/>
      <c r="J1637" s="12"/>
    </row>
    <row r="1638" spans="1:10" x14ac:dyDescent="0.25">
      <c r="A1638" s="2"/>
      <c r="B1638" s="1"/>
      <c r="C1638" s="6"/>
      <c r="D1638" s="7"/>
      <c r="E1638" s="8"/>
      <c r="F1638" s="11"/>
      <c r="G1638" s="5"/>
      <c r="H1638" s="5"/>
      <c r="I1638" s="5"/>
      <c r="J1638" s="12"/>
    </row>
    <row r="1639" spans="1:10" x14ac:dyDescent="0.25">
      <c r="A1639" s="2"/>
      <c r="B1639" s="1"/>
      <c r="C1639" s="6"/>
      <c r="D1639" s="7"/>
      <c r="E1639" s="8"/>
      <c r="F1639" s="11"/>
      <c r="G1639" s="5"/>
      <c r="H1639" s="5"/>
      <c r="I1639" s="5"/>
      <c r="J1639" s="12"/>
    </row>
    <row r="1640" spans="1:10" x14ac:dyDescent="0.25">
      <c r="A1640" s="2"/>
      <c r="B1640" s="1"/>
      <c r="C1640" s="6"/>
      <c r="D1640" s="7"/>
      <c r="E1640" s="8"/>
      <c r="F1640" s="11"/>
      <c r="G1640" s="5"/>
      <c r="H1640" s="5"/>
      <c r="I1640" s="5"/>
      <c r="J1640" s="12"/>
    </row>
    <row r="1641" spans="1:10" x14ac:dyDescent="0.25">
      <c r="A1641" s="2"/>
      <c r="B1641" s="1"/>
      <c r="C1641" s="6"/>
      <c r="D1641" s="7"/>
      <c r="E1641" s="8"/>
      <c r="F1641" s="11"/>
      <c r="G1641" s="5"/>
      <c r="H1641" s="5"/>
      <c r="I1641" s="5"/>
      <c r="J1641" s="12"/>
    </row>
    <row r="1642" spans="1:10" x14ac:dyDescent="0.25">
      <c r="A1642" s="2"/>
      <c r="B1642" s="1"/>
      <c r="C1642" s="6"/>
      <c r="D1642" s="7"/>
      <c r="E1642" s="8"/>
      <c r="F1642" s="11"/>
      <c r="G1642" s="5"/>
      <c r="H1642" s="5"/>
      <c r="I1642" s="5"/>
      <c r="J1642" s="12"/>
    </row>
    <row r="1643" spans="1:10" x14ac:dyDescent="0.25">
      <c r="A1643" s="2"/>
      <c r="B1643" s="1"/>
      <c r="C1643" s="6"/>
      <c r="D1643" s="7"/>
      <c r="E1643" s="8"/>
      <c r="F1643" s="11"/>
      <c r="G1643" s="5"/>
      <c r="H1643" s="5"/>
      <c r="I1643" s="5"/>
      <c r="J1643" s="12"/>
    </row>
    <row r="1644" spans="1:10" x14ac:dyDescent="0.25">
      <c r="A1644" s="2"/>
      <c r="B1644" s="1"/>
      <c r="C1644" s="6"/>
      <c r="D1644" s="7"/>
      <c r="E1644" s="8"/>
      <c r="F1644" s="11"/>
      <c r="G1644" s="5"/>
      <c r="H1644" s="5"/>
      <c r="I1644" s="5"/>
      <c r="J1644" s="12"/>
    </row>
    <row r="1645" spans="1:10" x14ac:dyDescent="0.25">
      <c r="A1645" s="2"/>
      <c r="B1645" s="1"/>
      <c r="C1645" s="6"/>
      <c r="D1645" s="7"/>
      <c r="E1645" s="8"/>
      <c r="F1645" s="11"/>
      <c r="G1645" s="5"/>
      <c r="H1645" s="5"/>
      <c r="I1645" s="5"/>
      <c r="J1645" s="12"/>
    </row>
    <row r="1646" spans="1:10" x14ac:dyDescent="0.25">
      <c r="A1646" s="2"/>
      <c r="B1646" s="1"/>
      <c r="C1646" s="6"/>
      <c r="D1646" s="7"/>
      <c r="E1646" s="8"/>
      <c r="F1646" s="11"/>
      <c r="G1646" s="14"/>
      <c r="H1646" s="14"/>
      <c r="I1646" s="14"/>
      <c r="J1646" s="12"/>
    </row>
    <row r="1647" spans="1:10" x14ac:dyDescent="0.25">
      <c r="A1647" s="2"/>
      <c r="B1647" s="1"/>
      <c r="C1647" s="6"/>
      <c r="D1647" s="7"/>
      <c r="E1647" s="8"/>
      <c r="F1647" s="11"/>
      <c r="G1647" s="5"/>
      <c r="H1647" s="5"/>
      <c r="I1647" s="5"/>
      <c r="J1647" s="12"/>
    </row>
    <row r="1648" spans="1:10" x14ac:dyDescent="0.25">
      <c r="A1648" s="2"/>
      <c r="B1648" s="1"/>
      <c r="C1648" s="6"/>
      <c r="D1648" s="7"/>
      <c r="E1648" s="8"/>
      <c r="F1648" s="11"/>
      <c r="G1648" s="5"/>
      <c r="H1648" s="5"/>
      <c r="I1648" s="5"/>
      <c r="J1648" s="12"/>
    </row>
    <row r="1649" spans="1:10" x14ac:dyDescent="0.25">
      <c r="A1649" s="2"/>
      <c r="B1649" s="1"/>
      <c r="C1649" s="6"/>
      <c r="D1649" s="7"/>
      <c r="E1649" s="8"/>
      <c r="F1649" s="11"/>
      <c r="G1649" s="14"/>
      <c r="H1649" s="14"/>
      <c r="I1649" s="14"/>
      <c r="J1649" s="12"/>
    </row>
    <row r="1650" spans="1:10" x14ac:dyDescent="0.25">
      <c r="A1650" s="2"/>
      <c r="B1650" s="1"/>
      <c r="C1650" s="6"/>
      <c r="D1650" s="7"/>
      <c r="E1650" s="8"/>
      <c r="F1650" s="11"/>
      <c r="G1650" s="14"/>
      <c r="H1650" s="14"/>
      <c r="I1650" s="14"/>
      <c r="J1650" s="12"/>
    </row>
    <row r="1651" spans="1:10" x14ac:dyDescent="0.25">
      <c r="A1651" s="2"/>
      <c r="B1651" s="1"/>
      <c r="C1651" s="6"/>
      <c r="D1651" s="7"/>
      <c r="E1651" s="8"/>
      <c r="F1651" s="11"/>
      <c r="G1651" s="5"/>
      <c r="H1651" s="5"/>
      <c r="I1651" s="5"/>
      <c r="J1651" s="12"/>
    </row>
    <row r="1652" spans="1:10" x14ac:dyDescent="0.25">
      <c r="A1652" s="2"/>
      <c r="B1652" s="1"/>
      <c r="C1652" s="6"/>
      <c r="D1652" s="7"/>
      <c r="E1652" s="8"/>
      <c r="F1652" s="11"/>
      <c r="G1652" s="5"/>
      <c r="H1652" s="5"/>
      <c r="I1652" s="5"/>
      <c r="J1652" s="12"/>
    </row>
    <row r="1653" spans="1:10" x14ac:dyDescent="0.25">
      <c r="A1653" s="2"/>
      <c r="B1653" s="1"/>
      <c r="C1653" s="6"/>
      <c r="D1653" s="7"/>
      <c r="E1653" s="8"/>
      <c r="F1653" s="11"/>
      <c r="G1653" s="5"/>
      <c r="H1653" s="5"/>
      <c r="I1653" s="5"/>
      <c r="J1653" s="12"/>
    </row>
    <row r="1654" spans="1:10" x14ac:dyDescent="0.25">
      <c r="A1654" s="2"/>
      <c r="B1654" s="1"/>
      <c r="C1654" s="6"/>
      <c r="D1654" s="7"/>
      <c r="E1654" s="8"/>
      <c r="F1654" s="11"/>
      <c r="G1654" s="5"/>
      <c r="H1654" s="5"/>
      <c r="I1654" s="5"/>
      <c r="J1654" s="12"/>
    </row>
    <row r="1655" spans="1:10" x14ac:dyDescent="0.25">
      <c r="A1655" s="2"/>
      <c r="B1655" s="1"/>
      <c r="C1655" s="6"/>
      <c r="D1655" s="7"/>
      <c r="E1655" s="8"/>
      <c r="F1655" s="11"/>
      <c r="G1655" s="5"/>
      <c r="H1655" s="5"/>
      <c r="I1655" s="5"/>
      <c r="J1655" s="12"/>
    </row>
    <row r="1656" spans="1:10" x14ac:dyDescent="0.25">
      <c r="A1656" s="2"/>
      <c r="B1656" s="1"/>
      <c r="C1656" s="6"/>
      <c r="D1656" s="7"/>
      <c r="E1656" s="8"/>
      <c r="F1656" s="11"/>
      <c r="G1656" s="5"/>
      <c r="H1656" s="5"/>
      <c r="I1656" s="5"/>
      <c r="J1656" s="12"/>
    </row>
    <row r="1657" spans="1:10" x14ac:dyDescent="0.25">
      <c r="A1657" s="2"/>
      <c r="B1657" s="1"/>
      <c r="C1657" s="6"/>
      <c r="D1657" s="7"/>
      <c r="E1657" s="8"/>
      <c r="F1657" s="11"/>
      <c r="G1657" s="5"/>
      <c r="H1657" s="5"/>
      <c r="I1657" s="5"/>
      <c r="J1657" s="12"/>
    </row>
    <row r="1658" spans="1:10" x14ac:dyDescent="0.25">
      <c r="A1658" s="2"/>
      <c r="B1658" s="1"/>
      <c r="C1658" s="6"/>
      <c r="D1658" s="7"/>
      <c r="E1658" s="8"/>
      <c r="F1658" s="11"/>
      <c r="G1658" s="5"/>
      <c r="H1658" s="5"/>
      <c r="I1658" s="5"/>
      <c r="J1658" s="12"/>
    </row>
    <row r="1659" spans="1:10" x14ac:dyDescent="0.25">
      <c r="A1659" s="2"/>
      <c r="B1659" s="1"/>
      <c r="C1659" s="6"/>
      <c r="D1659" s="7"/>
      <c r="E1659" s="8"/>
      <c r="F1659" s="11"/>
      <c r="G1659" s="5"/>
      <c r="H1659" s="5"/>
      <c r="I1659" s="5"/>
      <c r="J1659" s="12"/>
    </row>
    <row r="1660" spans="1:10" x14ac:dyDescent="0.25">
      <c r="A1660" s="2"/>
      <c r="B1660" s="1"/>
      <c r="C1660" s="6"/>
      <c r="D1660" s="7"/>
      <c r="E1660" s="8"/>
      <c r="F1660" s="11"/>
      <c r="G1660" s="5"/>
      <c r="H1660" s="5"/>
      <c r="I1660" s="5"/>
      <c r="J1660" s="12"/>
    </row>
    <row r="1661" spans="1:10" x14ac:dyDescent="0.25">
      <c r="A1661" s="2"/>
      <c r="B1661" s="1"/>
      <c r="C1661" s="6"/>
      <c r="D1661" s="7"/>
      <c r="E1661" s="8"/>
      <c r="F1661" s="11"/>
      <c r="G1661" s="5"/>
      <c r="H1661" s="5"/>
      <c r="I1661" s="5"/>
      <c r="J1661" s="12"/>
    </row>
    <row r="1662" spans="1:10" x14ac:dyDescent="0.25">
      <c r="A1662" s="2"/>
      <c r="B1662" s="1"/>
      <c r="C1662" s="6"/>
      <c r="D1662" s="7"/>
      <c r="E1662" s="8"/>
      <c r="F1662" s="11"/>
      <c r="G1662" s="5"/>
      <c r="H1662" s="5"/>
      <c r="I1662" s="5"/>
      <c r="J1662" s="12"/>
    </row>
    <row r="1663" spans="1:10" x14ac:dyDescent="0.25">
      <c r="A1663" s="15"/>
      <c r="B1663" s="1"/>
      <c r="C1663" s="6"/>
      <c r="D1663" s="7"/>
      <c r="E1663" s="8"/>
      <c r="F1663" s="11"/>
      <c r="G1663" s="5"/>
      <c r="H1663" s="5"/>
      <c r="I1663" s="5"/>
      <c r="J1663" s="12"/>
    </row>
    <row r="1664" spans="1:10" x14ac:dyDescent="0.25">
      <c r="A1664" s="15"/>
      <c r="B1664" s="1"/>
      <c r="C1664" s="6"/>
      <c r="D1664" s="7"/>
      <c r="E1664" s="8"/>
      <c r="F1664" s="11"/>
      <c r="G1664" s="5"/>
      <c r="H1664" s="5"/>
      <c r="I1664" s="5"/>
      <c r="J1664" s="12"/>
    </row>
    <row r="1665" spans="1:10" x14ac:dyDescent="0.25">
      <c r="A1665" s="15"/>
      <c r="B1665" s="1"/>
      <c r="C1665" s="6"/>
      <c r="D1665" s="7"/>
      <c r="E1665" s="8"/>
      <c r="F1665" s="10"/>
      <c r="G1665" s="10"/>
      <c r="H1665" s="5"/>
      <c r="I1665" s="5"/>
      <c r="J1665" s="12"/>
    </row>
    <row r="1666" spans="1:10" x14ac:dyDescent="0.25">
      <c r="A1666" s="15"/>
      <c r="B1666" s="1"/>
      <c r="C1666" s="6"/>
      <c r="D1666" s="7"/>
      <c r="E1666" s="8"/>
      <c r="F1666" s="11"/>
      <c r="G1666" s="14"/>
      <c r="H1666" s="14"/>
      <c r="I1666" s="14"/>
      <c r="J1666" s="12"/>
    </row>
    <row r="1667" spans="1:10" x14ac:dyDescent="0.25">
      <c r="A1667" s="15"/>
      <c r="B1667" s="1"/>
      <c r="C1667" s="6"/>
      <c r="D1667" s="7"/>
      <c r="E1667" s="8"/>
      <c r="F1667" s="11"/>
      <c r="G1667" s="5"/>
      <c r="H1667" s="5"/>
      <c r="I1667" s="5"/>
      <c r="J1667" s="12"/>
    </row>
    <row r="1668" spans="1:10" x14ac:dyDescent="0.25">
      <c r="A1668" s="15"/>
      <c r="B1668" s="1"/>
      <c r="C1668" s="6"/>
      <c r="D1668" s="7"/>
      <c r="E1668" s="8"/>
      <c r="F1668" s="11"/>
      <c r="G1668" s="5"/>
      <c r="H1668" s="5"/>
      <c r="I1668" s="5"/>
      <c r="J1668" s="12"/>
    </row>
    <row r="1669" spans="1:10" x14ac:dyDescent="0.25">
      <c r="A1669" s="15"/>
      <c r="B1669" s="1"/>
      <c r="C1669" s="6"/>
      <c r="D1669" s="7"/>
      <c r="E1669" s="8"/>
      <c r="F1669" s="11"/>
      <c r="G1669" s="5"/>
      <c r="H1669" s="5"/>
      <c r="I1669" s="5"/>
      <c r="J1669" s="12"/>
    </row>
    <row r="1670" spans="1:10" x14ac:dyDescent="0.25">
      <c r="A1670" s="15"/>
      <c r="B1670" s="1"/>
      <c r="C1670" s="6"/>
      <c r="D1670" s="7"/>
      <c r="E1670" s="8"/>
      <c r="F1670" s="11"/>
      <c r="G1670" s="14"/>
      <c r="H1670" s="14"/>
      <c r="I1670" s="5"/>
      <c r="J1670" s="12"/>
    </row>
    <row r="1671" spans="1:10" x14ac:dyDescent="0.25">
      <c r="A1671" s="15"/>
      <c r="B1671" s="1"/>
      <c r="C1671" s="6"/>
      <c r="D1671" s="7"/>
      <c r="E1671" s="8"/>
      <c r="F1671" s="10"/>
      <c r="G1671" s="10"/>
      <c r="H1671" s="5"/>
      <c r="I1671" s="5"/>
      <c r="J1671" s="12"/>
    </row>
    <row r="1672" spans="1:10" x14ac:dyDescent="0.25">
      <c r="A1672" s="15"/>
      <c r="B1672" s="1"/>
      <c r="C1672" s="6"/>
      <c r="D1672" s="7"/>
      <c r="E1672" s="8"/>
      <c r="F1672" s="10"/>
      <c r="G1672" s="10"/>
      <c r="H1672" s="5"/>
      <c r="I1672" s="5"/>
      <c r="J1672" s="12"/>
    </row>
    <row r="1673" spans="1:10" x14ac:dyDescent="0.25">
      <c r="A1673" s="15"/>
      <c r="B1673" s="1"/>
      <c r="C1673" s="6"/>
      <c r="D1673" s="7"/>
      <c r="E1673" s="8"/>
      <c r="F1673" s="11"/>
      <c r="G1673" s="5"/>
      <c r="H1673" s="5"/>
      <c r="I1673" s="5"/>
      <c r="J1673" s="12"/>
    </row>
    <row r="1674" spans="1:10" x14ac:dyDescent="0.25">
      <c r="A1674" s="15"/>
      <c r="B1674" s="1"/>
      <c r="C1674" s="6"/>
      <c r="D1674" s="7"/>
      <c r="E1674" s="8"/>
      <c r="F1674" s="11"/>
      <c r="G1674" s="14"/>
      <c r="H1674" s="14"/>
      <c r="I1674" s="14"/>
      <c r="J1674" s="12"/>
    </row>
    <row r="1675" spans="1:10" x14ac:dyDescent="0.25">
      <c r="A1675" s="15"/>
      <c r="B1675" s="1"/>
      <c r="C1675" s="6"/>
      <c r="D1675" s="7"/>
      <c r="E1675" s="8"/>
      <c r="F1675" s="10"/>
      <c r="G1675" s="10"/>
      <c r="H1675" s="5"/>
      <c r="I1675" s="5"/>
      <c r="J1675" s="12"/>
    </row>
    <row r="1676" spans="1:10" x14ac:dyDescent="0.25">
      <c r="A1676" s="15"/>
      <c r="B1676" s="1"/>
      <c r="C1676" s="6"/>
      <c r="D1676" s="7"/>
      <c r="E1676" s="8"/>
      <c r="F1676" s="10"/>
      <c r="G1676" s="10"/>
      <c r="H1676" s="5"/>
      <c r="I1676" s="5"/>
      <c r="J1676" s="12"/>
    </row>
    <row r="1677" spans="1:10" x14ac:dyDescent="0.25">
      <c r="A1677" s="15"/>
      <c r="B1677" s="1"/>
      <c r="C1677" s="6"/>
      <c r="D1677" s="7"/>
      <c r="E1677" s="8"/>
      <c r="F1677" s="11"/>
      <c r="G1677" s="14"/>
      <c r="H1677" s="14"/>
      <c r="I1677" s="14"/>
      <c r="J1677" s="12"/>
    </row>
    <row r="1678" spans="1:10" x14ac:dyDescent="0.25">
      <c r="A1678" s="15"/>
      <c r="B1678" s="1"/>
      <c r="C1678" s="6"/>
      <c r="D1678" s="7"/>
      <c r="E1678" s="8"/>
      <c r="F1678" s="11"/>
      <c r="G1678" s="14"/>
      <c r="H1678" s="14"/>
      <c r="I1678" s="14"/>
      <c r="J1678" s="12"/>
    </row>
    <row r="1679" spans="1:10" x14ac:dyDescent="0.25">
      <c r="A1679" s="15"/>
      <c r="B1679" s="1"/>
      <c r="C1679" s="6"/>
      <c r="D1679" s="7"/>
      <c r="E1679" s="8"/>
      <c r="F1679" s="10"/>
      <c r="G1679" s="10"/>
      <c r="H1679" s="5"/>
      <c r="I1679" s="5"/>
      <c r="J1679" s="12"/>
    </row>
    <row r="1680" spans="1:10" x14ac:dyDescent="0.25">
      <c r="A1680" s="15"/>
      <c r="B1680" s="1"/>
      <c r="C1680" s="6"/>
      <c r="D1680" s="7"/>
      <c r="E1680" s="8"/>
      <c r="F1680" s="11"/>
      <c r="G1680" s="5"/>
      <c r="H1680" s="5"/>
      <c r="I1680" s="5"/>
      <c r="J1680" s="12"/>
    </row>
    <row r="1681" spans="1:10" x14ac:dyDescent="0.25">
      <c r="A1681" s="15"/>
      <c r="B1681" s="1"/>
      <c r="C1681" s="6"/>
      <c r="D1681" s="7"/>
      <c r="E1681" s="8"/>
      <c r="F1681" s="10"/>
      <c r="G1681" s="10"/>
      <c r="H1681" s="5"/>
      <c r="I1681" s="5"/>
      <c r="J1681" s="12"/>
    </row>
    <row r="1682" spans="1:10" x14ac:dyDescent="0.25">
      <c r="A1682" s="15"/>
      <c r="B1682" s="1"/>
      <c r="C1682" s="6"/>
      <c r="D1682" s="7"/>
      <c r="E1682" s="8"/>
      <c r="F1682" s="11"/>
      <c r="G1682" s="5"/>
      <c r="H1682" s="5"/>
      <c r="I1682" s="5"/>
      <c r="J1682" s="12"/>
    </row>
    <row r="1683" spans="1:10" x14ac:dyDescent="0.25">
      <c r="A1683" s="15"/>
      <c r="B1683" s="1"/>
      <c r="C1683" s="6"/>
      <c r="D1683" s="7"/>
      <c r="E1683" s="8"/>
      <c r="F1683" s="11"/>
      <c r="G1683" s="5"/>
      <c r="H1683" s="5"/>
      <c r="I1683" s="5"/>
      <c r="J1683" s="12"/>
    </row>
    <row r="1684" spans="1:10" x14ac:dyDescent="0.25">
      <c r="A1684" s="15"/>
      <c r="B1684" s="1"/>
      <c r="C1684" s="6"/>
      <c r="D1684" s="7"/>
      <c r="E1684" s="8"/>
      <c r="F1684" s="11"/>
      <c r="G1684" s="5"/>
      <c r="H1684" s="5"/>
      <c r="I1684" s="5"/>
      <c r="J1684" s="12"/>
    </row>
    <row r="1685" spans="1:10" x14ac:dyDescent="0.25">
      <c r="A1685" s="15"/>
      <c r="B1685" s="1"/>
      <c r="C1685" s="6"/>
      <c r="D1685" s="7"/>
      <c r="E1685" s="8"/>
      <c r="F1685" s="11"/>
      <c r="G1685" s="5"/>
      <c r="H1685" s="5"/>
      <c r="I1685" s="5"/>
      <c r="J1685" s="12"/>
    </row>
    <row r="1686" spans="1:10" x14ac:dyDescent="0.25">
      <c r="A1686" s="15"/>
      <c r="B1686" s="1"/>
      <c r="C1686" s="6"/>
      <c r="D1686" s="7"/>
      <c r="E1686" s="8"/>
      <c r="F1686" s="11"/>
      <c r="G1686" s="5"/>
      <c r="H1686" s="5"/>
      <c r="I1686" s="5"/>
      <c r="J1686" s="12"/>
    </row>
    <row r="1687" spans="1:10" x14ac:dyDescent="0.25">
      <c r="A1687" s="15"/>
      <c r="B1687" s="1"/>
      <c r="C1687" s="6"/>
      <c r="D1687" s="7"/>
      <c r="E1687" s="8"/>
      <c r="F1687" s="10"/>
      <c r="G1687" s="10"/>
      <c r="H1687" s="5"/>
      <c r="I1687" s="5"/>
      <c r="J1687" s="12"/>
    </row>
    <row r="1688" spans="1:10" x14ac:dyDescent="0.25">
      <c r="A1688" s="15"/>
      <c r="B1688" s="1"/>
      <c r="C1688" s="6"/>
      <c r="D1688" s="7"/>
      <c r="E1688" s="8"/>
      <c r="F1688" s="10"/>
      <c r="G1688" s="10"/>
      <c r="H1688" s="5"/>
      <c r="I1688" s="5"/>
      <c r="J1688" s="12"/>
    </row>
    <row r="1689" spans="1:10" x14ac:dyDescent="0.25">
      <c r="A1689" s="15"/>
      <c r="B1689" s="1"/>
      <c r="C1689" s="6"/>
      <c r="D1689" s="7"/>
      <c r="E1689" s="8"/>
      <c r="F1689" s="10"/>
      <c r="G1689" s="10"/>
      <c r="H1689" s="5"/>
      <c r="I1689" s="5"/>
      <c r="J1689" s="12"/>
    </row>
    <row r="1690" spans="1:10" x14ac:dyDescent="0.25">
      <c r="A1690" s="15"/>
      <c r="B1690" s="1"/>
      <c r="C1690" s="6"/>
      <c r="D1690" s="7"/>
      <c r="E1690" s="8"/>
      <c r="F1690" s="10"/>
      <c r="G1690" s="10"/>
      <c r="H1690" s="5"/>
      <c r="I1690" s="5"/>
      <c r="J1690" s="12"/>
    </row>
    <row r="1691" spans="1:10" x14ac:dyDescent="0.25">
      <c r="A1691" s="15"/>
      <c r="B1691" s="1"/>
      <c r="C1691" s="6"/>
      <c r="D1691" s="3"/>
      <c r="E1691" s="4"/>
      <c r="F1691" s="5"/>
      <c r="G1691" s="5"/>
      <c r="H1691" s="5"/>
      <c r="I1691" s="5"/>
      <c r="J1691" s="12"/>
    </row>
    <row r="1692" spans="1:10" x14ac:dyDescent="0.25">
      <c r="A1692" s="15"/>
      <c r="B1692" s="1"/>
      <c r="C1692" s="6"/>
      <c r="D1692" s="7"/>
      <c r="E1692" s="8"/>
      <c r="F1692" s="11"/>
      <c r="G1692" s="5"/>
      <c r="H1692" s="5"/>
      <c r="I1692" s="5"/>
      <c r="J1692" s="12"/>
    </row>
    <row r="1693" spans="1:10" x14ac:dyDescent="0.25">
      <c r="A1693" s="15"/>
      <c r="B1693" s="1"/>
      <c r="C1693" s="6"/>
      <c r="D1693" s="7"/>
      <c r="E1693" s="8"/>
      <c r="F1693" s="10"/>
      <c r="G1693" s="10"/>
      <c r="H1693" s="5"/>
      <c r="I1693" s="5"/>
      <c r="J1693" s="12"/>
    </row>
    <row r="1694" spans="1:10" x14ac:dyDescent="0.25">
      <c r="A1694" s="15"/>
      <c r="B1694" s="1"/>
      <c r="C1694" s="6"/>
      <c r="D1694" s="3"/>
      <c r="E1694" s="4"/>
      <c r="F1694" s="10"/>
      <c r="G1694" s="10"/>
      <c r="H1694" s="5"/>
      <c r="I1694" s="5"/>
      <c r="J1694" s="12"/>
    </row>
    <row r="1695" spans="1:10" x14ac:dyDescent="0.25">
      <c r="A1695" s="15"/>
      <c r="B1695" s="1"/>
      <c r="C1695" s="6"/>
      <c r="D1695" s="7"/>
      <c r="E1695" s="8"/>
      <c r="F1695" s="11"/>
      <c r="G1695" s="14"/>
      <c r="H1695" s="14"/>
      <c r="I1695" s="14"/>
      <c r="J1695" s="12"/>
    </row>
    <row r="1696" spans="1:10" x14ac:dyDescent="0.25">
      <c r="A1696" s="15"/>
      <c r="B1696" s="1"/>
      <c r="C1696" s="6"/>
      <c r="D1696" s="3"/>
      <c r="E1696" s="4"/>
      <c r="F1696" s="5"/>
      <c r="G1696" s="5"/>
      <c r="H1696" s="5"/>
      <c r="I1696" s="5"/>
      <c r="J1696" s="12"/>
    </row>
    <row r="1697" spans="1:10" x14ac:dyDescent="0.25">
      <c r="A1697" s="15"/>
      <c r="B1697" s="1"/>
      <c r="C1697" s="6"/>
      <c r="D1697" s="7"/>
      <c r="E1697" s="8"/>
      <c r="F1697" s="11"/>
      <c r="G1697" s="5"/>
      <c r="H1697" s="5"/>
      <c r="I1697" s="5"/>
      <c r="J1697" s="12"/>
    </row>
    <row r="1698" spans="1:10" x14ac:dyDescent="0.25">
      <c r="A1698" s="15"/>
      <c r="B1698" s="1"/>
      <c r="C1698" s="6"/>
      <c r="D1698" s="7"/>
      <c r="E1698" s="8"/>
      <c r="F1698" s="10"/>
      <c r="G1698" s="10"/>
      <c r="H1698" s="5"/>
      <c r="I1698" s="5"/>
      <c r="J1698" s="12"/>
    </row>
    <row r="1699" spans="1:10" x14ac:dyDescent="0.25">
      <c r="A1699" s="15"/>
      <c r="B1699" s="1"/>
      <c r="C1699" s="6"/>
      <c r="D1699" s="7"/>
      <c r="E1699" s="8"/>
      <c r="F1699" s="11"/>
      <c r="G1699" s="5"/>
      <c r="H1699" s="5"/>
      <c r="I1699" s="5"/>
      <c r="J1699" s="12"/>
    </row>
    <row r="1700" spans="1:10" x14ac:dyDescent="0.25">
      <c r="A1700" s="15"/>
      <c r="B1700" s="1"/>
      <c r="C1700" s="6"/>
      <c r="D1700" s="3"/>
      <c r="E1700" s="4"/>
      <c r="F1700" s="5"/>
      <c r="G1700" s="5"/>
      <c r="H1700" s="5"/>
      <c r="I1700" s="5"/>
      <c r="J1700" s="12"/>
    </row>
    <row r="1701" spans="1:10" x14ac:dyDescent="0.25">
      <c r="A1701" s="15"/>
      <c r="B1701" s="1"/>
      <c r="C1701" s="6"/>
      <c r="D1701" s="7"/>
      <c r="E1701" s="8"/>
      <c r="F1701" s="11"/>
      <c r="G1701" s="10"/>
      <c r="H1701" s="5"/>
      <c r="I1701" s="5"/>
      <c r="J1701" s="12"/>
    </row>
    <row r="1702" spans="1:10" x14ac:dyDescent="0.25">
      <c r="A1702" s="15"/>
      <c r="B1702" s="1"/>
      <c r="C1702" s="6"/>
      <c r="D1702" s="7"/>
      <c r="E1702" s="8"/>
      <c r="F1702" s="11"/>
      <c r="G1702" s="14"/>
      <c r="H1702" s="14"/>
      <c r="I1702" s="14"/>
      <c r="J1702" s="12"/>
    </row>
    <row r="1703" spans="1:10" x14ac:dyDescent="0.25">
      <c r="A1703" s="15"/>
      <c r="B1703" s="1"/>
      <c r="C1703" s="6"/>
      <c r="D1703" s="7"/>
      <c r="E1703" s="8"/>
      <c r="F1703" s="10"/>
      <c r="G1703" s="10"/>
      <c r="H1703" s="5"/>
      <c r="I1703" s="5"/>
      <c r="J1703" s="12"/>
    </row>
    <row r="1704" spans="1:10" x14ac:dyDescent="0.25">
      <c r="A1704" s="15"/>
      <c r="B1704" s="1"/>
      <c r="C1704" s="6"/>
      <c r="D1704" s="7"/>
      <c r="E1704" s="8"/>
      <c r="F1704" s="10"/>
      <c r="G1704" s="10"/>
      <c r="H1704" s="5"/>
      <c r="I1704" s="5"/>
      <c r="J1704" s="12"/>
    </row>
    <row r="1705" spans="1:10" x14ac:dyDescent="0.25">
      <c r="A1705" s="15"/>
      <c r="B1705" s="1"/>
      <c r="C1705" s="6"/>
      <c r="D1705" s="7"/>
      <c r="E1705" s="8"/>
      <c r="F1705" s="11"/>
      <c r="G1705" s="14"/>
      <c r="H1705" s="14"/>
      <c r="I1705" s="14"/>
      <c r="J1705" s="12"/>
    </row>
    <row r="1706" spans="1:10" x14ac:dyDescent="0.25">
      <c r="A1706" s="15"/>
      <c r="B1706" s="1"/>
      <c r="C1706" s="6"/>
      <c r="D1706" s="7"/>
      <c r="E1706" s="8"/>
      <c r="F1706" s="11"/>
      <c r="G1706" s="10"/>
      <c r="H1706" s="5"/>
      <c r="I1706" s="5"/>
      <c r="J1706" s="12"/>
    </row>
    <row r="1707" spans="1:10" x14ac:dyDescent="0.25">
      <c r="A1707" s="15"/>
      <c r="B1707" s="1"/>
      <c r="C1707" s="6"/>
      <c r="D1707" s="7"/>
      <c r="E1707" s="8"/>
      <c r="F1707" s="11"/>
      <c r="G1707" s="14"/>
      <c r="H1707" s="14"/>
      <c r="I1707" s="5"/>
      <c r="J1707" s="12"/>
    </row>
    <row r="1708" spans="1:10" x14ac:dyDescent="0.25">
      <c r="A1708" s="15"/>
      <c r="B1708" s="1"/>
      <c r="C1708" s="6"/>
      <c r="D1708" s="7"/>
      <c r="E1708" s="8"/>
      <c r="F1708" s="10"/>
      <c r="G1708" s="10"/>
      <c r="H1708" s="5"/>
      <c r="I1708" s="5"/>
      <c r="J1708" s="12"/>
    </row>
    <row r="1709" spans="1:10" x14ac:dyDescent="0.25">
      <c r="A1709" s="15"/>
      <c r="B1709" s="1"/>
      <c r="C1709" s="6"/>
      <c r="D1709" s="7"/>
      <c r="E1709" s="8"/>
      <c r="F1709" s="11"/>
      <c r="G1709" s="14"/>
      <c r="H1709" s="14"/>
      <c r="I1709" s="14"/>
      <c r="J1709" s="12"/>
    </row>
    <row r="1710" spans="1:10" x14ac:dyDescent="0.25">
      <c r="A1710" s="15"/>
      <c r="B1710" s="1"/>
      <c r="C1710" s="6"/>
      <c r="D1710" s="7"/>
      <c r="E1710" s="8"/>
      <c r="F1710" s="11"/>
      <c r="G1710" s="14"/>
      <c r="H1710" s="14"/>
      <c r="I1710" s="14"/>
      <c r="J1710" s="12"/>
    </row>
    <row r="1711" spans="1:10" x14ac:dyDescent="0.25">
      <c r="A1711" s="15"/>
      <c r="B1711" s="1"/>
      <c r="C1711" s="6"/>
      <c r="D1711" s="7"/>
      <c r="E1711" s="8"/>
      <c r="F1711" s="11"/>
      <c r="G1711" s="14"/>
      <c r="H1711" s="14"/>
      <c r="I1711" s="14"/>
      <c r="J1711" s="12"/>
    </row>
    <row r="1712" spans="1:10" x14ac:dyDescent="0.25">
      <c r="A1712" s="15"/>
      <c r="B1712" s="1"/>
      <c r="C1712" s="6"/>
      <c r="D1712" s="7"/>
      <c r="E1712" s="8"/>
      <c r="F1712" s="11"/>
      <c r="G1712" s="14"/>
      <c r="H1712" s="14"/>
      <c r="I1712" s="14"/>
      <c r="J1712" s="12"/>
    </row>
    <row r="1713" spans="1:10" x14ac:dyDescent="0.25">
      <c r="A1713" s="2"/>
      <c r="B1713" s="1"/>
      <c r="C1713" s="6"/>
      <c r="D1713" s="7"/>
      <c r="E1713" s="8"/>
      <c r="F1713" s="11"/>
      <c r="G1713" s="14"/>
      <c r="H1713" s="14"/>
      <c r="I1713" s="14"/>
      <c r="J1713" s="12"/>
    </row>
    <row r="1714" spans="1:10" x14ac:dyDescent="0.25">
      <c r="A1714" s="2"/>
      <c r="B1714" s="1"/>
      <c r="C1714" s="6"/>
      <c r="D1714" s="7"/>
      <c r="E1714" s="8"/>
      <c r="F1714" s="11"/>
      <c r="G1714" s="14"/>
      <c r="H1714" s="14"/>
      <c r="I1714" s="14"/>
      <c r="J1714" s="12"/>
    </row>
    <row r="1715" spans="1:10" x14ac:dyDescent="0.25">
      <c r="A1715" s="2"/>
      <c r="B1715" s="1"/>
      <c r="C1715" s="6"/>
      <c r="D1715" s="7"/>
      <c r="E1715" s="8"/>
      <c r="F1715" s="11"/>
      <c r="G1715" s="14"/>
      <c r="H1715" s="14"/>
      <c r="I1715" s="14"/>
      <c r="J1715" s="12"/>
    </row>
    <row r="1716" spans="1:10" x14ac:dyDescent="0.25">
      <c r="A1716" s="2"/>
      <c r="B1716" s="1"/>
      <c r="C1716" s="6"/>
      <c r="D1716" s="7"/>
      <c r="E1716" s="8"/>
      <c r="F1716" s="11"/>
      <c r="G1716" s="14"/>
      <c r="H1716" s="14"/>
      <c r="I1716" s="14"/>
      <c r="J1716" s="12"/>
    </row>
    <row r="1717" spans="1:10" x14ac:dyDescent="0.25">
      <c r="A1717" s="2"/>
      <c r="B1717" s="1"/>
      <c r="C1717" s="6"/>
      <c r="D1717" s="3"/>
      <c r="E1717" s="4"/>
      <c r="F1717" s="5"/>
      <c r="G1717" s="5"/>
      <c r="H1717" s="5"/>
      <c r="I1717" s="5"/>
      <c r="J1717" s="12"/>
    </row>
    <row r="1718" spans="1:10" x14ac:dyDescent="0.25">
      <c r="A1718" s="2"/>
      <c r="B1718" s="1"/>
      <c r="C1718" s="6"/>
      <c r="D1718" s="7"/>
      <c r="E1718" s="8"/>
      <c r="F1718" s="11"/>
      <c r="G1718" s="14"/>
      <c r="H1718" s="14"/>
      <c r="I1718" s="14"/>
      <c r="J1718" s="12"/>
    </row>
    <row r="1719" spans="1:10" x14ac:dyDescent="0.25">
      <c r="A1719" s="2"/>
      <c r="B1719" s="1"/>
      <c r="C1719" s="6"/>
      <c r="D1719" s="7"/>
      <c r="E1719" s="8"/>
      <c r="F1719" s="11"/>
      <c r="G1719" s="14"/>
      <c r="H1719" s="14"/>
      <c r="I1719" s="14"/>
      <c r="J1719" s="12"/>
    </row>
    <row r="1720" spans="1:10" x14ac:dyDescent="0.25">
      <c r="A1720" s="2"/>
      <c r="B1720" s="1"/>
      <c r="C1720" s="6"/>
      <c r="D1720" s="7"/>
      <c r="E1720" s="8"/>
      <c r="F1720" s="11"/>
      <c r="G1720" s="14"/>
      <c r="H1720" s="14"/>
      <c r="I1720" s="14"/>
      <c r="J1720" s="12"/>
    </row>
    <row r="1721" spans="1:10" x14ac:dyDescent="0.25">
      <c r="A1721" s="2"/>
      <c r="B1721" s="1"/>
      <c r="C1721" s="6"/>
      <c r="D1721" s="7"/>
      <c r="E1721" s="8"/>
      <c r="F1721" s="11"/>
      <c r="G1721" s="14"/>
      <c r="H1721" s="14"/>
      <c r="I1721" s="14"/>
      <c r="J1721" s="12"/>
    </row>
    <row r="1722" spans="1:10" x14ac:dyDescent="0.25">
      <c r="A1722" s="2"/>
      <c r="B1722" s="1"/>
      <c r="C1722" s="6"/>
      <c r="D1722" s="7"/>
      <c r="E1722" s="8"/>
      <c r="F1722" s="11"/>
      <c r="G1722" s="14"/>
      <c r="H1722" s="14"/>
      <c r="I1722" s="14"/>
      <c r="J1722" s="12"/>
    </row>
    <row r="1723" spans="1:10" x14ac:dyDescent="0.25">
      <c r="A1723" s="2"/>
      <c r="B1723" s="1"/>
      <c r="C1723" s="6"/>
      <c r="D1723" s="7"/>
      <c r="E1723" s="8"/>
      <c r="F1723" s="11"/>
      <c r="G1723" s="5"/>
      <c r="H1723" s="5"/>
      <c r="I1723" s="5"/>
      <c r="J1723" s="12"/>
    </row>
    <row r="1724" spans="1:10" x14ac:dyDescent="0.25">
      <c r="A1724" s="2"/>
      <c r="B1724" s="1"/>
      <c r="C1724" s="6"/>
      <c r="D1724" s="7"/>
      <c r="E1724" s="8"/>
      <c r="F1724" s="11"/>
      <c r="G1724" s="14"/>
      <c r="H1724" s="14"/>
      <c r="I1724" s="14"/>
      <c r="J1724" s="12"/>
    </row>
    <row r="1725" spans="1:10" x14ac:dyDescent="0.25">
      <c r="A1725" s="2"/>
      <c r="B1725" s="1"/>
      <c r="C1725" s="6"/>
      <c r="D1725" s="7"/>
      <c r="E1725" s="8"/>
      <c r="F1725" s="11"/>
      <c r="G1725" s="14"/>
      <c r="H1725" s="14"/>
      <c r="I1725" s="14"/>
      <c r="J1725" s="12"/>
    </row>
    <row r="1726" spans="1:10" x14ac:dyDescent="0.25">
      <c r="A1726" s="2"/>
      <c r="B1726" s="1"/>
      <c r="C1726" s="6"/>
      <c r="D1726" s="7"/>
      <c r="E1726" s="8"/>
      <c r="F1726" s="11"/>
      <c r="G1726" s="5"/>
      <c r="H1726" s="5"/>
      <c r="I1726" s="5"/>
      <c r="J1726" s="12"/>
    </row>
    <row r="1727" spans="1:10" x14ac:dyDescent="0.25">
      <c r="A1727" s="2"/>
      <c r="B1727" s="1"/>
      <c r="C1727" s="6"/>
      <c r="D1727" s="7"/>
      <c r="E1727" s="8"/>
      <c r="F1727" s="11"/>
      <c r="G1727" s="14"/>
      <c r="H1727" s="14"/>
      <c r="I1727" s="14"/>
      <c r="J1727" s="12"/>
    </row>
    <row r="1728" spans="1:10" x14ac:dyDescent="0.25">
      <c r="A1728" s="2"/>
      <c r="B1728" s="1"/>
      <c r="C1728" s="6"/>
      <c r="D1728" s="7"/>
      <c r="E1728" s="8"/>
      <c r="F1728" s="11"/>
      <c r="G1728" s="14"/>
      <c r="H1728" s="14"/>
      <c r="I1728" s="14"/>
      <c r="J1728" s="12"/>
    </row>
    <row r="1729" spans="1:10" x14ac:dyDescent="0.25">
      <c r="A1729" s="2"/>
      <c r="B1729" s="1"/>
      <c r="C1729" s="6"/>
      <c r="D1729" s="7"/>
      <c r="E1729" s="8"/>
      <c r="F1729" s="11"/>
      <c r="G1729" s="14"/>
      <c r="H1729" s="5"/>
      <c r="I1729" s="5"/>
      <c r="J1729" s="12"/>
    </row>
    <row r="1730" spans="1:10" x14ac:dyDescent="0.25">
      <c r="A1730" s="2"/>
      <c r="B1730" s="1"/>
      <c r="C1730" s="6"/>
      <c r="D1730" s="7"/>
      <c r="E1730" s="8"/>
      <c r="F1730" s="14"/>
      <c r="G1730" s="14"/>
      <c r="H1730" s="5"/>
      <c r="I1730" s="5"/>
      <c r="J1730" s="12"/>
    </row>
    <row r="1731" spans="1:10" x14ac:dyDescent="0.25">
      <c r="A1731" s="2"/>
      <c r="B1731" s="1"/>
      <c r="C1731" s="6"/>
      <c r="D1731" s="7"/>
      <c r="E1731" s="8"/>
      <c r="F1731" s="11"/>
      <c r="G1731" s="14"/>
      <c r="H1731" s="14"/>
      <c r="I1731" s="14"/>
      <c r="J1731" s="12"/>
    </row>
    <row r="1732" spans="1:10" x14ac:dyDescent="0.25">
      <c r="A1732" s="2"/>
      <c r="B1732" s="1"/>
      <c r="C1732" s="6"/>
      <c r="D1732" s="7"/>
      <c r="E1732" s="8"/>
      <c r="F1732" s="11"/>
      <c r="G1732" s="14"/>
      <c r="H1732" s="14"/>
      <c r="I1732" s="14"/>
      <c r="J1732" s="12"/>
    </row>
    <row r="1733" spans="1:10" x14ac:dyDescent="0.25">
      <c r="A1733" s="2"/>
      <c r="B1733" s="1"/>
      <c r="C1733" s="6"/>
      <c r="D1733" s="7"/>
      <c r="E1733" s="8"/>
      <c r="F1733" s="11"/>
      <c r="G1733" s="14"/>
      <c r="H1733" s="14"/>
      <c r="I1733" s="14"/>
      <c r="J1733" s="12"/>
    </row>
    <row r="1734" spans="1:10" x14ac:dyDescent="0.25">
      <c r="A1734" s="2"/>
      <c r="B1734" s="1"/>
      <c r="C1734" s="6"/>
      <c r="D1734" s="7"/>
      <c r="E1734" s="8"/>
      <c r="F1734" s="11"/>
      <c r="G1734" s="14"/>
      <c r="H1734" s="14"/>
      <c r="I1734" s="14"/>
      <c r="J1734" s="12"/>
    </row>
    <row r="1735" spans="1:10" x14ac:dyDescent="0.25">
      <c r="A1735" s="2"/>
      <c r="B1735" s="1"/>
      <c r="C1735" s="6"/>
      <c r="D1735" s="7"/>
      <c r="E1735" s="8"/>
      <c r="F1735" s="11"/>
      <c r="G1735" s="14"/>
      <c r="H1735" s="14"/>
      <c r="I1735" s="14"/>
      <c r="J1735" s="12"/>
    </row>
    <row r="1736" spans="1:10" x14ac:dyDescent="0.25">
      <c r="A1736" s="2"/>
      <c r="B1736" s="1"/>
      <c r="C1736" s="6"/>
      <c r="D1736" s="7"/>
      <c r="E1736" s="8"/>
      <c r="F1736" s="11"/>
      <c r="G1736" s="14"/>
      <c r="H1736" s="14"/>
      <c r="I1736" s="14"/>
      <c r="J1736" s="12"/>
    </row>
    <row r="1737" spans="1:10" x14ac:dyDescent="0.25">
      <c r="A1737" s="2"/>
      <c r="B1737" s="1"/>
      <c r="C1737" s="6"/>
      <c r="D1737" s="7"/>
      <c r="E1737" s="8"/>
      <c r="F1737" s="16"/>
      <c r="G1737" s="17"/>
      <c r="H1737" s="14"/>
      <c r="I1737" s="14"/>
      <c r="J1737" s="12"/>
    </row>
    <row r="1738" spans="1:10" x14ac:dyDescent="0.25">
      <c r="A1738" s="2"/>
      <c r="B1738" s="1"/>
      <c r="C1738" s="6"/>
      <c r="D1738" s="7"/>
      <c r="E1738" s="8"/>
      <c r="F1738" s="11"/>
      <c r="G1738" s="14"/>
      <c r="H1738" s="14"/>
      <c r="I1738" s="14"/>
      <c r="J1738" s="12"/>
    </row>
    <row r="1739" spans="1:10" x14ac:dyDescent="0.25">
      <c r="A1739" s="2"/>
      <c r="B1739" s="1"/>
      <c r="C1739" s="6"/>
      <c r="D1739" s="7"/>
      <c r="E1739" s="8"/>
      <c r="F1739" s="11"/>
      <c r="G1739" s="14"/>
      <c r="H1739" s="14"/>
      <c r="I1739" s="14"/>
      <c r="J1739" s="12"/>
    </row>
    <row r="1740" spans="1:10" x14ac:dyDescent="0.25">
      <c r="A1740" s="2"/>
      <c r="B1740" s="1"/>
      <c r="C1740" s="6"/>
      <c r="D1740" s="7"/>
      <c r="E1740" s="8"/>
      <c r="F1740" s="11"/>
      <c r="G1740" s="14"/>
      <c r="H1740" s="14"/>
      <c r="I1740" s="14"/>
      <c r="J1740" s="12"/>
    </row>
    <row r="1741" spans="1:10" x14ac:dyDescent="0.25">
      <c r="A1741" s="2"/>
      <c r="B1741" s="1"/>
      <c r="C1741" s="6"/>
      <c r="D1741" s="7"/>
      <c r="E1741" s="8"/>
      <c r="F1741" s="11"/>
      <c r="G1741" s="14"/>
      <c r="H1741" s="14"/>
      <c r="I1741" s="14"/>
      <c r="J1741" s="12"/>
    </row>
    <row r="1742" spans="1:10" x14ac:dyDescent="0.25">
      <c r="A1742" s="2"/>
      <c r="B1742" s="1"/>
      <c r="C1742" s="6"/>
      <c r="D1742" s="7"/>
      <c r="E1742" s="8"/>
      <c r="F1742" s="11"/>
      <c r="G1742" s="14"/>
      <c r="H1742" s="14"/>
      <c r="I1742" s="5"/>
      <c r="J1742" s="12"/>
    </row>
    <row r="1743" spans="1:10" x14ac:dyDescent="0.25">
      <c r="A1743" s="2"/>
      <c r="B1743" s="1"/>
      <c r="C1743" s="6"/>
      <c r="D1743" s="7"/>
      <c r="E1743" s="8"/>
      <c r="F1743" s="11"/>
      <c r="G1743" s="14"/>
      <c r="H1743" s="14"/>
      <c r="I1743" s="14"/>
      <c r="J1743" s="12"/>
    </row>
    <row r="1744" spans="1:10" x14ac:dyDescent="0.25">
      <c r="A1744" s="2"/>
      <c r="B1744" s="1"/>
      <c r="C1744" s="6"/>
      <c r="D1744" s="7"/>
      <c r="E1744" s="8"/>
      <c r="F1744" s="11"/>
      <c r="G1744" s="14"/>
      <c r="H1744" s="14"/>
      <c r="I1744" s="14"/>
      <c r="J1744" s="12"/>
    </row>
    <row r="1745" spans="1:10" x14ac:dyDescent="0.25">
      <c r="A1745" s="2"/>
      <c r="B1745" s="1"/>
      <c r="C1745" s="6"/>
      <c r="D1745" s="7"/>
      <c r="E1745" s="8"/>
      <c r="F1745" s="11"/>
      <c r="G1745" s="5"/>
      <c r="H1745" s="5"/>
      <c r="I1745" s="5"/>
      <c r="J1745" s="12"/>
    </row>
    <row r="1746" spans="1:10" x14ac:dyDescent="0.25">
      <c r="A1746" s="2"/>
      <c r="B1746" s="1"/>
      <c r="C1746" s="6"/>
      <c r="D1746" s="7"/>
      <c r="E1746" s="8"/>
      <c r="F1746" s="11"/>
      <c r="G1746" s="14"/>
      <c r="H1746" s="14"/>
      <c r="I1746" s="14"/>
      <c r="J1746" s="12"/>
    </row>
    <row r="1747" spans="1:10" x14ac:dyDescent="0.25">
      <c r="A1747" s="2"/>
      <c r="B1747" s="1"/>
      <c r="C1747" s="6"/>
      <c r="D1747" s="7"/>
      <c r="E1747" s="8"/>
      <c r="F1747" s="11"/>
      <c r="G1747" s="14"/>
      <c r="H1747" s="14"/>
      <c r="I1747" s="14"/>
      <c r="J1747" s="12"/>
    </row>
    <row r="1748" spans="1:10" x14ac:dyDescent="0.25">
      <c r="A1748" s="2"/>
      <c r="B1748" s="1"/>
      <c r="C1748" s="6"/>
      <c r="D1748" s="7"/>
      <c r="E1748" s="8"/>
      <c r="F1748" s="11"/>
      <c r="G1748" s="14"/>
      <c r="H1748" s="14"/>
      <c r="I1748" s="14"/>
      <c r="J1748" s="12"/>
    </row>
    <row r="1749" spans="1:10" x14ac:dyDescent="0.25">
      <c r="A1749" s="2"/>
      <c r="B1749" s="1"/>
      <c r="C1749" s="6"/>
      <c r="D1749" s="7"/>
      <c r="E1749" s="8"/>
      <c r="F1749" s="11"/>
      <c r="G1749" s="14"/>
      <c r="H1749" s="14"/>
      <c r="I1749" s="14"/>
      <c r="J1749" s="12"/>
    </row>
    <row r="1750" spans="1:10" x14ac:dyDescent="0.25">
      <c r="A1750" s="2"/>
      <c r="B1750" s="1"/>
      <c r="C1750" s="6"/>
      <c r="D1750" s="7"/>
      <c r="E1750" s="8"/>
      <c r="F1750" s="11"/>
      <c r="G1750" s="14"/>
      <c r="H1750" s="14"/>
      <c r="I1750" s="14"/>
      <c r="J1750" s="12"/>
    </row>
    <row r="1751" spans="1:10" x14ac:dyDescent="0.25">
      <c r="A1751" s="2"/>
      <c r="B1751" s="1"/>
      <c r="C1751" s="6"/>
      <c r="D1751" s="7"/>
      <c r="E1751" s="8"/>
      <c r="F1751" s="11"/>
      <c r="G1751" s="14"/>
      <c r="H1751" s="14"/>
      <c r="I1751" s="14"/>
      <c r="J1751" s="12"/>
    </row>
    <row r="1752" spans="1:10" x14ac:dyDescent="0.25">
      <c r="A1752" s="2"/>
      <c r="B1752" s="1"/>
      <c r="C1752" s="6"/>
      <c r="D1752" s="7"/>
      <c r="E1752" s="8"/>
      <c r="F1752" s="11"/>
      <c r="G1752" s="14"/>
      <c r="H1752" s="14"/>
      <c r="I1752" s="14"/>
      <c r="J1752" s="12"/>
    </row>
    <row r="1753" spans="1:10" x14ac:dyDescent="0.25">
      <c r="A1753" s="2"/>
      <c r="B1753" s="1"/>
      <c r="C1753" s="6"/>
      <c r="D1753" s="7"/>
      <c r="E1753" s="8"/>
      <c r="F1753" s="11"/>
      <c r="G1753" s="14"/>
      <c r="H1753" s="14"/>
      <c r="I1753" s="14"/>
      <c r="J1753" s="12"/>
    </row>
    <row r="1754" spans="1:10" x14ac:dyDescent="0.25">
      <c r="A1754" s="2"/>
      <c r="B1754" s="1"/>
      <c r="C1754" s="6"/>
      <c r="D1754" s="7"/>
      <c r="E1754" s="8"/>
      <c r="F1754" s="11"/>
      <c r="G1754" s="14"/>
      <c r="H1754" s="14"/>
      <c r="I1754" s="14"/>
      <c r="J1754" s="12"/>
    </row>
    <row r="1755" spans="1:10" x14ac:dyDescent="0.25">
      <c r="A1755" s="2"/>
      <c r="B1755" s="1"/>
      <c r="C1755" s="6"/>
      <c r="D1755" s="7"/>
      <c r="E1755" s="8"/>
      <c r="F1755" s="11"/>
      <c r="G1755" s="14"/>
      <c r="H1755" s="14"/>
      <c r="I1755" s="14"/>
      <c r="J1755" s="12"/>
    </row>
    <row r="1756" spans="1:10" x14ac:dyDescent="0.25">
      <c r="A1756" s="2"/>
      <c r="B1756" s="1"/>
      <c r="C1756" s="6"/>
      <c r="D1756" s="7"/>
      <c r="E1756" s="8"/>
      <c r="F1756" s="11"/>
      <c r="G1756" s="14"/>
      <c r="H1756" s="14"/>
      <c r="I1756" s="14"/>
      <c r="J1756" s="12"/>
    </row>
    <row r="1757" spans="1:10" x14ac:dyDescent="0.25">
      <c r="A1757" s="2"/>
      <c r="B1757" s="1"/>
      <c r="C1757" s="6"/>
      <c r="D1757" s="7"/>
      <c r="E1757" s="8"/>
      <c r="F1757" s="11"/>
      <c r="G1757" s="14"/>
      <c r="H1757" s="14"/>
      <c r="I1757" s="14"/>
      <c r="J1757" s="12"/>
    </row>
    <row r="1758" spans="1:10" x14ac:dyDescent="0.25">
      <c r="A1758" s="2"/>
      <c r="B1758" s="1"/>
      <c r="C1758" s="6"/>
      <c r="D1758" s="7"/>
      <c r="E1758" s="8"/>
      <c r="F1758" s="11"/>
      <c r="G1758" s="14"/>
      <c r="H1758" s="14"/>
      <c r="I1758" s="14"/>
      <c r="J1758" s="12"/>
    </row>
    <row r="1759" spans="1:10" x14ac:dyDescent="0.25">
      <c r="A1759" s="2"/>
      <c r="B1759" s="1"/>
      <c r="C1759" s="6"/>
      <c r="D1759" s="7"/>
      <c r="E1759" s="8"/>
      <c r="F1759" s="11"/>
      <c r="G1759" s="14"/>
      <c r="H1759" s="14"/>
      <c r="I1759" s="14"/>
      <c r="J1759" s="12"/>
    </row>
    <row r="1760" spans="1:10" x14ac:dyDescent="0.25">
      <c r="A1760" s="2"/>
      <c r="B1760" s="1"/>
      <c r="C1760" s="6"/>
      <c r="D1760" s="7"/>
      <c r="E1760" s="8"/>
      <c r="F1760" s="11"/>
      <c r="G1760" s="14"/>
      <c r="H1760" s="14"/>
      <c r="I1760" s="14"/>
      <c r="J1760" s="12"/>
    </row>
    <row r="1761" spans="1:10" x14ac:dyDescent="0.25">
      <c r="A1761" s="2"/>
      <c r="B1761" s="1"/>
      <c r="C1761" s="6"/>
      <c r="D1761" s="7"/>
      <c r="E1761" s="8"/>
      <c r="F1761" s="11"/>
      <c r="G1761" s="14"/>
      <c r="H1761" s="14"/>
      <c r="I1761" s="14"/>
      <c r="J1761" s="12"/>
    </row>
    <row r="1762" spans="1:10" x14ac:dyDescent="0.25">
      <c r="A1762" s="2"/>
      <c r="B1762" s="1"/>
      <c r="C1762" s="6"/>
      <c r="D1762" s="7"/>
      <c r="E1762" s="8"/>
      <c r="F1762" s="11"/>
      <c r="G1762" s="14"/>
      <c r="H1762" s="14"/>
      <c r="I1762" s="14"/>
      <c r="J1762" s="12"/>
    </row>
    <row r="1763" spans="1:10" x14ac:dyDescent="0.25">
      <c r="A1763" s="2"/>
      <c r="B1763" s="1"/>
      <c r="C1763" s="6"/>
      <c r="D1763" s="7"/>
      <c r="E1763" s="8"/>
      <c r="F1763" s="11"/>
      <c r="G1763" s="14"/>
      <c r="H1763" s="14"/>
      <c r="I1763" s="14"/>
      <c r="J1763" s="12"/>
    </row>
    <row r="1764" spans="1:10" x14ac:dyDescent="0.25">
      <c r="A1764" s="2"/>
      <c r="B1764" s="1"/>
      <c r="C1764" s="6"/>
      <c r="D1764" s="7"/>
      <c r="E1764" s="8"/>
      <c r="F1764" s="11"/>
      <c r="G1764" s="14"/>
      <c r="H1764" s="14"/>
      <c r="I1764" s="14"/>
      <c r="J1764" s="12"/>
    </row>
    <row r="1765" spans="1:10" x14ac:dyDescent="0.25">
      <c r="A1765" s="2"/>
      <c r="B1765" s="1"/>
      <c r="C1765" s="6"/>
      <c r="D1765" s="7"/>
      <c r="E1765" s="8"/>
      <c r="F1765" s="11"/>
      <c r="G1765" s="14"/>
      <c r="H1765" s="14"/>
      <c r="I1765" s="14"/>
      <c r="J1765" s="12"/>
    </row>
    <row r="1766" spans="1:10" x14ac:dyDescent="0.25">
      <c r="A1766" s="2"/>
      <c r="B1766" s="1"/>
      <c r="C1766" s="6"/>
      <c r="D1766" s="7"/>
      <c r="E1766" s="8"/>
      <c r="F1766" s="11"/>
      <c r="G1766" s="14"/>
      <c r="H1766" s="14"/>
      <c r="I1766" s="14"/>
      <c r="J1766" s="12"/>
    </row>
    <row r="1767" spans="1:10" x14ac:dyDescent="0.25">
      <c r="A1767" s="2"/>
      <c r="B1767" s="1"/>
      <c r="C1767" s="6"/>
      <c r="D1767" s="7"/>
      <c r="E1767" s="8"/>
      <c r="F1767" s="11"/>
      <c r="G1767" s="14"/>
      <c r="H1767" s="14"/>
      <c r="I1767" s="14"/>
      <c r="J1767" s="12"/>
    </row>
    <row r="1768" spans="1:10" x14ac:dyDescent="0.25">
      <c r="A1768" s="2"/>
      <c r="B1768" s="1"/>
      <c r="C1768" s="6"/>
      <c r="D1768" s="7"/>
      <c r="E1768" s="8"/>
      <c r="F1768" s="11"/>
      <c r="G1768" s="14"/>
      <c r="H1768" s="14"/>
      <c r="I1768" s="14"/>
      <c r="J1768" s="12"/>
    </row>
    <row r="1769" spans="1:10" x14ac:dyDescent="0.25">
      <c r="A1769" s="2"/>
      <c r="B1769" s="1"/>
      <c r="C1769" s="6"/>
      <c r="D1769" s="7"/>
      <c r="E1769" s="8"/>
      <c r="F1769" s="10"/>
      <c r="G1769" s="10"/>
      <c r="H1769" s="5"/>
      <c r="I1769" s="5"/>
      <c r="J1769" s="12"/>
    </row>
    <row r="1770" spans="1:10" x14ac:dyDescent="0.25">
      <c r="A1770" s="2"/>
      <c r="B1770" s="1"/>
      <c r="C1770" s="6"/>
      <c r="D1770" s="7"/>
      <c r="E1770" s="8"/>
      <c r="F1770" s="11"/>
      <c r="G1770" s="14"/>
      <c r="H1770" s="14"/>
      <c r="I1770" s="14"/>
      <c r="J1770" s="12"/>
    </row>
    <row r="1771" spans="1:10" x14ac:dyDescent="0.25">
      <c r="A1771" s="2"/>
      <c r="B1771" s="1"/>
      <c r="C1771" s="6"/>
      <c r="D1771" s="7"/>
      <c r="E1771" s="8"/>
      <c r="F1771" s="11"/>
      <c r="G1771" s="14"/>
      <c r="H1771" s="14"/>
      <c r="I1771" s="14"/>
      <c r="J1771" s="12"/>
    </row>
    <row r="1772" spans="1:10" x14ac:dyDescent="0.25">
      <c r="A1772" s="2"/>
      <c r="B1772" s="1"/>
      <c r="C1772" s="6"/>
      <c r="D1772" s="7"/>
      <c r="E1772" s="8"/>
      <c r="F1772" s="11"/>
      <c r="G1772" s="14"/>
      <c r="H1772" s="14"/>
      <c r="I1772" s="14"/>
      <c r="J1772" s="12"/>
    </row>
    <row r="1773" spans="1:10" x14ac:dyDescent="0.25">
      <c r="A1773" s="2"/>
      <c r="B1773" s="1"/>
      <c r="C1773" s="6"/>
      <c r="D1773" s="7"/>
      <c r="E1773" s="8"/>
      <c r="F1773" s="11"/>
      <c r="G1773" s="14"/>
      <c r="H1773" s="14"/>
      <c r="I1773" s="14"/>
      <c r="J1773" s="12"/>
    </row>
    <row r="1774" spans="1:10" x14ac:dyDescent="0.25">
      <c r="A1774" s="2"/>
      <c r="B1774" s="1"/>
      <c r="C1774" s="6"/>
      <c r="D1774" s="7"/>
      <c r="E1774" s="8"/>
      <c r="F1774" s="11"/>
      <c r="G1774" s="14"/>
      <c r="H1774" s="14"/>
      <c r="I1774" s="5"/>
      <c r="J1774" s="12"/>
    </row>
    <row r="1775" spans="1:10" x14ac:dyDescent="0.25">
      <c r="A1775" s="2"/>
      <c r="B1775" s="1"/>
      <c r="C1775" s="6"/>
      <c r="D1775" s="7"/>
      <c r="E1775" s="8"/>
      <c r="F1775" s="11"/>
      <c r="G1775" s="14"/>
      <c r="H1775" s="14"/>
      <c r="I1775" s="14"/>
      <c r="J1775" s="12"/>
    </row>
    <row r="1776" spans="1:10" x14ac:dyDescent="0.25">
      <c r="A1776" s="2"/>
      <c r="B1776" s="1"/>
      <c r="C1776" s="6"/>
      <c r="D1776" s="7"/>
      <c r="E1776" s="8"/>
      <c r="F1776" s="11"/>
      <c r="G1776" s="14"/>
      <c r="H1776" s="14"/>
      <c r="I1776" s="14"/>
      <c r="J1776" s="12"/>
    </row>
    <row r="1777" spans="1:10" x14ac:dyDescent="0.25">
      <c r="A1777" s="2"/>
      <c r="B1777" s="1"/>
      <c r="C1777" s="6"/>
      <c r="D1777" s="7"/>
      <c r="E1777" s="8"/>
      <c r="F1777" s="11"/>
      <c r="G1777" s="14"/>
      <c r="H1777" s="14"/>
      <c r="I1777" s="14"/>
      <c r="J1777" s="12"/>
    </row>
    <row r="1778" spans="1:10" x14ac:dyDescent="0.25">
      <c r="A1778" s="2"/>
      <c r="B1778" s="1"/>
      <c r="C1778" s="6"/>
      <c r="D1778" s="7"/>
      <c r="E1778" s="8"/>
      <c r="F1778" s="11"/>
      <c r="G1778" s="14"/>
      <c r="H1778" s="14"/>
      <c r="I1778" s="14"/>
      <c r="J1778" s="12"/>
    </row>
    <row r="1779" spans="1:10" x14ac:dyDescent="0.25">
      <c r="A1779" s="2"/>
      <c r="B1779" s="1"/>
      <c r="C1779" s="6"/>
      <c r="D1779" s="7"/>
      <c r="E1779" s="8"/>
      <c r="F1779" s="11"/>
      <c r="G1779" s="14"/>
      <c r="H1779" s="14"/>
      <c r="I1779" s="14"/>
      <c r="J1779" s="12"/>
    </row>
    <row r="1780" spans="1:10" x14ac:dyDescent="0.25">
      <c r="A1780" s="2"/>
      <c r="B1780" s="1"/>
      <c r="C1780" s="6"/>
      <c r="D1780" s="7"/>
      <c r="E1780" s="8"/>
      <c r="F1780" s="11"/>
      <c r="G1780" s="14"/>
      <c r="H1780" s="14"/>
      <c r="I1780" s="14"/>
      <c r="J1780" s="12"/>
    </row>
    <row r="1781" spans="1:10" ht="16.5" thickBot="1" x14ac:dyDescent="0.3">
      <c r="A1781" s="18"/>
      <c r="B1781" s="19"/>
      <c r="C1781" s="20"/>
      <c r="D1781" s="21"/>
      <c r="E1781" s="22"/>
      <c r="F1781" s="23"/>
      <c r="G1781" s="24"/>
      <c r="H1781" s="24"/>
      <c r="I1781" s="24"/>
      <c r="J1781" s="25"/>
    </row>
  </sheetData>
  <sortState xmlns:xlrd2="http://schemas.microsoft.com/office/spreadsheetml/2017/richdata2" ref="A2:K1781">
    <sortCondition ref="A76:A1781"/>
  </sortState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8E36-7B84-4F24-BC9D-E0BC6E2929F3}">
  <dimension ref="A1:AA1781"/>
  <sheetViews>
    <sheetView workbookViewId="0">
      <selection activeCell="A384" sqref="A384:XFD720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52" bestFit="1" customWidth="1"/>
  </cols>
  <sheetData>
    <row r="1" spans="1:27" ht="45" x14ac:dyDescent="0.25">
      <c r="A1" s="54" t="s">
        <v>0</v>
      </c>
      <c r="B1" s="54" t="s">
        <v>1</v>
      </c>
      <c r="C1" s="55" t="s">
        <v>2</v>
      </c>
      <c r="D1" s="56" t="s">
        <v>3</v>
      </c>
      <c r="E1" s="57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9" t="s">
        <v>9</v>
      </c>
      <c r="K1" s="51" t="s">
        <v>95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</row>
    <row r="2" spans="1:27" x14ac:dyDescent="0.25">
      <c r="A2" s="61" t="s">
        <v>98</v>
      </c>
      <c r="B2" s="1" t="s">
        <v>11</v>
      </c>
      <c r="C2" s="6">
        <v>56</v>
      </c>
      <c r="D2" s="33">
        <v>74</v>
      </c>
      <c r="E2" s="34">
        <v>75</v>
      </c>
      <c r="F2" s="36">
        <v>91</v>
      </c>
      <c r="G2" s="36">
        <v>93</v>
      </c>
      <c r="H2" s="36">
        <v>95</v>
      </c>
      <c r="I2" s="36">
        <v>96</v>
      </c>
      <c r="J2" s="35">
        <v>8</v>
      </c>
      <c r="K2" s="52" t="s">
        <v>170</v>
      </c>
      <c r="L2" t="s">
        <v>168</v>
      </c>
      <c r="M2" t="s">
        <v>168</v>
      </c>
      <c r="N2" t="s">
        <v>168</v>
      </c>
      <c r="O2" t="s">
        <v>168</v>
      </c>
      <c r="P2" t="s">
        <v>168</v>
      </c>
      <c r="Q2" t="s">
        <v>168</v>
      </c>
      <c r="R2" t="s">
        <v>168</v>
      </c>
      <c r="S2" t="s">
        <v>168</v>
      </c>
      <c r="T2" t="s">
        <v>168</v>
      </c>
      <c r="U2" t="s">
        <v>168</v>
      </c>
      <c r="V2" t="s">
        <v>168</v>
      </c>
      <c r="W2" t="s">
        <v>168</v>
      </c>
      <c r="X2" t="s">
        <v>168</v>
      </c>
      <c r="Y2" t="s">
        <v>168</v>
      </c>
      <c r="Z2">
        <v>2</v>
      </c>
      <c r="AA2">
        <v>1</v>
      </c>
    </row>
    <row r="3" spans="1:27" x14ac:dyDescent="0.25">
      <c r="A3" s="61" t="s">
        <v>98</v>
      </c>
      <c r="B3" s="1" t="s">
        <v>14</v>
      </c>
      <c r="C3" s="6">
        <v>61</v>
      </c>
      <c r="D3" s="33">
        <v>84</v>
      </c>
      <c r="E3" s="34">
        <v>84</v>
      </c>
      <c r="F3" s="36">
        <v>109</v>
      </c>
      <c r="G3" s="36">
        <v>116</v>
      </c>
      <c r="H3" s="36">
        <v>116</v>
      </c>
      <c r="I3" s="36">
        <v>119</v>
      </c>
      <c r="J3" s="35">
        <v>4</v>
      </c>
      <c r="K3" s="52" t="s">
        <v>170</v>
      </c>
      <c r="L3" t="s">
        <v>168</v>
      </c>
      <c r="M3" t="s">
        <v>168</v>
      </c>
      <c r="N3" t="s">
        <v>168</v>
      </c>
      <c r="O3" t="s">
        <v>168</v>
      </c>
      <c r="P3" t="s">
        <v>168</v>
      </c>
      <c r="Q3" t="s">
        <v>168</v>
      </c>
      <c r="R3" t="s">
        <v>168</v>
      </c>
      <c r="S3" t="s">
        <v>168</v>
      </c>
      <c r="T3" t="s">
        <v>168</v>
      </c>
      <c r="U3" t="s">
        <v>168</v>
      </c>
      <c r="V3" t="s">
        <v>168</v>
      </c>
      <c r="W3" t="s">
        <v>168</v>
      </c>
      <c r="X3" t="s">
        <v>168</v>
      </c>
      <c r="Y3" t="s">
        <v>168</v>
      </c>
      <c r="Z3">
        <v>2</v>
      </c>
      <c r="AA3">
        <v>1</v>
      </c>
    </row>
    <row r="4" spans="1:27" x14ac:dyDescent="0.25">
      <c r="A4" s="61" t="s">
        <v>98</v>
      </c>
      <c r="B4" s="1" t="s">
        <v>15</v>
      </c>
      <c r="C4" s="6">
        <v>60</v>
      </c>
      <c r="D4" s="33" t="s">
        <v>168</v>
      </c>
      <c r="E4" s="34" t="s">
        <v>168</v>
      </c>
      <c r="F4" s="32" t="s">
        <v>168</v>
      </c>
      <c r="G4" s="32" t="s">
        <v>168</v>
      </c>
      <c r="H4" s="32" t="s">
        <v>168</v>
      </c>
      <c r="I4" s="32" t="s">
        <v>168</v>
      </c>
      <c r="J4" s="35">
        <v>8</v>
      </c>
      <c r="K4" s="52" t="s">
        <v>170</v>
      </c>
      <c r="L4" t="s">
        <v>168</v>
      </c>
      <c r="M4" t="s">
        <v>168</v>
      </c>
      <c r="N4" t="s">
        <v>168</v>
      </c>
      <c r="O4" t="s">
        <v>168</v>
      </c>
      <c r="P4" t="s">
        <v>168</v>
      </c>
      <c r="Q4" t="s">
        <v>168</v>
      </c>
      <c r="R4" t="s">
        <v>168</v>
      </c>
      <c r="S4" t="s">
        <v>168</v>
      </c>
      <c r="T4" t="s">
        <v>168</v>
      </c>
      <c r="U4" t="s">
        <v>168</v>
      </c>
      <c r="V4" t="s">
        <v>168</v>
      </c>
      <c r="W4" t="s">
        <v>168</v>
      </c>
      <c r="X4" t="s">
        <v>168</v>
      </c>
      <c r="Y4" t="s">
        <v>168</v>
      </c>
      <c r="Z4">
        <v>2</v>
      </c>
      <c r="AA4">
        <v>1</v>
      </c>
    </row>
    <row r="5" spans="1:27" x14ac:dyDescent="0.25">
      <c r="A5" s="61" t="s">
        <v>98</v>
      </c>
      <c r="B5" s="1" t="s">
        <v>48</v>
      </c>
      <c r="C5" s="6">
        <v>59</v>
      </c>
      <c r="D5" s="33">
        <v>83</v>
      </c>
      <c r="E5" s="34">
        <v>88</v>
      </c>
      <c r="F5" s="36">
        <v>123</v>
      </c>
      <c r="G5" s="36">
        <v>123</v>
      </c>
      <c r="H5" s="36">
        <v>126</v>
      </c>
      <c r="I5" s="36">
        <v>126</v>
      </c>
      <c r="J5" s="35">
        <v>4</v>
      </c>
      <c r="K5" s="52" t="s">
        <v>170</v>
      </c>
      <c r="L5" t="s">
        <v>168</v>
      </c>
      <c r="M5" t="s">
        <v>168</v>
      </c>
      <c r="N5" t="s">
        <v>168</v>
      </c>
      <c r="O5" t="s">
        <v>168</v>
      </c>
      <c r="P5" t="s">
        <v>168</v>
      </c>
      <c r="Q5" t="s">
        <v>168</v>
      </c>
      <c r="R5" t="s">
        <v>168</v>
      </c>
      <c r="S5" t="s">
        <v>168</v>
      </c>
      <c r="T5" t="s">
        <v>168</v>
      </c>
      <c r="U5" t="s">
        <v>168</v>
      </c>
      <c r="V5" t="s">
        <v>168</v>
      </c>
      <c r="W5" t="s">
        <v>168</v>
      </c>
      <c r="X5" t="s">
        <v>168</v>
      </c>
      <c r="Y5" t="s">
        <v>168</v>
      </c>
      <c r="Z5">
        <v>2</v>
      </c>
      <c r="AA5">
        <v>1</v>
      </c>
    </row>
    <row r="6" spans="1:27" x14ac:dyDescent="0.25">
      <c r="A6" s="61" t="s">
        <v>98</v>
      </c>
      <c r="B6" s="1" t="s">
        <v>73</v>
      </c>
      <c r="C6" s="6">
        <v>39</v>
      </c>
      <c r="D6" s="33">
        <v>59</v>
      </c>
      <c r="E6" s="34">
        <v>59</v>
      </c>
      <c r="F6" s="36">
        <v>104</v>
      </c>
      <c r="G6" s="36">
        <v>130</v>
      </c>
      <c r="H6" s="36">
        <v>130</v>
      </c>
      <c r="I6" s="36">
        <v>134</v>
      </c>
      <c r="J6" s="35">
        <v>4</v>
      </c>
      <c r="K6" s="52" t="s">
        <v>170</v>
      </c>
      <c r="L6" t="s">
        <v>168</v>
      </c>
      <c r="M6" t="s">
        <v>168</v>
      </c>
      <c r="N6" t="s">
        <v>168</v>
      </c>
      <c r="O6" t="s">
        <v>168</v>
      </c>
      <c r="P6" t="s">
        <v>168</v>
      </c>
      <c r="Q6" t="s">
        <v>168</v>
      </c>
      <c r="R6" t="s">
        <v>168</v>
      </c>
      <c r="S6" t="s">
        <v>168</v>
      </c>
      <c r="T6" t="s">
        <v>168</v>
      </c>
      <c r="U6" t="s">
        <v>168</v>
      </c>
      <c r="V6" t="s">
        <v>168</v>
      </c>
      <c r="W6" t="s">
        <v>168</v>
      </c>
      <c r="X6" t="s">
        <v>168</v>
      </c>
      <c r="Y6" t="s">
        <v>168</v>
      </c>
      <c r="Z6">
        <v>2</v>
      </c>
      <c r="AA6">
        <v>1</v>
      </c>
    </row>
    <row r="7" spans="1:27" x14ac:dyDescent="0.25">
      <c r="A7" s="61" t="s">
        <v>98</v>
      </c>
      <c r="B7" s="1" t="s">
        <v>20</v>
      </c>
      <c r="C7" s="6">
        <v>52</v>
      </c>
      <c r="D7" s="33">
        <v>59</v>
      </c>
      <c r="E7" s="34">
        <v>59</v>
      </c>
      <c r="F7" s="36">
        <v>65</v>
      </c>
      <c r="G7" s="36">
        <v>65</v>
      </c>
      <c r="H7" s="36">
        <v>65</v>
      </c>
      <c r="I7" s="36">
        <v>67</v>
      </c>
      <c r="J7" s="35">
        <v>32</v>
      </c>
      <c r="K7" s="52" t="s">
        <v>170</v>
      </c>
      <c r="L7" t="s">
        <v>168</v>
      </c>
      <c r="M7" t="s">
        <v>168</v>
      </c>
      <c r="N7" t="s">
        <v>168</v>
      </c>
      <c r="O7" t="s">
        <v>168</v>
      </c>
      <c r="P7" t="s">
        <v>168</v>
      </c>
      <c r="Q7" t="s">
        <v>168</v>
      </c>
      <c r="R7" t="s">
        <v>168</v>
      </c>
      <c r="S7" t="s">
        <v>168</v>
      </c>
      <c r="T7" t="s">
        <v>168</v>
      </c>
      <c r="U7" t="s">
        <v>168</v>
      </c>
      <c r="V7" t="s">
        <v>168</v>
      </c>
      <c r="W7" t="s">
        <v>168</v>
      </c>
      <c r="X7" t="s">
        <v>168</v>
      </c>
      <c r="Y7" t="s">
        <v>168</v>
      </c>
      <c r="Z7">
        <v>2</v>
      </c>
      <c r="AA7">
        <v>1</v>
      </c>
    </row>
    <row r="8" spans="1:27" x14ac:dyDescent="0.25">
      <c r="A8" s="61" t="s">
        <v>98</v>
      </c>
      <c r="B8" s="1" t="s">
        <v>50</v>
      </c>
      <c r="C8" s="6">
        <v>42</v>
      </c>
      <c r="D8" s="33">
        <v>61</v>
      </c>
      <c r="E8" s="34">
        <v>61</v>
      </c>
      <c r="F8" s="36">
        <v>73</v>
      </c>
      <c r="G8" s="36">
        <v>74</v>
      </c>
      <c r="H8" s="36">
        <v>76</v>
      </c>
      <c r="I8" s="36">
        <v>76</v>
      </c>
      <c r="J8" s="35">
        <v>16</v>
      </c>
      <c r="K8" s="52" t="s">
        <v>170</v>
      </c>
      <c r="L8" t="s">
        <v>168</v>
      </c>
      <c r="M8" t="s">
        <v>168</v>
      </c>
      <c r="N8" t="s">
        <v>168</v>
      </c>
      <c r="O8" t="s">
        <v>168</v>
      </c>
      <c r="P8" t="s">
        <v>168</v>
      </c>
      <c r="Q8" t="s">
        <v>168</v>
      </c>
      <c r="R8" t="s">
        <v>168</v>
      </c>
      <c r="S8" t="s">
        <v>168</v>
      </c>
      <c r="T8" t="s">
        <v>168</v>
      </c>
      <c r="U8" t="s">
        <v>168</v>
      </c>
      <c r="V8" t="s">
        <v>168</v>
      </c>
      <c r="W8" t="s">
        <v>168</v>
      </c>
      <c r="X8" t="s">
        <v>168</v>
      </c>
      <c r="Y8" t="s">
        <v>168</v>
      </c>
      <c r="Z8">
        <v>2</v>
      </c>
      <c r="AA8">
        <v>1</v>
      </c>
    </row>
    <row r="9" spans="1:27" x14ac:dyDescent="0.25">
      <c r="A9" s="61" t="s">
        <v>98</v>
      </c>
      <c r="B9" s="1" t="s">
        <v>51</v>
      </c>
      <c r="C9" s="6">
        <v>39</v>
      </c>
      <c r="D9" s="33">
        <v>54</v>
      </c>
      <c r="E9" s="34">
        <v>54</v>
      </c>
      <c r="F9" s="36">
        <v>67</v>
      </c>
      <c r="G9" s="36">
        <v>67</v>
      </c>
      <c r="H9" s="36">
        <v>67</v>
      </c>
      <c r="I9" s="36">
        <v>67</v>
      </c>
      <c r="J9" s="35">
        <v>27</v>
      </c>
      <c r="K9" s="52" t="s">
        <v>170</v>
      </c>
      <c r="L9" t="s">
        <v>168</v>
      </c>
      <c r="M9" t="s">
        <v>168</v>
      </c>
      <c r="N9" t="s">
        <v>168</v>
      </c>
      <c r="O9" t="s">
        <v>168</v>
      </c>
      <c r="P9" t="s">
        <v>168</v>
      </c>
      <c r="Q9" t="s">
        <v>168</v>
      </c>
      <c r="R9" t="s">
        <v>168</v>
      </c>
      <c r="S9" t="s">
        <v>168</v>
      </c>
      <c r="T9" t="s">
        <v>168</v>
      </c>
      <c r="U9" t="s">
        <v>168</v>
      </c>
      <c r="V9" t="s">
        <v>168</v>
      </c>
      <c r="W9" t="s">
        <v>168</v>
      </c>
      <c r="X9" t="s">
        <v>168</v>
      </c>
      <c r="Y9" t="s">
        <v>168</v>
      </c>
      <c r="Z9">
        <v>2</v>
      </c>
      <c r="AA9">
        <v>1</v>
      </c>
    </row>
    <row r="10" spans="1:27" x14ac:dyDescent="0.25">
      <c r="A10" s="61" t="s">
        <v>98</v>
      </c>
      <c r="B10" s="1" t="s">
        <v>23</v>
      </c>
      <c r="C10" s="6">
        <v>42</v>
      </c>
      <c r="D10" s="33">
        <v>54</v>
      </c>
      <c r="E10" s="34">
        <v>56</v>
      </c>
      <c r="F10" s="36">
        <v>103</v>
      </c>
      <c r="G10" s="36">
        <v>104</v>
      </c>
      <c r="H10" s="36">
        <v>113</v>
      </c>
      <c r="I10" s="36">
        <v>122</v>
      </c>
      <c r="J10" s="35">
        <v>4</v>
      </c>
      <c r="K10" s="52" t="s">
        <v>170</v>
      </c>
      <c r="L10" t="s">
        <v>168</v>
      </c>
      <c r="M10" t="s">
        <v>168</v>
      </c>
      <c r="N10" t="s">
        <v>168</v>
      </c>
      <c r="O10" t="s">
        <v>168</v>
      </c>
      <c r="P10" t="s">
        <v>168</v>
      </c>
      <c r="Q10" t="s">
        <v>168</v>
      </c>
      <c r="R10" t="s">
        <v>168</v>
      </c>
      <c r="S10" t="s">
        <v>168</v>
      </c>
      <c r="T10" t="s">
        <v>168</v>
      </c>
      <c r="U10" t="s">
        <v>168</v>
      </c>
      <c r="V10" t="s">
        <v>168</v>
      </c>
      <c r="W10" t="s">
        <v>168</v>
      </c>
      <c r="X10" t="s">
        <v>168</v>
      </c>
      <c r="Y10" t="s">
        <v>168</v>
      </c>
      <c r="Z10">
        <v>2</v>
      </c>
      <c r="AA10">
        <v>1</v>
      </c>
    </row>
    <row r="11" spans="1:27" x14ac:dyDescent="0.25">
      <c r="A11" s="61" t="s">
        <v>98</v>
      </c>
      <c r="B11" s="1" t="s">
        <v>24</v>
      </c>
      <c r="C11" s="6">
        <v>46</v>
      </c>
      <c r="D11" s="33">
        <v>65</v>
      </c>
      <c r="E11" s="34">
        <v>66</v>
      </c>
      <c r="F11" s="36">
        <v>81</v>
      </c>
      <c r="G11" s="36">
        <v>82</v>
      </c>
      <c r="H11" s="36">
        <v>83</v>
      </c>
      <c r="I11" s="36">
        <v>83</v>
      </c>
      <c r="J11" s="35">
        <v>11</v>
      </c>
      <c r="K11" s="52" t="s">
        <v>170</v>
      </c>
      <c r="L11" t="s">
        <v>168</v>
      </c>
      <c r="M11" t="s">
        <v>168</v>
      </c>
      <c r="N11" t="s">
        <v>168</v>
      </c>
      <c r="O11" t="s">
        <v>168</v>
      </c>
      <c r="P11" t="s">
        <v>168</v>
      </c>
      <c r="Q11" t="s">
        <v>168</v>
      </c>
      <c r="R11" t="s">
        <v>168</v>
      </c>
      <c r="S11" t="s">
        <v>168</v>
      </c>
      <c r="T11" t="s">
        <v>168</v>
      </c>
      <c r="U11" t="s">
        <v>168</v>
      </c>
      <c r="V11" t="s">
        <v>168</v>
      </c>
      <c r="W11" t="s">
        <v>168</v>
      </c>
      <c r="X11" t="s">
        <v>168</v>
      </c>
      <c r="Y11" t="s">
        <v>168</v>
      </c>
      <c r="Z11">
        <v>2</v>
      </c>
      <c r="AA11">
        <v>1</v>
      </c>
    </row>
    <row r="12" spans="1:27" x14ac:dyDescent="0.25">
      <c r="A12" s="61" t="s">
        <v>98</v>
      </c>
      <c r="B12" s="1" t="s">
        <v>90</v>
      </c>
      <c r="C12" s="6">
        <v>50</v>
      </c>
      <c r="D12" s="33">
        <v>70</v>
      </c>
      <c r="E12" s="34">
        <v>70</v>
      </c>
      <c r="F12" s="36">
        <v>90</v>
      </c>
      <c r="G12" s="36">
        <v>91</v>
      </c>
      <c r="H12" s="36">
        <v>92</v>
      </c>
      <c r="I12" s="36">
        <v>104</v>
      </c>
      <c r="J12" s="35">
        <v>7</v>
      </c>
      <c r="K12" s="52" t="s">
        <v>170</v>
      </c>
      <c r="L12" t="s">
        <v>168</v>
      </c>
      <c r="M12" t="s">
        <v>168</v>
      </c>
      <c r="N12" t="s">
        <v>168</v>
      </c>
      <c r="O12" t="s">
        <v>168</v>
      </c>
      <c r="P12" t="s">
        <v>168</v>
      </c>
      <c r="Q12" t="s">
        <v>168</v>
      </c>
      <c r="R12" t="s">
        <v>168</v>
      </c>
      <c r="S12" t="s">
        <v>168</v>
      </c>
      <c r="T12" t="s">
        <v>168</v>
      </c>
      <c r="U12" t="s">
        <v>168</v>
      </c>
      <c r="V12" t="s">
        <v>168</v>
      </c>
      <c r="W12" t="s">
        <v>168</v>
      </c>
      <c r="X12" t="s">
        <v>168</v>
      </c>
      <c r="Y12" t="s">
        <v>168</v>
      </c>
      <c r="Z12">
        <v>2</v>
      </c>
      <c r="AA12">
        <v>1</v>
      </c>
    </row>
    <row r="13" spans="1:27" x14ac:dyDescent="0.25">
      <c r="A13" s="61" t="s">
        <v>98</v>
      </c>
      <c r="B13" s="1" t="s">
        <v>55</v>
      </c>
      <c r="C13" s="6">
        <v>44</v>
      </c>
      <c r="D13" s="33">
        <v>60</v>
      </c>
      <c r="E13" s="34">
        <v>60</v>
      </c>
      <c r="F13" s="36">
        <v>76</v>
      </c>
      <c r="G13" s="36">
        <v>80</v>
      </c>
      <c r="H13" s="36">
        <v>80</v>
      </c>
      <c r="I13" s="36">
        <v>80</v>
      </c>
      <c r="J13" s="35">
        <v>14</v>
      </c>
      <c r="K13" s="52" t="s">
        <v>170</v>
      </c>
      <c r="L13" t="s">
        <v>168</v>
      </c>
      <c r="M13" t="s">
        <v>168</v>
      </c>
      <c r="N13" t="s">
        <v>168</v>
      </c>
      <c r="O13" t="s">
        <v>168</v>
      </c>
      <c r="P13" t="s">
        <v>168</v>
      </c>
      <c r="Q13" t="s">
        <v>168</v>
      </c>
      <c r="R13" t="s">
        <v>168</v>
      </c>
      <c r="S13" t="s">
        <v>168</v>
      </c>
      <c r="T13" t="s">
        <v>168</v>
      </c>
      <c r="U13" t="s">
        <v>168</v>
      </c>
      <c r="V13" t="s">
        <v>168</v>
      </c>
      <c r="W13" t="s">
        <v>168</v>
      </c>
      <c r="X13" t="s">
        <v>168</v>
      </c>
      <c r="Y13" t="s">
        <v>168</v>
      </c>
      <c r="Z13">
        <v>2</v>
      </c>
      <c r="AA13">
        <v>1</v>
      </c>
    </row>
    <row r="14" spans="1:27" x14ac:dyDescent="0.25">
      <c r="A14" s="61" t="s">
        <v>98</v>
      </c>
      <c r="B14" s="1" t="s">
        <v>27</v>
      </c>
      <c r="C14" s="6">
        <v>74</v>
      </c>
      <c r="D14" s="33">
        <v>109</v>
      </c>
      <c r="E14" s="34">
        <v>109</v>
      </c>
      <c r="F14" s="36">
        <v>133</v>
      </c>
      <c r="G14" s="36">
        <v>138</v>
      </c>
      <c r="H14" s="32" t="s">
        <v>168</v>
      </c>
      <c r="I14" s="32" t="s">
        <v>168</v>
      </c>
      <c r="J14" s="35">
        <v>2</v>
      </c>
      <c r="K14" s="52" t="s">
        <v>170</v>
      </c>
      <c r="L14" t="s">
        <v>168</v>
      </c>
      <c r="M14" t="s">
        <v>168</v>
      </c>
      <c r="N14" t="s">
        <v>168</v>
      </c>
      <c r="O14" t="s">
        <v>168</v>
      </c>
      <c r="P14" t="s">
        <v>168</v>
      </c>
      <c r="Q14" t="s">
        <v>168</v>
      </c>
      <c r="R14" t="s">
        <v>168</v>
      </c>
      <c r="S14" t="s">
        <v>168</v>
      </c>
      <c r="T14" t="s">
        <v>168</v>
      </c>
      <c r="U14" t="s">
        <v>168</v>
      </c>
      <c r="V14" t="s">
        <v>168</v>
      </c>
      <c r="W14" t="s">
        <v>168</v>
      </c>
      <c r="X14" t="s">
        <v>168</v>
      </c>
      <c r="Y14" t="s">
        <v>168</v>
      </c>
      <c r="Z14">
        <v>2</v>
      </c>
      <c r="AA14">
        <v>1</v>
      </c>
    </row>
    <row r="15" spans="1:27" x14ac:dyDescent="0.25">
      <c r="A15" s="61" t="s">
        <v>98</v>
      </c>
      <c r="B15" s="1" t="s">
        <v>30</v>
      </c>
      <c r="C15" s="6">
        <v>37</v>
      </c>
      <c r="D15" s="33">
        <v>64</v>
      </c>
      <c r="E15" s="34">
        <v>65</v>
      </c>
      <c r="F15" s="36">
        <v>96</v>
      </c>
      <c r="G15" s="36">
        <v>96</v>
      </c>
      <c r="H15" s="36">
        <v>96</v>
      </c>
      <c r="I15" s="36">
        <v>96</v>
      </c>
      <c r="J15" s="35">
        <v>8</v>
      </c>
      <c r="K15" s="52" t="s">
        <v>170</v>
      </c>
      <c r="L15" t="s">
        <v>168</v>
      </c>
      <c r="M15" t="s">
        <v>168</v>
      </c>
      <c r="N15" t="s">
        <v>168</v>
      </c>
      <c r="O15" t="s">
        <v>168</v>
      </c>
      <c r="P15" t="s">
        <v>168</v>
      </c>
      <c r="Q15" t="s">
        <v>168</v>
      </c>
      <c r="R15" t="s">
        <v>168</v>
      </c>
      <c r="S15" t="s">
        <v>168</v>
      </c>
      <c r="T15" t="s">
        <v>168</v>
      </c>
      <c r="U15" t="s">
        <v>168</v>
      </c>
      <c r="V15" t="s">
        <v>168</v>
      </c>
      <c r="W15" t="s">
        <v>168</v>
      </c>
      <c r="X15" t="s">
        <v>168</v>
      </c>
      <c r="Y15" t="s">
        <v>168</v>
      </c>
      <c r="Z15">
        <v>2</v>
      </c>
      <c r="AA15">
        <v>1</v>
      </c>
    </row>
    <row r="16" spans="1:27" x14ac:dyDescent="0.25">
      <c r="A16" s="61" t="s">
        <v>98</v>
      </c>
      <c r="B16" s="1" t="s">
        <v>32</v>
      </c>
      <c r="C16" s="6">
        <v>44</v>
      </c>
      <c r="D16" s="33">
        <v>60</v>
      </c>
      <c r="E16" s="34">
        <v>60</v>
      </c>
      <c r="F16" s="36">
        <v>74</v>
      </c>
      <c r="G16" s="36">
        <v>74</v>
      </c>
      <c r="H16" s="36">
        <v>74</v>
      </c>
      <c r="I16" s="36">
        <v>74</v>
      </c>
      <c r="J16" s="35">
        <v>12</v>
      </c>
      <c r="K16" s="52" t="s">
        <v>170</v>
      </c>
      <c r="L16" t="s">
        <v>168</v>
      </c>
      <c r="M16" t="s">
        <v>168</v>
      </c>
      <c r="N16" t="s">
        <v>168</v>
      </c>
      <c r="O16" t="s">
        <v>168</v>
      </c>
      <c r="P16" t="s">
        <v>168</v>
      </c>
      <c r="Q16" t="s">
        <v>168</v>
      </c>
      <c r="R16" t="s">
        <v>168</v>
      </c>
      <c r="S16" t="s">
        <v>168</v>
      </c>
      <c r="T16" t="s">
        <v>168</v>
      </c>
      <c r="U16" t="s">
        <v>168</v>
      </c>
      <c r="V16" t="s">
        <v>168</v>
      </c>
      <c r="W16" t="s">
        <v>168</v>
      </c>
      <c r="X16" t="s">
        <v>168</v>
      </c>
      <c r="Y16" t="s">
        <v>168</v>
      </c>
      <c r="Z16">
        <v>2</v>
      </c>
      <c r="AA16">
        <v>1</v>
      </c>
    </row>
    <row r="17" spans="1:27" x14ac:dyDescent="0.25">
      <c r="A17" s="61" t="s">
        <v>98</v>
      </c>
      <c r="B17" s="1" t="s">
        <v>33</v>
      </c>
      <c r="C17" s="6">
        <v>44</v>
      </c>
      <c r="D17" s="33">
        <v>61</v>
      </c>
      <c r="E17" s="34">
        <v>63</v>
      </c>
      <c r="F17" s="36">
        <v>77</v>
      </c>
      <c r="G17" s="36">
        <v>79</v>
      </c>
      <c r="H17" s="36">
        <v>79</v>
      </c>
      <c r="I17" s="36">
        <v>80</v>
      </c>
      <c r="J17" s="35">
        <v>12</v>
      </c>
      <c r="K17" s="52" t="s">
        <v>170</v>
      </c>
      <c r="L17" t="s">
        <v>168</v>
      </c>
      <c r="M17" t="s">
        <v>168</v>
      </c>
      <c r="N17" t="s">
        <v>168</v>
      </c>
      <c r="O17" t="s">
        <v>168</v>
      </c>
      <c r="P17" t="s">
        <v>168</v>
      </c>
      <c r="Q17" t="s">
        <v>168</v>
      </c>
      <c r="R17" t="s">
        <v>168</v>
      </c>
      <c r="S17" t="s">
        <v>168</v>
      </c>
      <c r="T17" t="s">
        <v>168</v>
      </c>
      <c r="U17" t="s">
        <v>168</v>
      </c>
      <c r="V17" t="s">
        <v>168</v>
      </c>
      <c r="W17" t="s">
        <v>168</v>
      </c>
      <c r="X17" t="s">
        <v>168</v>
      </c>
      <c r="Y17" t="s">
        <v>168</v>
      </c>
      <c r="Z17">
        <v>2</v>
      </c>
      <c r="AA17">
        <v>1</v>
      </c>
    </row>
    <row r="18" spans="1:27" x14ac:dyDescent="0.25">
      <c r="A18" s="61" t="s">
        <v>98</v>
      </c>
      <c r="B18" s="1" t="s">
        <v>58</v>
      </c>
      <c r="C18" s="6">
        <v>48</v>
      </c>
      <c r="D18" s="33">
        <v>65</v>
      </c>
      <c r="E18" s="34">
        <v>66</v>
      </c>
      <c r="F18" s="36">
        <v>79</v>
      </c>
      <c r="G18" s="36">
        <v>80</v>
      </c>
      <c r="H18" s="36">
        <v>80</v>
      </c>
      <c r="I18" s="36">
        <v>80</v>
      </c>
      <c r="J18" s="35">
        <v>16</v>
      </c>
      <c r="K18" s="52" t="s">
        <v>170</v>
      </c>
      <c r="L18" t="s">
        <v>168</v>
      </c>
      <c r="M18" t="s">
        <v>168</v>
      </c>
      <c r="N18" t="s">
        <v>168</v>
      </c>
      <c r="O18" t="s">
        <v>168</v>
      </c>
      <c r="P18" t="s">
        <v>168</v>
      </c>
      <c r="Q18" t="s">
        <v>168</v>
      </c>
      <c r="R18" t="s">
        <v>168</v>
      </c>
      <c r="S18" t="s">
        <v>168</v>
      </c>
      <c r="T18" t="s">
        <v>168</v>
      </c>
      <c r="U18" t="s">
        <v>168</v>
      </c>
      <c r="V18" t="s">
        <v>168</v>
      </c>
      <c r="W18" t="s">
        <v>168</v>
      </c>
      <c r="X18" t="s">
        <v>168</v>
      </c>
      <c r="Y18" t="s">
        <v>168</v>
      </c>
      <c r="Z18">
        <v>2</v>
      </c>
      <c r="AA18">
        <v>1</v>
      </c>
    </row>
    <row r="19" spans="1:27" x14ac:dyDescent="0.25">
      <c r="A19" s="61" t="s">
        <v>98</v>
      </c>
      <c r="B19" s="1" t="s">
        <v>34</v>
      </c>
      <c r="C19" s="6">
        <v>56</v>
      </c>
      <c r="D19" s="33">
        <v>70</v>
      </c>
      <c r="E19" s="34">
        <v>70</v>
      </c>
      <c r="F19" s="36">
        <v>87</v>
      </c>
      <c r="G19" s="36">
        <v>87</v>
      </c>
      <c r="H19" s="36">
        <v>95</v>
      </c>
      <c r="I19" s="36">
        <v>95</v>
      </c>
      <c r="J19" s="35">
        <v>8</v>
      </c>
      <c r="K19" s="52" t="s">
        <v>170</v>
      </c>
      <c r="L19" t="s">
        <v>168</v>
      </c>
      <c r="M19" t="s">
        <v>168</v>
      </c>
      <c r="N19" t="s">
        <v>168</v>
      </c>
      <c r="O19" t="s">
        <v>168</v>
      </c>
      <c r="P19" t="s">
        <v>168</v>
      </c>
      <c r="Q19" t="s">
        <v>168</v>
      </c>
      <c r="R19" t="s">
        <v>168</v>
      </c>
      <c r="S19" t="s">
        <v>168</v>
      </c>
      <c r="T19" t="s">
        <v>168</v>
      </c>
      <c r="U19" t="s">
        <v>168</v>
      </c>
      <c r="V19" t="s">
        <v>168</v>
      </c>
      <c r="W19" t="s">
        <v>168</v>
      </c>
      <c r="X19" t="s">
        <v>168</v>
      </c>
      <c r="Y19" t="s">
        <v>168</v>
      </c>
      <c r="Z19">
        <v>2</v>
      </c>
      <c r="AA19">
        <v>1</v>
      </c>
    </row>
    <row r="20" spans="1:27" x14ac:dyDescent="0.25">
      <c r="A20" s="61" t="s">
        <v>98</v>
      </c>
      <c r="B20" s="1" t="s">
        <v>59</v>
      </c>
      <c r="C20" s="6">
        <v>67</v>
      </c>
      <c r="D20" s="33">
        <v>77</v>
      </c>
      <c r="E20" s="34">
        <v>83</v>
      </c>
      <c r="F20" s="36">
        <v>148</v>
      </c>
      <c r="G20" s="36">
        <v>148</v>
      </c>
      <c r="H20" s="36">
        <v>148</v>
      </c>
      <c r="I20" s="36">
        <v>148</v>
      </c>
      <c r="J20" s="35">
        <v>4</v>
      </c>
      <c r="K20" s="52" t="s">
        <v>170</v>
      </c>
      <c r="L20" t="s">
        <v>168</v>
      </c>
      <c r="M20" t="s">
        <v>168</v>
      </c>
      <c r="N20" t="s">
        <v>168</v>
      </c>
      <c r="O20" t="s">
        <v>168</v>
      </c>
      <c r="P20" t="s">
        <v>168</v>
      </c>
      <c r="Q20" t="s">
        <v>168</v>
      </c>
      <c r="R20" t="s">
        <v>168</v>
      </c>
      <c r="S20" t="s">
        <v>168</v>
      </c>
      <c r="T20" t="s">
        <v>168</v>
      </c>
      <c r="U20" t="s">
        <v>168</v>
      </c>
      <c r="V20" t="s">
        <v>168</v>
      </c>
      <c r="W20" t="s">
        <v>168</v>
      </c>
      <c r="X20" t="s">
        <v>168</v>
      </c>
      <c r="Y20" t="s">
        <v>168</v>
      </c>
      <c r="Z20">
        <v>2</v>
      </c>
      <c r="AA20">
        <v>1</v>
      </c>
    </row>
    <row r="21" spans="1:27" x14ac:dyDescent="0.25">
      <c r="A21" s="61" t="s">
        <v>98</v>
      </c>
      <c r="B21" s="1" t="s">
        <v>60</v>
      </c>
      <c r="C21" s="6">
        <v>39</v>
      </c>
      <c r="D21" s="33">
        <v>50</v>
      </c>
      <c r="E21" s="34">
        <v>54</v>
      </c>
      <c r="F21" s="36">
        <v>63</v>
      </c>
      <c r="G21" s="36">
        <v>63</v>
      </c>
      <c r="H21" s="36">
        <v>65</v>
      </c>
      <c r="I21" s="36">
        <v>65</v>
      </c>
      <c r="J21" s="35">
        <v>25</v>
      </c>
      <c r="K21" s="52" t="s">
        <v>170</v>
      </c>
      <c r="L21" t="s">
        <v>168</v>
      </c>
      <c r="M21" t="s">
        <v>168</v>
      </c>
      <c r="N21" t="s">
        <v>168</v>
      </c>
      <c r="O21" t="s">
        <v>168</v>
      </c>
      <c r="P21" t="s">
        <v>168</v>
      </c>
      <c r="Q21" t="s">
        <v>168</v>
      </c>
      <c r="R21" t="s">
        <v>168</v>
      </c>
      <c r="S21" t="s">
        <v>168</v>
      </c>
      <c r="T21" t="s">
        <v>168</v>
      </c>
      <c r="U21" t="s">
        <v>168</v>
      </c>
      <c r="V21" t="s">
        <v>168</v>
      </c>
      <c r="W21" t="s">
        <v>168</v>
      </c>
      <c r="X21" t="s">
        <v>168</v>
      </c>
      <c r="Y21" t="s">
        <v>168</v>
      </c>
      <c r="Z21">
        <v>2</v>
      </c>
      <c r="AA21">
        <v>1</v>
      </c>
    </row>
    <row r="22" spans="1:27" x14ac:dyDescent="0.25">
      <c r="A22" s="61" t="s">
        <v>98</v>
      </c>
      <c r="B22" s="1" t="s">
        <v>96</v>
      </c>
      <c r="C22" s="6">
        <v>82</v>
      </c>
      <c r="D22" s="33">
        <v>91</v>
      </c>
      <c r="E22" s="34">
        <v>107</v>
      </c>
      <c r="F22" s="36">
        <v>123</v>
      </c>
      <c r="G22" s="36">
        <v>124</v>
      </c>
      <c r="H22" s="32" t="s">
        <v>168</v>
      </c>
      <c r="I22" s="32" t="s">
        <v>168</v>
      </c>
      <c r="J22" s="35">
        <v>3</v>
      </c>
      <c r="K22" s="52" t="s">
        <v>170</v>
      </c>
      <c r="L22" t="s">
        <v>168</v>
      </c>
      <c r="M22" t="s">
        <v>168</v>
      </c>
      <c r="N22" t="s">
        <v>168</v>
      </c>
      <c r="O22" t="s">
        <v>168</v>
      </c>
      <c r="P22" t="s">
        <v>168</v>
      </c>
      <c r="Q22" t="s">
        <v>168</v>
      </c>
      <c r="R22" t="s">
        <v>168</v>
      </c>
      <c r="S22" t="s">
        <v>168</v>
      </c>
      <c r="T22" t="s">
        <v>168</v>
      </c>
      <c r="U22" t="s">
        <v>168</v>
      </c>
      <c r="V22" t="s">
        <v>168</v>
      </c>
      <c r="W22" t="s">
        <v>168</v>
      </c>
      <c r="X22" t="s">
        <v>168</v>
      </c>
      <c r="Y22" t="s">
        <v>168</v>
      </c>
      <c r="Z22">
        <v>2</v>
      </c>
      <c r="AA22">
        <v>1</v>
      </c>
    </row>
    <row r="23" spans="1:27" x14ac:dyDescent="0.25">
      <c r="A23" s="61" t="s">
        <v>98</v>
      </c>
      <c r="B23" s="1" t="s">
        <v>61</v>
      </c>
      <c r="C23" s="6">
        <v>51</v>
      </c>
      <c r="D23" s="33">
        <v>63</v>
      </c>
      <c r="E23" s="34">
        <v>63</v>
      </c>
      <c r="F23" s="36">
        <v>76</v>
      </c>
      <c r="G23" s="36">
        <v>76</v>
      </c>
      <c r="H23" s="36">
        <v>76</v>
      </c>
      <c r="I23" s="36">
        <v>76</v>
      </c>
      <c r="J23" s="35">
        <v>16</v>
      </c>
      <c r="K23" s="52" t="s">
        <v>170</v>
      </c>
      <c r="L23" t="s">
        <v>168</v>
      </c>
      <c r="M23" t="s">
        <v>168</v>
      </c>
      <c r="N23" t="s">
        <v>168</v>
      </c>
      <c r="O23" t="s">
        <v>168</v>
      </c>
      <c r="P23" t="s">
        <v>168</v>
      </c>
      <c r="Q23" t="s">
        <v>168</v>
      </c>
      <c r="R23" t="s">
        <v>168</v>
      </c>
      <c r="S23" t="s">
        <v>168</v>
      </c>
      <c r="T23" t="s">
        <v>168</v>
      </c>
      <c r="U23" t="s">
        <v>168</v>
      </c>
      <c r="V23" t="s">
        <v>168</v>
      </c>
      <c r="W23" t="s">
        <v>168</v>
      </c>
      <c r="X23" t="s">
        <v>168</v>
      </c>
      <c r="Y23" t="s">
        <v>168</v>
      </c>
      <c r="Z23">
        <v>2</v>
      </c>
      <c r="AA23">
        <v>1</v>
      </c>
    </row>
    <row r="24" spans="1:27" x14ac:dyDescent="0.25">
      <c r="A24" s="61" t="s">
        <v>98</v>
      </c>
      <c r="B24" s="1" t="s">
        <v>35</v>
      </c>
      <c r="C24" s="6">
        <v>47</v>
      </c>
      <c r="D24" s="33">
        <v>65</v>
      </c>
      <c r="E24" s="34">
        <v>65</v>
      </c>
      <c r="F24" s="36">
        <v>83</v>
      </c>
      <c r="G24" s="36">
        <v>83</v>
      </c>
      <c r="H24" s="36">
        <v>86</v>
      </c>
      <c r="I24" s="36">
        <v>86</v>
      </c>
      <c r="J24" s="35">
        <v>8</v>
      </c>
      <c r="K24" s="52" t="s">
        <v>170</v>
      </c>
      <c r="L24" t="s">
        <v>168</v>
      </c>
      <c r="M24" t="s">
        <v>168</v>
      </c>
      <c r="N24" t="s">
        <v>168</v>
      </c>
      <c r="O24" t="s">
        <v>168</v>
      </c>
      <c r="P24" t="s">
        <v>168</v>
      </c>
      <c r="Q24" t="s">
        <v>168</v>
      </c>
      <c r="R24" t="s">
        <v>168</v>
      </c>
      <c r="S24" t="s">
        <v>168</v>
      </c>
      <c r="T24" t="s">
        <v>168</v>
      </c>
      <c r="U24" t="s">
        <v>168</v>
      </c>
      <c r="V24" t="s">
        <v>168</v>
      </c>
      <c r="W24" t="s">
        <v>168</v>
      </c>
      <c r="X24" t="s">
        <v>168</v>
      </c>
      <c r="Y24" t="s">
        <v>168</v>
      </c>
      <c r="Z24">
        <v>2</v>
      </c>
      <c r="AA24">
        <v>1</v>
      </c>
    </row>
    <row r="25" spans="1:27" x14ac:dyDescent="0.25">
      <c r="A25" s="61" t="s">
        <v>98</v>
      </c>
      <c r="B25" s="1" t="s">
        <v>63</v>
      </c>
      <c r="C25" s="6">
        <v>39</v>
      </c>
      <c r="D25" s="33">
        <v>50</v>
      </c>
      <c r="E25" s="34">
        <v>50</v>
      </c>
      <c r="F25" s="36">
        <v>61</v>
      </c>
      <c r="G25" s="36">
        <v>61</v>
      </c>
      <c r="H25" s="36">
        <v>63</v>
      </c>
      <c r="I25" s="36">
        <v>63</v>
      </c>
      <c r="J25" s="35">
        <v>32</v>
      </c>
      <c r="K25" s="52" t="s">
        <v>170</v>
      </c>
      <c r="L25" t="s">
        <v>168</v>
      </c>
      <c r="M25" t="s">
        <v>168</v>
      </c>
      <c r="N25" t="s">
        <v>168</v>
      </c>
      <c r="O25" t="s">
        <v>168</v>
      </c>
      <c r="P25" t="s">
        <v>168</v>
      </c>
      <c r="Q25" t="s">
        <v>168</v>
      </c>
      <c r="R25" t="s">
        <v>168</v>
      </c>
      <c r="S25" t="s">
        <v>168</v>
      </c>
      <c r="T25" t="s">
        <v>168</v>
      </c>
      <c r="U25" t="s">
        <v>168</v>
      </c>
      <c r="V25" t="s">
        <v>168</v>
      </c>
      <c r="W25" t="s">
        <v>168</v>
      </c>
      <c r="X25" t="s">
        <v>168</v>
      </c>
      <c r="Y25" t="s">
        <v>168</v>
      </c>
      <c r="Z25">
        <v>2</v>
      </c>
      <c r="AA25">
        <v>1</v>
      </c>
    </row>
    <row r="26" spans="1:27" x14ac:dyDescent="0.25">
      <c r="A26" s="61" t="s">
        <v>98</v>
      </c>
      <c r="B26" s="1" t="s">
        <v>87</v>
      </c>
      <c r="C26" s="6">
        <v>34</v>
      </c>
      <c r="D26" s="33">
        <v>48</v>
      </c>
      <c r="E26" s="34">
        <v>48</v>
      </c>
      <c r="F26" s="36">
        <v>65</v>
      </c>
      <c r="G26" s="36">
        <v>65</v>
      </c>
      <c r="H26" s="36">
        <v>67</v>
      </c>
      <c r="I26" s="36">
        <v>67</v>
      </c>
      <c r="J26" s="35">
        <v>12</v>
      </c>
      <c r="K26" s="52" t="s">
        <v>170</v>
      </c>
      <c r="L26" t="s">
        <v>168</v>
      </c>
      <c r="M26" t="s">
        <v>168</v>
      </c>
      <c r="N26" t="s">
        <v>168</v>
      </c>
      <c r="O26" t="s">
        <v>168</v>
      </c>
      <c r="P26" t="s">
        <v>168</v>
      </c>
      <c r="Q26" t="s">
        <v>168</v>
      </c>
      <c r="R26" t="s">
        <v>168</v>
      </c>
      <c r="S26" t="s">
        <v>168</v>
      </c>
      <c r="T26" t="s">
        <v>168</v>
      </c>
      <c r="U26" t="s">
        <v>168</v>
      </c>
      <c r="V26" t="s">
        <v>168</v>
      </c>
      <c r="W26" t="s">
        <v>168</v>
      </c>
      <c r="X26" t="s">
        <v>168</v>
      </c>
      <c r="Y26" t="s">
        <v>168</v>
      </c>
      <c r="Z26">
        <v>2</v>
      </c>
      <c r="AA26">
        <v>1</v>
      </c>
    </row>
    <row r="27" spans="1:27" x14ac:dyDescent="0.25">
      <c r="A27" s="61" t="s">
        <v>98</v>
      </c>
      <c r="B27" s="1" t="s">
        <v>65</v>
      </c>
      <c r="C27" s="6">
        <v>39</v>
      </c>
      <c r="D27" s="33">
        <v>51</v>
      </c>
      <c r="E27" s="34">
        <v>55</v>
      </c>
      <c r="F27" s="36">
        <v>68</v>
      </c>
      <c r="G27" s="36">
        <v>68</v>
      </c>
      <c r="H27" s="36">
        <v>70</v>
      </c>
      <c r="I27" s="36">
        <v>73</v>
      </c>
      <c r="J27" s="35">
        <v>54</v>
      </c>
      <c r="K27" s="52" t="s">
        <v>170</v>
      </c>
      <c r="L27" t="s">
        <v>168</v>
      </c>
      <c r="M27" t="s">
        <v>168</v>
      </c>
      <c r="N27" t="s">
        <v>168</v>
      </c>
      <c r="O27" t="s">
        <v>168</v>
      </c>
      <c r="P27" t="s">
        <v>168</v>
      </c>
      <c r="Q27" t="s">
        <v>168</v>
      </c>
      <c r="R27" t="s">
        <v>168</v>
      </c>
      <c r="S27" t="s">
        <v>168</v>
      </c>
      <c r="T27" t="s">
        <v>168</v>
      </c>
      <c r="U27" t="s">
        <v>168</v>
      </c>
      <c r="V27" t="s">
        <v>168</v>
      </c>
      <c r="W27" t="s">
        <v>168</v>
      </c>
      <c r="X27" t="s">
        <v>168</v>
      </c>
      <c r="Y27" t="s">
        <v>168</v>
      </c>
      <c r="Z27">
        <v>2</v>
      </c>
      <c r="AA27">
        <v>1</v>
      </c>
    </row>
    <row r="28" spans="1:27" x14ac:dyDescent="0.25">
      <c r="A28" s="61" t="s">
        <v>98</v>
      </c>
      <c r="B28" s="1" t="s">
        <v>79</v>
      </c>
      <c r="C28" s="6">
        <v>57</v>
      </c>
      <c r="D28" s="33">
        <v>64</v>
      </c>
      <c r="E28" s="34">
        <v>70</v>
      </c>
      <c r="F28" s="36">
        <v>122</v>
      </c>
      <c r="G28" s="36">
        <v>122</v>
      </c>
      <c r="H28" s="36">
        <v>124</v>
      </c>
      <c r="I28" s="36">
        <v>124</v>
      </c>
      <c r="J28" s="35">
        <v>4</v>
      </c>
      <c r="K28" s="52" t="s">
        <v>170</v>
      </c>
      <c r="L28" t="s">
        <v>168</v>
      </c>
      <c r="M28" t="s">
        <v>168</v>
      </c>
      <c r="N28" t="s">
        <v>168</v>
      </c>
      <c r="O28" t="s">
        <v>168</v>
      </c>
      <c r="P28" t="s">
        <v>168</v>
      </c>
      <c r="Q28" t="s">
        <v>168</v>
      </c>
      <c r="R28" t="s">
        <v>168</v>
      </c>
      <c r="S28" t="s">
        <v>168</v>
      </c>
      <c r="T28" t="s">
        <v>168</v>
      </c>
      <c r="U28" t="s">
        <v>168</v>
      </c>
      <c r="V28" t="s">
        <v>168</v>
      </c>
      <c r="W28" t="s">
        <v>168</v>
      </c>
      <c r="X28" t="s">
        <v>168</v>
      </c>
      <c r="Y28" t="s">
        <v>168</v>
      </c>
      <c r="Z28">
        <v>2</v>
      </c>
      <c r="AA28">
        <v>1</v>
      </c>
    </row>
    <row r="29" spans="1:27" x14ac:dyDescent="0.25">
      <c r="A29" s="61" t="s">
        <v>98</v>
      </c>
      <c r="B29" s="1" t="s">
        <v>92</v>
      </c>
      <c r="C29" s="6">
        <v>56</v>
      </c>
      <c r="D29" s="33">
        <v>73</v>
      </c>
      <c r="E29" s="34">
        <v>73</v>
      </c>
      <c r="F29" s="36">
        <v>91</v>
      </c>
      <c r="G29" s="36">
        <v>99</v>
      </c>
      <c r="H29" s="36">
        <v>105</v>
      </c>
      <c r="I29" s="36">
        <v>110</v>
      </c>
      <c r="J29" s="35">
        <v>5</v>
      </c>
      <c r="K29" s="52" t="s">
        <v>170</v>
      </c>
      <c r="L29" t="s">
        <v>168</v>
      </c>
      <c r="M29" t="s">
        <v>168</v>
      </c>
      <c r="N29" t="s">
        <v>168</v>
      </c>
      <c r="O29" t="s">
        <v>168</v>
      </c>
      <c r="P29" t="s">
        <v>168</v>
      </c>
      <c r="Q29" t="s">
        <v>168</v>
      </c>
      <c r="R29" t="s">
        <v>168</v>
      </c>
      <c r="S29" t="s">
        <v>168</v>
      </c>
      <c r="T29" t="s">
        <v>168</v>
      </c>
      <c r="U29" t="s">
        <v>168</v>
      </c>
      <c r="V29" t="s">
        <v>168</v>
      </c>
      <c r="W29" t="s">
        <v>168</v>
      </c>
      <c r="X29" t="s">
        <v>168</v>
      </c>
      <c r="Y29" t="s">
        <v>168</v>
      </c>
      <c r="Z29">
        <v>2</v>
      </c>
      <c r="AA29">
        <v>1</v>
      </c>
    </row>
    <row r="30" spans="1:27" x14ac:dyDescent="0.25">
      <c r="A30" s="61" t="s">
        <v>98</v>
      </c>
      <c r="B30" s="1" t="s">
        <v>68</v>
      </c>
      <c r="C30" s="6" t="s">
        <v>168</v>
      </c>
      <c r="D30" s="33" t="s">
        <v>168</v>
      </c>
      <c r="E30" s="34" t="s">
        <v>168</v>
      </c>
      <c r="F30" s="32" t="s">
        <v>168</v>
      </c>
      <c r="G30" s="32" t="s">
        <v>168</v>
      </c>
      <c r="H30" s="32" t="s">
        <v>168</v>
      </c>
      <c r="I30" s="32" t="s">
        <v>168</v>
      </c>
      <c r="J30" s="35">
        <v>23</v>
      </c>
      <c r="K30" s="52" t="s">
        <v>170</v>
      </c>
      <c r="L30" t="s">
        <v>168</v>
      </c>
      <c r="M30" t="s">
        <v>168</v>
      </c>
      <c r="N30" t="s">
        <v>168</v>
      </c>
      <c r="O30" t="s">
        <v>168</v>
      </c>
      <c r="P30" t="s">
        <v>168</v>
      </c>
      <c r="Q30" t="s">
        <v>168</v>
      </c>
      <c r="R30" t="s">
        <v>168</v>
      </c>
      <c r="S30" t="s">
        <v>168</v>
      </c>
      <c r="T30" t="s">
        <v>168</v>
      </c>
      <c r="U30" t="s">
        <v>168</v>
      </c>
      <c r="V30" t="s">
        <v>168</v>
      </c>
      <c r="W30" t="s">
        <v>168</v>
      </c>
      <c r="X30" t="s">
        <v>168</v>
      </c>
      <c r="Y30" t="s">
        <v>168</v>
      </c>
      <c r="Z30">
        <v>2</v>
      </c>
      <c r="AA30">
        <v>1</v>
      </c>
    </row>
    <row r="31" spans="1:27" x14ac:dyDescent="0.25">
      <c r="A31" s="61" t="s">
        <v>98</v>
      </c>
      <c r="B31" s="1" t="s">
        <v>40</v>
      </c>
      <c r="C31" s="6">
        <v>54</v>
      </c>
      <c r="D31" s="33">
        <v>72</v>
      </c>
      <c r="E31" s="34">
        <v>73</v>
      </c>
      <c r="F31" s="36">
        <v>89</v>
      </c>
      <c r="G31" s="36">
        <v>90</v>
      </c>
      <c r="H31" s="36">
        <v>91</v>
      </c>
      <c r="I31" s="36">
        <v>91</v>
      </c>
      <c r="J31" s="35">
        <v>8</v>
      </c>
      <c r="K31" s="52" t="s">
        <v>170</v>
      </c>
      <c r="L31" t="s">
        <v>168</v>
      </c>
      <c r="M31" t="s">
        <v>168</v>
      </c>
      <c r="N31" t="s">
        <v>168</v>
      </c>
      <c r="O31" t="s">
        <v>168</v>
      </c>
      <c r="P31" t="s">
        <v>168</v>
      </c>
      <c r="Q31" t="s">
        <v>168</v>
      </c>
      <c r="R31" t="s">
        <v>168</v>
      </c>
      <c r="S31" t="s">
        <v>168</v>
      </c>
      <c r="T31" t="s">
        <v>168</v>
      </c>
      <c r="U31" t="s">
        <v>168</v>
      </c>
      <c r="V31" t="s">
        <v>168</v>
      </c>
      <c r="W31" t="s">
        <v>168</v>
      </c>
      <c r="X31" t="s">
        <v>168</v>
      </c>
      <c r="Y31" t="s">
        <v>168</v>
      </c>
      <c r="Z31">
        <v>2</v>
      </c>
      <c r="AA31">
        <v>1</v>
      </c>
    </row>
    <row r="32" spans="1:27" x14ac:dyDescent="0.25">
      <c r="A32" s="61" t="s">
        <v>98</v>
      </c>
      <c r="B32" s="1" t="s">
        <v>80</v>
      </c>
      <c r="C32" s="6">
        <v>50</v>
      </c>
      <c r="D32" s="33">
        <v>56</v>
      </c>
      <c r="E32" s="34">
        <v>56</v>
      </c>
      <c r="F32" s="36">
        <v>68</v>
      </c>
      <c r="G32" s="36">
        <v>68</v>
      </c>
      <c r="H32" s="36">
        <v>70</v>
      </c>
      <c r="I32" s="36">
        <v>70</v>
      </c>
      <c r="J32" s="35">
        <v>18</v>
      </c>
      <c r="K32" s="52" t="s">
        <v>170</v>
      </c>
      <c r="L32" t="s">
        <v>168</v>
      </c>
      <c r="M32" t="s">
        <v>168</v>
      </c>
      <c r="N32" t="s">
        <v>168</v>
      </c>
      <c r="O32" t="s">
        <v>168</v>
      </c>
      <c r="P32" t="s">
        <v>168</v>
      </c>
      <c r="Q32" t="s">
        <v>168</v>
      </c>
      <c r="R32" t="s">
        <v>168</v>
      </c>
      <c r="S32" t="s">
        <v>168</v>
      </c>
      <c r="T32" t="s">
        <v>168</v>
      </c>
      <c r="U32" t="s">
        <v>168</v>
      </c>
      <c r="V32" t="s">
        <v>168</v>
      </c>
      <c r="W32" t="s">
        <v>168</v>
      </c>
      <c r="X32" t="s">
        <v>168</v>
      </c>
      <c r="Y32" t="s">
        <v>168</v>
      </c>
      <c r="Z32">
        <v>2</v>
      </c>
      <c r="AA32">
        <v>1</v>
      </c>
    </row>
    <row r="33" spans="1:27" x14ac:dyDescent="0.25">
      <c r="A33" s="61" t="s">
        <v>98</v>
      </c>
      <c r="B33" s="1" t="s">
        <v>169</v>
      </c>
      <c r="C33" s="6">
        <v>70</v>
      </c>
      <c r="D33" s="33">
        <v>75</v>
      </c>
      <c r="E33" s="34">
        <v>75</v>
      </c>
      <c r="F33" s="36">
        <v>92</v>
      </c>
      <c r="G33" s="36">
        <v>93</v>
      </c>
      <c r="H33" s="36">
        <v>97</v>
      </c>
      <c r="I33" s="36">
        <v>97</v>
      </c>
      <c r="J33" s="35">
        <v>6</v>
      </c>
      <c r="K33" s="52" t="s">
        <v>170</v>
      </c>
      <c r="L33" t="s">
        <v>168</v>
      </c>
      <c r="M33" t="s">
        <v>168</v>
      </c>
      <c r="N33" t="s">
        <v>168</v>
      </c>
      <c r="O33" t="s">
        <v>168</v>
      </c>
      <c r="P33" t="s">
        <v>168</v>
      </c>
      <c r="Q33" t="s">
        <v>168</v>
      </c>
      <c r="R33" t="s">
        <v>168</v>
      </c>
      <c r="S33" t="s">
        <v>168</v>
      </c>
      <c r="T33" t="s">
        <v>168</v>
      </c>
      <c r="U33" t="s">
        <v>168</v>
      </c>
      <c r="V33" t="s">
        <v>168</v>
      </c>
      <c r="W33" t="s">
        <v>168</v>
      </c>
      <c r="X33" t="s">
        <v>168</v>
      </c>
      <c r="Y33" t="s">
        <v>168</v>
      </c>
      <c r="Z33">
        <v>2</v>
      </c>
      <c r="AA33">
        <v>1</v>
      </c>
    </row>
    <row r="34" spans="1:27" x14ac:dyDescent="0.25">
      <c r="A34" s="1" t="s">
        <v>98</v>
      </c>
      <c r="B34" s="1" t="s">
        <v>72</v>
      </c>
      <c r="C34" s="6">
        <v>48</v>
      </c>
      <c r="D34" s="33">
        <v>61</v>
      </c>
      <c r="E34" s="34">
        <v>62</v>
      </c>
      <c r="F34" s="36">
        <v>78</v>
      </c>
      <c r="G34" s="36">
        <v>78</v>
      </c>
      <c r="H34" s="36">
        <v>86</v>
      </c>
      <c r="I34" s="36">
        <v>93</v>
      </c>
      <c r="J34" s="35">
        <v>9</v>
      </c>
      <c r="K34" s="52" t="s">
        <v>196</v>
      </c>
      <c r="L34" t="s">
        <v>168</v>
      </c>
      <c r="M34" t="s">
        <v>168</v>
      </c>
      <c r="N34" t="s">
        <v>168</v>
      </c>
      <c r="O34" t="s">
        <v>168</v>
      </c>
      <c r="P34" t="s">
        <v>168</v>
      </c>
      <c r="Q34" t="s">
        <v>168</v>
      </c>
      <c r="R34" t="s">
        <v>168</v>
      </c>
      <c r="S34" t="s">
        <v>168</v>
      </c>
      <c r="T34" t="s">
        <v>168</v>
      </c>
      <c r="U34" t="s">
        <v>168</v>
      </c>
      <c r="V34" t="s">
        <v>168</v>
      </c>
      <c r="W34" t="s">
        <v>168</v>
      </c>
      <c r="X34" t="s">
        <v>168</v>
      </c>
      <c r="Y34" t="s">
        <v>168</v>
      </c>
      <c r="Z34">
        <v>2</v>
      </c>
      <c r="AA34">
        <v>1</v>
      </c>
    </row>
    <row r="35" spans="1:27" x14ac:dyDescent="0.25">
      <c r="A35" s="1" t="s">
        <v>98</v>
      </c>
      <c r="B35" s="1" t="s">
        <v>12</v>
      </c>
      <c r="C35" s="6">
        <v>38</v>
      </c>
      <c r="D35" s="33">
        <v>52</v>
      </c>
      <c r="E35" s="34">
        <v>52</v>
      </c>
      <c r="F35" s="36">
        <v>66</v>
      </c>
      <c r="G35" s="36">
        <v>66</v>
      </c>
      <c r="H35" s="36">
        <v>66</v>
      </c>
      <c r="I35" s="36">
        <v>66</v>
      </c>
      <c r="J35" s="35">
        <v>24</v>
      </c>
      <c r="K35" s="52" t="s">
        <v>196</v>
      </c>
      <c r="L35" t="s">
        <v>168</v>
      </c>
      <c r="M35" t="s">
        <v>168</v>
      </c>
      <c r="N35" t="s">
        <v>168</v>
      </c>
      <c r="O35" t="s">
        <v>168</v>
      </c>
      <c r="P35" t="s">
        <v>168</v>
      </c>
      <c r="Q35" t="s">
        <v>168</v>
      </c>
      <c r="R35" t="s">
        <v>168</v>
      </c>
      <c r="S35" t="s">
        <v>168</v>
      </c>
      <c r="T35" t="s">
        <v>168</v>
      </c>
      <c r="U35" t="s">
        <v>168</v>
      </c>
      <c r="V35" t="s">
        <v>168</v>
      </c>
      <c r="W35" t="s">
        <v>168</v>
      </c>
      <c r="X35" t="s">
        <v>168</v>
      </c>
      <c r="Y35" t="s">
        <v>168</v>
      </c>
      <c r="Z35">
        <v>2</v>
      </c>
      <c r="AA35">
        <v>1</v>
      </c>
    </row>
    <row r="36" spans="1:27" x14ac:dyDescent="0.25">
      <c r="A36" s="1" t="s">
        <v>98</v>
      </c>
      <c r="B36" s="1" t="s">
        <v>13</v>
      </c>
      <c r="C36" s="6">
        <v>52</v>
      </c>
      <c r="D36" s="33">
        <v>66</v>
      </c>
      <c r="E36" s="34">
        <v>66</v>
      </c>
      <c r="F36" s="36">
        <v>81</v>
      </c>
      <c r="G36" s="36">
        <v>81</v>
      </c>
      <c r="H36" s="36">
        <v>84</v>
      </c>
      <c r="I36" s="36">
        <v>84</v>
      </c>
      <c r="J36" s="35">
        <v>11</v>
      </c>
      <c r="K36" s="52" t="s">
        <v>196</v>
      </c>
      <c r="L36" t="s">
        <v>168</v>
      </c>
      <c r="M36" t="s">
        <v>168</v>
      </c>
      <c r="N36" t="s">
        <v>168</v>
      </c>
      <c r="O36" t="s">
        <v>168</v>
      </c>
      <c r="P36" t="s">
        <v>168</v>
      </c>
      <c r="Q36" t="s">
        <v>168</v>
      </c>
      <c r="R36" t="s">
        <v>168</v>
      </c>
      <c r="S36" t="s">
        <v>168</v>
      </c>
      <c r="T36" t="s">
        <v>168</v>
      </c>
      <c r="U36" t="s">
        <v>168</v>
      </c>
      <c r="V36" t="s">
        <v>168</v>
      </c>
      <c r="W36" t="s">
        <v>168</v>
      </c>
      <c r="X36" t="s">
        <v>168</v>
      </c>
      <c r="Y36" t="s">
        <v>168</v>
      </c>
      <c r="Z36">
        <v>2</v>
      </c>
      <c r="AA36">
        <v>1</v>
      </c>
    </row>
    <row r="37" spans="1:27" x14ac:dyDescent="0.25">
      <c r="A37" s="1" t="s">
        <v>98</v>
      </c>
      <c r="B37" s="1" t="s">
        <v>14</v>
      </c>
      <c r="C37" s="6">
        <v>32</v>
      </c>
      <c r="D37" s="33">
        <v>48</v>
      </c>
      <c r="E37" s="34">
        <v>50</v>
      </c>
      <c r="F37" s="36">
        <v>67</v>
      </c>
      <c r="G37" s="36">
        <v>67</v>
      </c>
      <c r="H37" s="36">
        <v>70</v>
      </c>
      <c r="I37" s="36">
        <v>76</v>
      </c>
      <c r="J37" s="35">
        <v>16</v>
      </c>
      <c r="K37" s="52" t="s">
        <v>196</v>
      </c>
      <c r="L37" t="s">
        <v>168</v>
      </c>
      <c r="M37" t="s">
        <v>168</v>
      </c>
      <c r="N37" t="s">
        <v>168</v>
      </c>
      <c r="O37" t="s">
        <v>168</v>
      </c>
      <c r="P37" t="s">
        <v>168</v>
      </c>
      <c r="Q37" t="s">
        <v>168</v>
      </c>
      <c r="R37" t="s">
        <v>168</v>
      </c>
      <c r="S37" t="s">
        <v>168</v>
      </c>
      <c r="T37" t="s">
        <v>168</v>
      </c>
      <c r="U37" t="s">
        <v>168</v>
      </c>
      <c r="V37" t="s">
        <v>168</v>
      </c>
      <c r="W37" t="s">
        <v>168</v>
      </c>
      <c r="X37" t="s">
        <v>168</v>
      </c>
      <c r="Y37" t="s">
        <v>168</v>
      </c>
      <c r="Z37">
        <v>2</v>
      </c>
      <c r="AA37">
        <v>1</v>
      </c>
    </row>
    <row r="38" spans="1:27" x14ac:dyDescent="0.25">
      <c r="A38" s="1" t="s">
        <v>98</v>
      </c>
      <c r="B38" s="1" t="s">
        <v>15</v>
      </c>
      <c r="C38" s="6">
        <v>51</v>
      </c>
      <c r="D38" s="33">
        <v>72</v>
      </c>
      <c r="E38" s="34">
        <v>75</v>
      </c>
      <c r="F38" s="36">
        <v>93</v>
      </c>
      <c r="G38" s="36">
        <v>95</v>
      </c>
      <c r="H38" s="36">
        <v>96</v>
      </c>
      <c r="I38" s="36">
        <v>96</v>
      </c>
      <c r="J38" s="35">
        <v>8</v>
      </c>
      <c r="K38" s="52" t="s">
        <v>196</v>
      </c>
      <c r="L38" t="s">
        <v>168</v>
      </c>
      <c r="M38" t="s">
        <v>168</v>
      </c>
      <c r="N38" t="s">
        <v>168</v>
      </c>
      <c r="O38" t="s">
        <v>168</v>
      </c>
      <c r="P38" t="s">
        <v>168</v>
      </c>
      <c r="Q38" t="s">
        <v>168</v>
      </c>
      <c r="R38" t="s">
        <v>168</v>
      </c>
      <c r="S38" t="s">
        <v>168</v>
      </c>
      <c r="T38" t="s">
        <v>168</v>
      </c>
      <c r="U38" t="s">
        <v>168</v>
      </c>
      <c r="V38" t="s">
        <v>168</v>
      </c>
      <c r="W38" t="s">
        <v>168</v>
      </c>
      <c r="X38" t="s">
        <v>168</v>
      </c>
      <c r="Y38" t="s">
        <v>168</v>
      </c>
      <c r="Z38">
        <v>2</v>
      </c>
      <c r="AA38">
        <v>1</v>
      </c>
    </row>
    <row r="39" spans="1:27" x14ac:dyDescent="0.25">
      <c r="A39" s="1" t="s">
        <v>98</v>
      </c>
      <c r="B39" s="1" t="s">
        <v>81</v>
      </c>
      <c r="C39" s="6">
        <v>35</v>
      </c>
      <c r="D39" s="33">
        <v>58</v>
      </c>
      <c r="E39" s="34">
        <v>59</v>
      </c>
      <c r="F39" s="36">
        <v>77</v>
      </c>
      <c r="G39" s="36">
        <v>77</v>
      </c>
      <c r="H39" s="36">
        <v>78</v>
      </c>
      <c r="I39" s="36">
        <v>90</v>
      </c>
      <c r="J39" s="35">
        <v>11</v>
      </c>
      <c r="K39" s="52" t="s">
        <v>196</v>
      </c>
      <c r="L39" t="s">
        <v>168</v>
      </c>
      <c r="M39" t="s">
        <v>168</v>
      </c>
      <c r="N39" t="s">
        <v>168</v>
      </c>
      <c r="O39" t="s">
        <v>168</v>
      </c>
      <c r="P39" t="s">
        <v>168</v>
      </c>
      <c r="Q39" t="s">
        <v>168</v>
      </c>
      <c r="R39" t="s">
        <v>168</v>
      </c>
      <c r="S39" t="s">
        <v>168</v>
      </c>
      <c r="T39" t="s">
        <v>168</v>
      </c>
      <c r="U39" t="s">
        <v>168</v>
      </c>
      <c r="V39" t="s">
        <v>168</v>
      </c>
      <c r="W39" t="s">
        <v>168</v>
      </c>
      <c r="X39" t="s">
        <v>168</v>
      </c>
      <c r="Y39" t="s">
        <v>168</v>
      </c>
      <c r="Z39">
        <v>2</v>
      </c>
      <c r="AA39">
        <v>1</v>
      </c>
    </row>
    <row r="40" spans="1:27" x14ac:dyDescent="0.25">
      <c r="A40" s="1" t="s">
        <v>98</v>
      </c>
      <c r="B40" s="1" t="s">
        <v>88</v>
      </c>
      <c r="C40" s="6">
        <v>36</v>
      </c>
      <c r="D40" s="33">
        <v>51</v>
      </c>
      <c r="E40" s="34">
        <v>51</v>
      </c>
      <c r="F40" s="36">
        <v>64</v>
      </c>
      <c r="G40" s="36">
        <v>66</v>
      </c>
      <c r="H40" s="36">
        <v>67</v>
      </c>
      <c r="I40" s="36">
        <v>68</v>
      </c>
      <c r="J40" s="35">
        <v>21</v>
      </c>
      <c r="K40" s="52" t="s">
        <v>196</v>
      </c>
      <c r="L40" t="s">
        <v>168</v>
      </c>
      <c r="M40" t="s">
        <v>168</v>
      </c>
      <c r="N40" t="s">
        <v>168</v>
      </c>
      <c r="O40" t="s">
        <v>168</v>
      </c>
      <c r="P40" t="s">
        <v>168</v>
      </c>
      <c r="Q40" t="s">
        <v>168</v>
      </c>
      <c r="R40" t="s">
        <v>168</v>
      </c>
      <c r="S40" t="s">
        <v>168</v>
      </c>
      <c r="T40" t="s">
        <v>168</v>
      </c>
      <c r="U40" t="s">
        <v>168</v>
      </c>
      <c r="V40" t="s">
        <v>168</v>
      </c>
      <c r="W40" t="s">
        <v>168</v>
      </c>
      <c r="X40" t="s">
        <v>168</v>
      </c>
      <c r="Y40" t="s">
        <v>168</v>
      </c>
      <c r="Z40">
        <v>2</v>
      </c>
      <c r="AA40">
        <v>1</v>
      </c>
    </row>
    <row r="41" spans="1:27" x14ac:dyDescent="0.25">
      <c r="A41" s="1" t="s">
        <v>98</v>
      </c>
      <c r="B41" s="1" t="s">
        <v>16</v>
      </c>
      <c r="C41" s="6">
        <v>43</v>
      </c>
      <c r="D41" s="33">
        <v>55</v>
      </c>
      <c r="E41" s="34">
        <v>58</v>
      </c>
      <c r="F41" s="36">
        <v>69</v>
      </c>
      <c r="G41" s="36">
        <v>70</v>
      </c>
      <c r="H41" s="36">
        <v>79</v>
      </c>
      <c r="I41" s="36">
        <v>79</v>
      </c>
      <c r="J41" s="35">
        <v>14</v>
      </c>
      <c r="K41" s="52" t="s">
        <v>196</v>
      </c>
      <c r="L41" t="s">
        <v>168</v>
      </c>
      <c r="M41" t="s">
        <v>168</v>
      </c>
      <c r="N41" t="s">
        <v>168</v>
      </c>
      <c r="O41" t="s">
        <v>168</v>
      </c>
      <c r="P41" t="s">
        <v>168</v>
      </c>
      <c r="Q41" t="s">
        <v>168</v>
      </c>
      <c r="R41" t="s">
        <v>168</v>
      </c>
      <c r="S41" t="s">
        <v>168</v>
      </c>
      <c r="T41" t="s">
        <v>168</v>
      </c>
      <c r="U41" t="s">
        <v>168</v>
      </c>
      <c r="V41" t="s">
        <v>168</v>
      </c>
      <c r="W41" t="s">
        <v>168</v>
      </c>
      <c r="X41" t="s">
        <v>168</v>
      </c>
      <c r="Y41" t="s">
        <v>168</v>
      </c>
      <c r="Z41">
        <v>2</v>
      </c>
      <c r="AA41">
        <v>1</v>
      </c>
    </row>
    <row r="42" spans="1:27" x14ac:dyDescent="0.25">
      <c r="A42" s="1" t="s">
        <v>98</v>
      </c>
      <c r="B42" s="1" t="s">
        <v>17</v>
      </c>
      <c r="C42" s="6">
        <v>47</v>
      </c>
      <c r="D42" s="33">
        <v>70</v>
      </c>
      <c r="E42" s="34">
        <v>74</v>
      </c>
      <c r="F42" s="62" t="s">
        <v>168</v>
      </c>
      <c r="G42" s="62" t="s">
        <v>168</v>
      </c>
      <c r="H42" s="62" t="s">
        <v>168</v>
      </c>
      <c r="I42" s="62" t="s">
        <v>168</v>
      </c>
      <c r="J42" s="35" t="s">
        <v>168</v>
      </c>
      <c r="K42" s="52" t="s">
        <v>196</v>
      </c>
      <c r="L42" t="s">
        <v>168</v>
      </c>
      <c r="M42" t="s">
        <v>168</v>
      </c>
      <c r="N42" t="s">
        <v>168</v>
      </c>
      <c r="O42" t="s">
        <v>168</v>
      </c>
      <c r="P42" t="s">
        <v>168</v>
      </c>
      <c r="Q42" t="s">
        <v>168</v>
      </c>
      <c r="R42" t="s">
        <v>168</v>
      </c>
      <c r="S42" t="s">
        <v>168</v>
      </c>
      <c r="T42" t="s">
        <v>168</v>
      </c>
      <c r="U42" t="s">
        <v>168</v>
      </c>
      <c r="V42" t="s">
        <v>168</v>
      </c>
      <c r="W42" t="s">
        <v>168</v>
      </c>
      <c r="X42" t="s">
        <v>168</v>
      </c>
      <c r="Y42" t="s">
        <v>168</v>
      </c>
      <c r="Z42">
        <v>2</v>
      </c>
      <c r="AA42">
        <v>1</v>
      </c>
    </row>
    <row r="43" spans="1:27" x14ac:dyDescent="0.25">
      <c r="A43" s="1" t="s">
        <v>98</v>
      </c>
      <c r="B43" s="1" t="s">
        <v>197</v>
      </c>
      <c r="C43" s="6">
        <v>51</v>
      </c>
      <c r="D43" s="33">
        <v>69</v>
      </c>
      <c r="E43" s="34">
        <v>70</v>
      </c>
      <c r="F43" s="62" t="s">
        <v>168</v>
      </c>
      <c r="G43" s="62" t="s">
        <v>168</v>
      </c>
      <c r="H43" s="62" t="s">
        <v>168</v>
      </c>
      <c r="I43" s="62" t="s">
        <v>168</v>
      </c>
      <c r="J43" s="35">
        <v>4</v>
      </c>
      <c r="K43" s="52" t="s">
        <v>196</v>
      </c>
      <c r="L43" t="s">
        <v>168</v>
      </c>
      <c r="M43" t="s">
        <v>168</v>
      </c>
      <c r="N43" t="s">
        <v>168</v>
      </c>
      <c r="O43" t="s">
        <v>168</v>
      </c>
      <c r="P43" t="s">
        <v>168</v>
      </c>
      <c r="Q43" t="s">
        <v>168</v>
      </c>
      <c r="R43" t="s">
        <v>168</v>
      </c>
      <c r="S43" t="s">
        <v>168</v>
      </c>
      <c r="T43" t="s">
        <v>168</v>
      </c>
      <c r="U43" t="s">
        <v>168</v>
      </c>
      <c r="V43" t="s">
        <v>168</v>
      </c>
      <c r="W43" t="s">
        <v>168</v>
      </c>
      <c r="X43" t="s">
        <v>168</v>
      </c>
      <c r="Y43" t="s">
        <v>168</v>
      </c>
      <c r="Z43">
        <v>2</v>
      </c>
      <c r="AA43">
        <v>1</v>
      </c>
    </row>
    <row r="44" spans="1:27" x14ac:dyDescent="0.25">
      <c r="A44" s="1" t="s">
        <v>98</v>
      </c>
      <c r="B44" s="1" t="s">
        <v>47</v>
      </c>
      <c r="C44" s="6">
        <v>48</v>
      </c>
      <c r="D44" s="33">
        <v>75</v>
      </c>
      <c r="E44" s="34">
        <v>75</v>
      </c>
      <c r="F44" s="36">
        <v>85</v>
      </c>
      <c r="G44" s="36">
        <v>85</v>
      </c>
      <c r="H44" s="62" t="s">
        <v>168</v>
      </c>
      <c r="I44" s="62" t="s">
        <v>168</v>
      </c>
      <c r="J44" s="35">
        <v>6</v>
      </c>
      <c r="K44" s="52" t="s">
        <v>196</v>
      </c>
      <c r="L44" t="s">
        <v>168</v>
      </c>
      <c r="M44" t="s">
        <v>168</v>
      </c>
      <c r="N44" t="s">
        <v>168</v>
      </c>
      <c r="O44" t="s">
        <v>168</v>
      </c>
      <c r="P44" t="s">
        <v>168</v>
      </c>
      <c r="Q44" t="s">
        <v>168</v>
      </c>
      <c r="R44" t="s">
        <v>168</v>
      </c>
      <c r="S44" t="s">
        <v>168</v>
      </c>
      <c r="T44" t="s">
        <v>168</v>
      </c>
      <c r="U44" t="s">
        <v>168</v>
      </c>
      <c r="V44" t="s">
        <v>168</v>
      </c>
      <c r="W44" t="s">
        <v>168</v>
      </c>
      <c r="X44" t="s">
        <v>168</v>
      </c>
      <c r="Y44" t="s">
        <v>168</v>
      </c>
      <c r="Z44">
        <v>2</v>
      </c>
      <c r="AA44">
        <v>1</v>
      </c>
    </row>
    <row r="45" spans="1:27" x14ac:dyDescent="0.25">
      <c r="A45" s="1" t="s">
        <v>98</v>
      </c>
      <c r="B45" s="1" t="s">
        <v>18</v>
      </c>
      <c r="C45" s="6">
        <v>47</v>
      </c>
      <c r="D45" s="33">
        <v>61</v>
      </c>
      <c r="E45" s="34">
        <v>62</v>
      </c>
      <c r="F45" s="36">
        <v>76</v>
      </c>
      <c r="G45" s="36">
        <v>76</v>
      </c>
      <c r="H45" s="36">
        <v>77</v>
      </c>
      <c r="I45" s="36">
        <v>77</v>
      </c>
      <c r="J45" s="35">
        <v>10</v>
      </c>
      <c r="K45" s="52" t="s">
        <v>196</v>
      </c>
      <c r="L45" t="s">
        <v>168</v>
      </c>
      <c r="M45" t="s">
        <v>168</v>
      </c>
      <c r="N45" t="s">
        <v>168</v>
      </c>
      <c r="O45" t="s">
        <v>168</v>
      </c>
      <c r="P45" t="s">
        <v>168</v>
      </c>
      <c r="Q45" t="s">
        <v>168</v>
      </c>
      <c r="R45" t="s">
        <v>168</v>
      </c>
      <c r="S45" t="s">
        <v>168</v>
      </c>
      <c r="T45" t="s">
        <v>168</v>
      </c>
      <c r="U45" t="s">
        <v>168</v>
      </c>
      <c r="V45" t="s">
        <v>168</v>
      </c>
      <c r="W45" t="s">
        <v>168</v>
      </c>
      <c r="X45" t="s">
        <v>168</v>
      </c>
      <c r="Y45" t="s">
        <v>168</v>
      </c>
      <c r="Z45">
        <v>2</v>
      </c>
      <c r="AA45">
        <v>1</v>
      </c>
    </row>
    <row r="46" spans="1:27" x14ac:dyDescent="0.25">
      <c r="A46" s="1" t="s">
        <v>98</v>
      </c>
      <c r="B46" s="1" t="s">
        <v>48</v>
      </c>
      <c r="C46" s="6">
        <v>46</v>
      </c>
      <c r="D46" s="33">
        <v>61</v>
      </c>
      <c r="E46" s="34">
        <v>63</v>
      </c>
      <c r="F46" s="36">
        <v>78</v>
      </c>
      <c r="G46" s="36">
        <v>78</v>
      </c>
      <c r="H46" s="36">
        <v>85</v>
      </c>
      <c r="I46" s="36">
        <v>86</v>
      </c>
      <c r="J46" s="35">
        <v>12</v>
      </c>
      <c r="K46" s="52" t="s">
        <v>196</v>
      </c>
      <c r="L46" t="s">
        <v>168</v>
      </c>
      <c r="M46" t="s">
        <v>168</v>
      </c>
      <c r="N46" t="s">
        <v>168</v>
      </c>
      <c r="O46" t="s">
        <v>168</v>
      </c>
      <c r="P46" t="s">
        <v>168</v>
      </c>
      <c r="Q46" t="s">
        <v>168</v>
      </c>
      <c r="R46" t="s">
        <v>168</v>
      </c>
      <c r="S46" t="s">
        <v>168</v>
      </c>
      <c r="T46" t="s">
        <v>168</v>
      </c>
      <c r="U46" t="s">
        <v>168</v>
      </c>
      <c r="V46" t="s">
        <v>168</v>
      </c>
      <c r="W46" t="s">
        <v>168</v>
      </c>
      <c r="X46" t="s">
        <v>168</v>
      </c>
      <c r="Y46" t="s">
        <v>168</v>
      </c>
      <c r="Z46">
        <v>2</v>
      </c>
      <c r="AA46">
        <v>1</v>
      </c>
    </row>
    <row r="47" spans="1:27" x14ac:dyDescent="0.25">
      <c r="A47" s="1" t="s">
        <v>98</v>
      </c>
      <c r="B47" s="1" t="s">
        <v>89</v>
      </c>
      <c r="C47" s="6">
        <v>47</v>
      </c>
      <c r="D47" s="33">
        <v>63</v>
      </c>
      <c r="E47" s="34">
        <v>64</v>
      </c>
      <c r="F47" s="36">
        <v>77</v>
      </c>
      <c r="G47" s="36">
        <v>77</v>
      </c>
      <c r="H47" s="36">
        <v>79</v>
      </c>
      <c r="I47" s="36">
        <v>85</v>
      </c>
      <c r="J47" s="35">
        <v>14</v>
      </c>
      <c r="K47" s="52" t="s">
        <v>196</v>
      </c>
      <c r="L47" t="s">
        <v>168</v>
      </c>
      <c r="M47" t="s">
        <v>168</v>
      </c>
      <c r="N47" t="s">
        <v>168</v>
      </c>
      <c r="O47" t="s">
        <v>168</v>
      </c>
      <c r="P47" t="s">
        <v>168</v>
      </c>
      <c r="Q47" t="s">
        <v>168</v>
      </c>
      <c r="R47" t="s">
        <v>168</v>
      </c>
      <c r="S47" t="s">
        <v>168</v>
      </c>
      <c r="T47" t="s">
        <v>168</v>
      </c>
      <c r="U47" t="s">
        <v>168</v>
      </c>
      <c r="V47" t="s">
        <v>168</v>
      </c>
      <c r="W47" t="s">
        <v>168</v>
      </c>
      <c r="X47" t="s">
        <v>168</v>
      </c>
      <c r="Y47" t="s">
        <v>168</v>
      </c>
      <c r="Z47">
        <v>2</v>
      </c>
      <c r="AA47">
        <v>1</v>
      </c>
    </row>
    <row r="48" spans="1:27" x14ac:dyDescent="0.25">
      <c r="A48" s="1" t="s">
        <v>98</v>
      </c>
      <c r="B48" s="1" t="s">
        <v>73</v>
      </c>
      <c r="C48" s="6">
        <v>34</v>
      </c>
      <c r="D48" s="33">
        <v>50</v>
      </c>
      <c r="E48" s="34">
        <v>50</v>
      </c>
      <c r="F48" s="36">
        <v>60</v>
      </c>
      <c r="G48" s="36">
        <v>60</v>
      </c>
      <c r="H48" s="36">
        <v>61</v>
      </c>
      <c r="I48" s="36">
        <v>61</v>
      </c>
      <c r="J48" s="35">
        <v>37</v>
      </c>
      <c r="K48" s="52" t="s">
        <v>196</v>
      </c>
      <c r="L48" t="s">
        <v>168</v>
      </c>
      <c r="M48" t="s">
        <v>168</v>
      </c>
      <c r="N48" t="s">
        <v>168</v>
      </c>
      <c r="O48" t="s">
        <v>168</v>
      </c>
      <c r="P48" t="s">
        <v>168</v>
      </c>
      <c r="Q48" t="s">
        <v>168</v>
      </c>
      <c r="R48" t="s">
        <v>168</v>
      </c>
      <c r="S48" t="s">
        <v>168</v>
      </c>
      <c r="T48" t="s">
        <v>168</v>
      </c>
      <c r="U48" t="s">
        <v>168</v>
      </c>
      <c r="V48" t="s">
        <v>168</v>
      </c>
      <c r="W48" t="s">
        <v>168</v>
      </c>
      <c r="X48" t="s">
        <v>168</v>
      </c>
      <c r="Y48" t="s">
        <v>168</v>
      </c>
      <c r="Z48">
        <v>2</v>
      </c>
      <c r="AA48">
        <v>1</v>
      </c>
    </row>
    <row r="49" spans="1:27" x14ac:dyDescent="0.25">
      <c r="A49" s="1" t="s">
        <v>98</v>
      </c>
      <c r="B49" s="1" t="s">
        <v>49</v>
      </c>
      <c r="C49" s="6">
        <v>40</v>
      </c>
      <c r="D49" s="33">
        <v>55</v>
      </c>
      <c r="E49" s="34">
        <v>56</v>
      </c>
      <c r="F49" s="36">
        <v>70</v>
      </c>
      <c r="G49" s="36">
        <v>70</v>
      </c>
      <c r="H49" s="36">
        <v>72</v>
      </c>
      <c r="I49" s="36">
        <v>77</v>
      </c>
      <c r="J49" s="35">
        <v>14</v>
      </c>
      <c r="K49" s="52" t="s">
        <v>196</v>
      </c>
      <c r="L49" t="s">
        <v>168</v>
      </c>
      <c r="M49" t="s">
        <v>168</v>
      </c>
      <c r="N49" t="s">
        <v>168</v>
      </c>
      <c r="O49" t="s">
        <v>168</v>
      </c>
      <c r="P49" t="s">
        <v>168</v>
      </c>
      <c r="Q49" t="s">
        <v>168</v>
      </c>
      <c r="R49" t="s">
        <v>168</v>
      </c>
      <c r="S49" t="s">
        <v>168</v>
      </c>
      <c r="T49" t="s">
        <v>168</v>
      </c>
      <c r="U49" t="s">
        <v>168</v>
      </c>
      <c r="V49" t="s">
        <v>168</v>
      </c>
      <c r="W49" t="s">
        <v>168</v>
      </c>
      <c r="X49" t="s">
        <v>168</v>
      </c>
      <c r="Y49" t="s">
        <v>168</v>
      </c>
      <c r="Z49">
        <v>2</v>
      </c>
      <c r="AA49">
        <v>1</v>
      </c>
    </row>
    <row r="50" spans="1:27" x14ac:dyDescent="0.25">
      <c r="A50" s="1" t="s">
        <v>98</v>
      </c>
      <c r="B50" s="1" t="s">
        <v>82</v>
      </c>
      <c r="C50" s="6">
        <v>43</v>
      </c>
      <c r="D50" s="33">
        <v>55</v>
      </c>
      <c r="E50" s="34">
        <v>55</v>
      </c>
      <c r="F50" s="36">
        <v>68</v>
      </c>
      <c r="G50" s="36">
        <v>69</v>
      </c>
      <c r="H50" s="36">
        <v>70</v>
      </c>
      <c r="I50" s="36">
        <v>72</v>
      </c>
      <c r="J50" s="35">
        <v>15</v>
      </c>
      <c r="K50" s="52" t="s">
        <v>196</v>
      </c>
      <c r="L50" t="s">
        <v>168</v>
      </c>
      <c r="M50" t="s">
        <v>168</v>
      </c>
      <c r="N50" t="s">
        <v>168</v>
      </c>
      <c r="O50" t="s">
        <v>168</v>
      </c>
      <c r="P50" t="s">
        <v>168</v>
      </c>
      <c r="Q50" t="s">
        <v>168</v>
      </c>
      <c r="R50" t="s">
        <v>168</v>
      </c>
      <c r="S50" t="s">
        <v>168</v>
      </c>
      <c r="T50" t="s">
        <v>168</v>
      </c>
      <c r="U50" t="s">
        <v>168</v>
      </c>
      <c r="V50" t="s">
        <v>168</v>
      </c>
      <c r="W50" t="s">
        <v>168</v>
      </c>
      <c r="X50" t="s">
        <v>168</v>
      </c>
      <c r="Y50" t="s">
        <v>168</v>
      </c>
      <c r="Z50">
        <v>2</v>
      </c>
      <c r="AA50">
        <v>1</v>
      </c>
    </row>
    <row r="51" spans="1:27" x14ac:dyDescent="0.25">
      <c r="A51" s="1" t="s">
        <v>98</v>
      </c>
      <c r="B51" s="1" t="s">
        <v>74</v>
      </c>
      <c r="C51" s="6">
        <v>43</v>
      </c>
      <c r="D51" s="33">
        <v>58</v>
      </c>
      <c r="E51" s="34">
        <v>58</v>
      </c>
      <c r="F51" s="36">
        <v>70</v>
      </c>
      <c r="G51" s="36">
        <v>71</v>
      </c>
      <c r="H51" s="36">
        <v>73</v>
      </c>
      <c r="I51" s="36">
        <v>74</v>
      </c>
      <c r="J51" s="35">
        <v>18</v>
      </c>
      <c r="K51" s="52" t="s">
        <v>196</v>
      </c>
      <c r="L51" t="s">
        <v>168</v>
      </c>
      <c r="M51" t="s">
        <v>168</v>
      </c>
      <c r="N51" t="s">
        <v>168</v>
      </c>
      <c r="O51" t="s">
        <v>168</v>
      </c>
      <c r="P51" t="s">
        <v>168</v>
      </c>
      <c r="Q51" t="s">
        <v>168</v>
      </c>
      <c r="R51" t="s">
        <v>168</v>
      </c>
      <c r="S51" t="s">
        <v>168</v>
      </c>
      <c r="T51" t="s">
        <v>168</v>
      </c>
      <c r="U51" t="s">
        <v>168</v>
      </c>
      <c r="V51" t="s">
        <v>168</v>
      </c>
      <c r="W51" t="s">
        <v>168</v>
      </c>
      <c r="X51" t="s">
        <v>168</v>
      </c>
      <c r="Y51" t="s">
        <v>168</v>
      </c>
      <c r="Z51">
        <v>2</v>
      </c>
      <c r="AA51">
        <v>1</v>
      </c>
    </row>
    <row r="52" spans="1:27" x14ac:dyDescent="0.25">
      <c r="A52" s="1" t="s">
        <v>98</v>
      </c>
      <c r="B52" s="1" t="s">
        <v>19</v>
      </c>
      <c r="C52" s="6">
        <v>43</v>
      </c>
      <c r="D52" s="33">
        <v>58</v>
      </c>
      <c r="E52" s="34">
        <v>59</v>
      </c>
      <c r="F52" s="36">
        <v>72</v>
      </c>
      <c r="G52" s="36">
        <v>74</v>
      </c>
      <c r="H52" s="36">
        <v>76</v>
      </c>
      <c r="I52" s="36">
        <v>88</v>
      </c>
      <c r="J52" s="35">
        <v>12</v>
      </c>
      <c r="K52" s="52" t="s">
        <v>196</v>
      </c>
      <c r="L52" t="s">
        <v>168</v>
      </c>
      <c r="M52" t="s">
        <v>168</v>
      </c>
      <c r="N52" t="s">
        <v>168</v>
      </c>
      <c r="O52" t="s">
        <v>168</v>
      </c>
      <c r="P52" t="s">
        <v>168</v>
      </c>
      <c r="Q52" t="s">
        <v>168</v>
      </c>
      <c r="R52" t="s">
        <v>168</v>
      </c>
      <c r="S52" t="s">
        <v>168</v>
      </c>
      <c r="T52" t="s">
        <v>168</v>
      </c>
      <c r="U52" t="s">
        <v>168</v>
      </c>
      <c r="V52" t="s">
        <v>168</v>
      </c>
      <c r="W52" t="s">
        <v>168</v>
      </c>
      <c r="X52" t="s">
        <v>168</v>
      </c>
      <c r="Y52" t="s">
        <v>168</v>
      </c>
      <c r="Z52">
        <v>2</v>
      </c>
      <c r="AA52">
        <v>1</v>
      </c>
    </row>
    <row r="53" spans="1:27" x14ac:dyDescent="0.25">
      <c r="A53" s="1" t="s">
        <v>98</v>
      </c>
      <c r="B53" s="1" t="s">
        <v>20</v>
      </c>
      <c r="C53" s="6">
        <v>41</v>
      </c>
      <c r="D53" s="33">
        <v>59</v>
      </c>
      <c r="E53" s="34">
        <v>60</v>
      </c>
      <c r="F53" s="36">
        <v>73</v>
      </c>
      <c r="G53" s="36">
        <v>74</v>
      </c>
      <c r="H53" s="36">
        <v>75</v>
      </c>
      <c r="I53" s="36">
        <v>75</v>
      </c>
      <c r="J53" s="35">
        <v>12</v>
      </c>
      <c r="K53" s="52" t="s">
        <v>196</v>
      </c>
      <c r="L53" t="s">
        <v>168</v>
      </c>
      <c r="M53" t="s">
        <v>168</v>
      </c>
      <c r="N53" t="s">
        <v>168</v>
      </c>
      <c r="O53" t="s">
        <v>168</v>
      </c>
      <c r="P53" t="s">
        <v>168</v>
      </c>
      <c r="Q53" t="s">
        <v>168</v>
      </c>
      <c r="R53" t="s">
        <v>168</v>
      </c>
      <c r="S53" t="s">
        <v>168</v>
      </c>
      <c r="T53" t="s">
        <v>168</v>
      </c>
      <c r="U53" t="s">
        <v>168</v>
      </c>
      <c r="V53" t="s">
        <v>168</v>
      </c>
      <c r="W53" t="s">
        <v>168</v>
      </c>
      <c r="X53" t="s">
        <v>168</v>
      </c>
      <c r="Y53" t="s">
        <v>168</v>
      </c>
      <c r="Z53">
        <v>2</v>
      </c>
      <c r="AA53">
        <v>1</v>
      </c>
    </row>
    <row r="54" spans="1:27" x14ac:dyDescent="0.25">
      <c r="A54" s="1" t="s">
        <v>98</v>
      </c>
      <c r="B54" s="1" t="s">
        <v>50</v>
      </c>
      <c r="C54" s="6">
        <v>56</v>
      </c>
      <c r="D54" s="33">
        <v>66</v>
      </c>
      <c r="E54" s="34">
        <v>66</v>
      </c>
      <c r="F54" s="36">
        <v>85</v>
      </c>
      <c r="G54" s="36">
        <v>94</v>
      </c>
      <c r="H54" s="62" t="s">
        <v>168</v>
      </c>
      <c r="I54" s="62" t="s">
        <v>168</v>
      </c>
      <c r="J54" s="35">
        <v>6</v>
      </c>
      <c r="K54" s="52" t="s">
        <v>196</v>
      </c>
      <c r="L54" t="s">
        <v>168</v>
      </c>
      <c r="M54" t="s">
        <v>168</v>
      </c>
      <c r="N54" t="s">
        <v>168</v>
      </c>
      <c r="O54" t="s">
        <v>168</v>
      </c>
      <c r="P54" t="s">
        <v>168</v>
      </c>
      <c r="Q54" t="s">
        <v>168</v>
      </c>
      <c r="R54" t="s">
        <v>168</v>
      </c>
      <c r="S54" t="s">
        <v>168</v>
      </c>
      <c r="T54" t="s">
        <v>168</v>
      </c>
      <c r="U54" t="s">
        <v>168</v>
      </c>
      <c r="V54" t="s">
        <v>168</v>
      </c>
      <c r="W54" t="s">
        <v>168</v>
      </c>
      <c r="X54" t="s">
        <v>168</v>
      </c>
      <c r="Y54" t="s">
        <v>168</v>
      </c>
      <c r="Z54">
        <v>2</v>
      </c>
      <c r="AA54">
        <v>1</v>
      </c>
    </row>
    <row r="55" spans="1:27" x14ac:dyDescent="0.25">
      <c r="A55" s="1" t="s">
        <v>98</v>
      </c>
      <c r="B55" s="1" t="s">
        <v>51</v>
      </c>
      <c r="C55" s="6">
        <v>38</v>
      </c>
      <c r="D55" s="33">
        <v>55</v>
      </c>
      <c r="E55" s="34">
        <v>64</v>
      </c>
      <c r="F55" s="36">
        <v>72</v>
      </c>
      <c r="G55" s="36">
        <v>85</v>
      </c>
      <c r="H55" s="36">
        <v>88</v>
      </c>
      <c r="I55" s="62" t="s">
        <v>168</v>
      </c>
      <c r="J55" s="35">
        <v>7</v>
      </c>
      <c r="K55" s="52" t="s">
        <v>196</v>
      </c>
      <c r="L55" t="s">
        <v>168</v>
      </c>
      <c r="M55" t="s">
        <v>168</v>
      </c>
      <c r="N55" t="s">
        <v>168</v>
      </c>
      <c r="O55" t="s">
        <v>168</v>
      </c>
      <c r="P55" t="s">
        <v>168</v>
      </c>
      <c r="Q55" t="s">
        <v>168</v>
      </c>
      <c r="R55" t="s">
        <v>168</v>
      </c>
      <c r="S55" t="s">
        <v>168</v>
      </c>
      <c r="T55" t="s">
        <v>168</v>
      </c>
      <c r="U55" t="s">
        <v>168</v>
      </c>
      <c r="V55" t="s">
        <v>168</v>
      </c>
      <c r="W55" t="s">
        <v>168</v>
      </c>
      <c r="X55" t="s">
        <v>168</v>
      </c>
      <c r="Y55" t="s">
        <v>168</v>
      </c>
      <c r="Z55">
        <v>2</v>
      </c>
      <c r="AA55">
        <v>1</v>
      </c>
    </row>
    <row r="56" spans="1:27" x14ac:dyDescent="0.25">
      <c r="A56" s="1" t="s">
        <v>98</v>
      </c>
      <c r="B56" s="1" t="s">
        <v>21</v>
      </c>
      <c r="C56" s="6">
        <v>44</v>
      </c>
      <c r="D56" s="33">
        <v>58</v>
      </c>
      <c r="E56" s="34">
        <v>58</v>
      </c>
      <c r="F56" s="36">
        <v>70</v>
      </c>
      <c r="G56" s="36">
        <v>71</v>
      </c>
      <c r="H56" s="36">
        <v>71</v>
      </c>
      <c r="I56" s="36">
        <v>72</v>
      </c>
      <c r="J56" s="35">
        <v>24</v>
      </c>
      <c r="K56" s="52" t="s">
        <v>196</v>
      </c>
      <c r="L56" t="s">
        <v>168</v>
      </c>
      <c r="M56" t="s">
        <v>168</v>
      </c>
      <c r="N56" t="s">
        <v>168</v>
      </c>
      <c r="O56" t="s">
        <v>168</v>
      </c>
      <c r="P56" t="s">
        <v>168</v>
      </c>
      <c r="Q56" t="s">
        <v>168</v>
      </c>
      <c r="R56" t="s">
        <v>168</v>
      </c>
      <c r="S56" t="s">
        <v>168</v>
      </c>
      <c r="T56" t="s">
        <v>168</v>
      </c>
      <c r="U56" t="s">
        <v>168</v>
      </c>
      <c r="V56" t="s">
        <v>168</v>
      </c>
      <c r="W56" t="s">
        <v>168</v>
      </c>
      <c r="X56" t="s">
        <v>168</v>
      </c>
      <c r="Y56" t="s">
        <v>168</v>
      </c>
      <c r="Z56">
        <v>2</v>
      </c>
      <c r="AA56">
        <v>1</v>
      </c>
    </row>
    <row r="57" spans="1:27" x14ac:dyDescent="0.25">
      <c r="A57" s="1" t="s">
        <v>98</v>
      </c>
      <c r="B57" s="1" t="s">
        <v>52</v>
      </c>
      <c r="C57" s="6">
        <v>36</v>
      </c>
      <c r="D57" s="33">
        <v>50</v>
      </c>
      <c r="E57" s="34">
        <v>58</v>
      </c>
      <c r="F57" s="36">
        <v>66</v>
      </c>
      <c r="G57" s="36">
        <v>67</v>
      </c>
      <c r="H57" s="36">
        <v>71</v>
      </c>
      <c r="I57" s="36">
        <v>81</v>
      </c>
      <c r="J57" s="35">
        <v>12</v>
      </c>
      <c r="K57" s="52" t="s">
        <v>196</v>
      </c>
      <c r="L57" t="s">
        <v>168</v>
      </c>
      <c r="M57" t="s">
        <v>168</v>
      </c>
      <c r="N57" t="s">
        <v>168</v>
      </c>
      <c r="O57" t="s">
        <v>168</v>
      </c>
      <c r="P57" t="s">
        <v>168</v>
      </c>
      <c r="Q57" t="s">
        <v>168</v>
      </c>
      <c r="R57" t="s">
        <v>168</v>
      </c>
      <c r="S57" t="s">
        <v>168</v>
      </c>
      <c r="T57" t="s">
        <v>168</v>
      </c>
      <c r="U57" t="s">
        <v>168</v>
      </c>
      <c r="V57" t="s">
        <v>168</v>
      </c>
      <c r="W57" t="s">
        <v>168</v>
      </c>
      <c r="X57" t="s">
        <v>168</v>
      </c>
      <c r="Y57" t="s">
        <v>168</v>
      </c>
      <c r="Z57">
        <v>2</v>
      </c>
      <c r="AA57">
        <v>1</v>
      </c>
    </row>
    <row r="58" spans="1:27" x14ac:dyDescent="0.25">
      <c r="A58" s="1" t="s">
        <v>98</v>
      </c>
      <c r="B58" s="1" t="s">
        <v>22</v>
      </c>
      <c r="C58" s="6">
        <v>32</v>
      </c>
      <c r="D58" s="33">
        <v>45</v>
      </c>
      <c r="E58" s="34">
        <v>46</v>
      </c>
      <c r="F58" s="36">
        <v>55</v>
      </c>
      <c r="G58" s="36">
        <v>56</v>
      </c>
      <c r="H58" s="36">
        <v>58</v>
      </c>
      <c r="I58" s="36">
        <v>58</v>
      </c>
      <c r="J58" s="35">
        <v>24</v>
      </c>
      <c r="K58" s="52" t="s">
        <v>196</v>
      </c>
      <c r="L58" t="s">
        <v>168</v>
      </c>
      <c r="M58" t="s">
        <v>168</v>
      </c>
      <c r="N58" t="s">
        <v>168</v>
      </c>
      <c r="O58" t="s">
        <v>168</v>
      </c>
      <c r="P58" t="s">
        <v>168</v>
      </c>
      <c r="Q58" t="s">
        <v>168</v>
      </c>
      <c r="R58" t="s">
        <v>168</v>
      </c>
      <c r="S58" t="s">
        <v>168</v>
      </c>
      <c r="T58" t="s">
        <v>168</v>
      </c>
      <c r="U58" t="s">
        <v>168</v>
      </c>
      <c r="V58" t="s">
        <v>168</v>
      </c>
      <c r="W58" t="s">
        <v>168</v>
      </c>
      <c r="X58" t="s">
        <v>168</v>
      </c>
      <c r="Y58" t="s">
        <v>168</v>
      </c>
      <c r="Z58">
        <v>2</v>
      </c>
      <c r="AA58">
        <v>1</v>
      </c>
    </row>
    <row r="59" spans="1:27" x14ac:dyDescent="0.25">
      <c r="A59" s="1" t="s">
        <v>98</v>
      </c>
      <c r="B59" s="1" t="s">
        <v>53</v>
      </c>
      <c r="C59" s="6">
        <v>26</v>
      </c>
      <c r="D59" s="33">
        <v>43</v>
      </c>
      <c r="E59" s="34">
        <v>43</v>
      </c>
      <c r="F59" s="36">
        <v>55</v>
      </c>
      <c r="G59" s="36">
        <v>58</v>
      </c>
      <c r="H59" s="36">
        <v>58</v>
      </c>
      <c r="I59" s="36">
        <v>58</v>
      </c>
      <c r="J59" s="35">
        <v>24</v>
      </c>
      <c r="K59" s="52" t="s">
        <v>196</v>
      </c>
      <c r="L59" t="s">
        <v>168</v>
      </c>
      <c r="M59" t="s">
        <v>168</v>
      </c>
      <c r="N59" t="s">
        <v>168</v>
      </c>
      <c r="O59" t="s">
        <v>168</v>
      </c>
      <c r="P59" t="s">
        <v>168</v>
      </c>
      <c r="Q59" t="s">
        <v>168</v>
      </c>
      <c r="R59" t="s">
        <v>168</v>
      </c>
      <c r="S59" t="s">
        <v>168</v>
      </c>
      <c r="T59" t="s">
        <v>168</v>
      </c>
      <c r="U59" t="s">
        <v>168</v>
      </c>
      <c r="V59" t="s">
        <v>168</v>
      </c>
      <c r="W59" t="s">
        <v>168</v>
      </c>
      <c r="X59" t="s">
        <v>168</v>
      </c>
      <c r="Y59" t="s">
        <v>168</v>
      </c>
      <c r="Z59">
        <v>2</v>
      </c>
      <c r="AA59">
        <v>1</v>
      </c>
    </row>
    <row r="60" spans="1:27" x14ac:dyDescent="0.25">
      <c r="A60" s="1" t="s">
        <v>98</v>
      </c>
      <c r="B60" s="1" t="s">
        <v>23</v>
      </c>
      <c r="C60" s="6">
        <v>38</v>
      </c>
      <c r="D60" s="33">
        <v>46</v>
      </c>
      <c r="E60" s="34">
        <v>58</v>
      </c>
      <c r="F60" s="36">
        <v>60</v>
      </c>
      <c r="G60" s="36">
        <v>60</v>
      </c>
      <c r="H60" s="36">
        <v>62</v>
      </c>
      <c r="I60" s="36">
        <v>62</v>
      </c>
      <c r="J60" s="35">
        <v>25</v>
      </c>
      <c r="K60" s="52" t="s">
        <v>196</v>
      </c>
      <c r="L60" t="s">
        <v>168</v>
      </c>
      <c r="M60" t="s">
        <v>168</v>
      </c>
      <c r="N60" t="s">
        <v>168</v>
      </c>
      <c r="O60" t="s">
        <v>168</v>
      </c>
      <c r="P60" t="s">
        <v>168</v>
      </c>
      <c r="Q60" t="s">
        <v>168</v>
      </c>
      <c r="R60" t="s">
        <v>168</v>
      </c>
      <c r="S60" t="s">
        <v>168</v>
      </c>
      <c r="T60" t="s">
        <v>168</v>
      </c>
      <c r="U60" t="s">
        <v>168</v>
      </c>
      <c r="V60" t="s">
        <v>168</v>
      </c>
      <c r="W60" t="s">
        <v>168</v>
      </c>
      <c r="X60" t="s">
        <v>168</v>
      </c>
      <c r="Y60" t="s">
        <v>168</v>
      </c>
      <c r="Z60">
        <v>2</v>
      </c>
      <c r="AA60">
        <v>1</v>
      </c>
    </row>
    <row r="61" spans="1:27" x14ac:dyDescent="0.25">
      <c r="A61" s="1" t="s">
        <v>98</v>
      </c>
      <c r="B61" s="1" t="s">
        <v>54</v>
      </c>
      <c r="C61" s="6">
        <v>47</v>
      </c>
      <c r="D61" s="33">
        <v>68</v>
      </c>
      <c r="E61" s="34">
        <v>69</v>
      </c>
      <c r="F61" s="36">
        <v>90</v>
      </c>
      <c r="G61" s="36">
        <v>91</v>
      </c>
      <c r="H61" s="36">
        <v>92</v>
      </c>
      <c r="I61" s="62" t="s">
        <v>168</v>
      </c>
      <c r="J61" s="35">
        <v>7</v>
      </c>
      <c r="K61" s="52" t="s">
        <v>196</v>
      </c>
      <c r="L61" t="s">
        <v>168</v>
      </c>
      <c r="M61" t="s">
        <v>168</v>
      </c>
      <c r="N61" t="s">
        <v>168</v>
      </c>
      <c r="O61" t="s">
        <v>168</v>
      </c>
      <c r="P61" t="s">
        <v>168</v>
      </c>
      <c r="Q61" t="s">
        <v>168</v>
      </c>
      <c r="R61" t="s">
        <v>168</v>
      </c>
      <c r="S61" t="s">
        <v>168</v>
      </c>
      <c r="T61" t="s">
        <v>168</v>
      </c>
      <c r="U61" t="s">
        <v>168</v>
      </c>
      <c r="V61" t="s">
        <v>168</v>
      </c>
      <c r="W61" t="s">
        <v>168</v>
      </c>
      <c r="X61" t="s">
        <v>168</v>
      </c>
      <c r="Y61" t="s">
        <v>168</v>
      </c>
      <c r="Z61">
        <v>2</v>
      </c>
      <c r="AA61">
        <v>1</v>
      </c>
    </row>
    <row r="62" spans="1:27" x14ac:dyDescent="0.25">
      <c r="A62" s="1" t="s">
        <v>98</v>
      </c>
      <c r="B62" s="1" t="s">
        <v>83</v>
      </c>
      <c r="C62" s="6">
        <v>47</v>
      </c>
      <c r="D62" s="33">
        <v>62</v>
      </c>
      <c r="E62" s="34">
        <v>66</v>
      </c>
      <c r="F62" s="36">
        <v>76</v>
      </c>
      <c r="G62" s="36">
        <v>77</v>
      </c>
      <c r="H62" s="36">
        <v>84</v>
      </c>
      <c r="I62" s="36">
        <v>90</v>
      </c>
      <c r="J62" s="35">
        <v>11</v>
      </c>
      <c r="K62" s="52" t="s">
        <v>196</v>
      </c>
      <c r="L62" t="s">
        <v>168</v>
      </c>
      <c r="M62" t="s">
        <v>168</v>
      </c>
      <c r="N62" t="s">
        <v>168</v>
      </c>
      <c r="O62" t="s">
        <v>168</v>
      </c>
      <c r="P62" t="s">
        <v>168</v>
      </c>
      <c r="Q62" t="s">
        <v>168</v>
      </c>
      <c r="R62" t="s">
        <v>168</v>
      </c>
      <c r="S62" t="s">
        <v>168</v>
      </c>
      <c r="T62" t="s">
        <v>168</v>
      </c>
      <c r="U62" t="s">
        <v>168</v>
      </c>
      <c r="V62" t="s">
        <v>168</v>
      </c>
      <c r="W62" t="s">
        <v>168</v>
      </c>
      <c r="X62" t="s">
        <v>168</v>
      </c>
      <c r="Y62" t="s">
        <v>168</v>
      </c>
      <c r="Z62">
        <v>2</v>
      </c>
      <c r="AA62">
        <v>1</v>
      </c>
    </row>
    <row r="63" spans="1:27" x14ac:dyDescent="0.25">
      <c r="A63" s="1" t="s">
        <v>98</v>
      </c>
      <c r="B63" s="1" t="s">
        <v>24</v>
      </c>
      <c r="C63" s="6">
        <v>41</v>
      </c>
      <c r="D63" s="33">
        <v>55</v>
      </c>
      <c r="E63" s="34">
        <v>61</v>
      </c>
      <c r="F63" s="36">
        <v>72</v>
      </c>
      <c r="G63" s="36">
        <v>78</v>
      </c>
      <c r="H63" s="36">
        <v>78</v>
      </c>
      <c r="I63" s="36">
        <v>86</v>
      </c>
      <c r="J63" s="35">
        <v>12</v>
      </c>
      <c r="K63" s="52" t="s">
        <v>196</v>
      </c>
      <c r="L63" t="s">
        <v>168</v>
      </c>
      <c r="M63" t="s">
        <v>168</v>
      </c>
      <c r="N63" t="s">
        <v>168</v>
      </c>
      <c r="O63" t="s">
        <v>168</v>
      </c>
      <c r="P63" t="s">
        <v>168</v>
      </c>
      <c r="Q63" t="s">
        <v>168</v>
      </c>
      <c r="R63" t="s">
        <v>168</v>
      </c>
      <c r="S63" t="s">
        <v>168</v>
      </c>
      <c r="T63" t="s">
        <v>168</v>
      </c>
      <c r="U63" t="s">
        <v>168</v>
      </c>
      <c r="V63" t="s">
        <v>168</v>
      </c>
      <c r="W63" t="s">
        <v>168</v>
      </c>
      <c r="X63" t="s">
        <v>168</v>
      </c>
      <c r="Y63" t="s">
        <v>168</v>
      </c>
      <c r="Z63">
        <v>2</v>
      </c>
      <c r="AA63">
        <v>1</v>
      </c>
    </row>
    <row r="64" spans="1:27" x14ac:dyDescent="0.25">
      <c r="A64" s="1" t="s">
        <v>98</v>
      </c>
      <c r="B64" s="1" t="s">
        <v>90</v>
      </c>
      <c r="C64" s="6">
        <v>37</v>
      </c>
      <c r="D64" s="33">
        <v>51</v>
      </c>
      <c r="E64" s="34">
        <v>55</v>
      </c>
      <c r="F64" s="36">
        <v>64</v>
      </c>
      <c r="G64" s="36">
        <v>66</v>
      </c>
      <c r="H64" s="36">
        <v>68</v>
      </c>
      <c r="I64" s="36">
        <v>70</v>
      </c>
      <c r="J64" s="35">
        <v>30</v>
      </c>
      <c r="K64" s="52" t="s">
        <v>196</v>
      </c>
      <c r="L64" t="s">
        <v>168</v>
      </c>
      <c r="M64" t="s">
        <v>168</v>
      </c>
      <c r="N64" t="s">
        <v>168</v>
      </c>
      <c r="O64" t="s">
        <v>168</v>
      </c>
      <c r="P64" t="s">
        <v>168</v>
      </c>
      <c r="Q64" t="s">
        <v>168</v>
      </c>
      <c r="R64" t="s">
        <v>168</v>
      </c>
      <c r="S64" t="s">
        <v>168</v>
      </c>
      <c r="T64" t="s">
        <v>168</v>
      </c>
      <c r="U64" t="s">
        <v>168</v>
      </c>
      <c r="V64" t="s">
        <v>168</v>
      </c>
      <c r="W64" t="s">
        <v>168</v>
      </c>
      <c r="X64" t="s">
        <v>168</v>
      </c>
      <c r="Y64" t="s">
        <v>168</v>
      </c>
      <c r="Z64">
        <v>2</v>
      </c>
      <c r="AA64">
        <v>1</v>
      </c>
    </row>
    <row r="65" spans="1:27" x14ac:dyDescent="0.25">
      <c r="A65" s="1" t="s">
        <v>98</v>
      </c>
      <c r="B65" s="1" t="s">
        <v>55</v>
      </c>
      <c r="C65" s="6" t="s">
        <v>168</v>
      </c>
      <c r="D65" s="33" t="s">
        <v>168</v>
      </c>
      <c r="E65" s="34">
        <v>55</v>
      </c>
      <c r="F65" s="36">
        <v>56</v>
      </c>
      <c r="G65" s="36">
        <v>58</v>
      </c>
      <c r="H65" s="36">
        <v>58</v>
      </c>
      <c r="I65" s="36">
        <v>71</v>
      </c>
      <c r="J65" s="35">
        <v>12</v>
      </c>
      <c r="K65" s="52" t="s">
        <v>196</v>
      </c>
      <c r="L65" t="s">
        <v>168</v>
      </c>
      <c r="M65" t="s">
        <v>168</v>
      </c>
      <c r="N65" t="s">
        <v>168</v>
      </c>
      <c r="O65" t="s">
        <v>168</v>
      </c>
      <c r="P65" t="s">
        <v>168</v>
      </c>
      <c r="Q65" t="s">
        <v>168</v>
      </c>
      <c r="R65" t="s">
        <v>168</v>
      </c>
      <c r="S65" t="s">
        <v>168</v>
      </c>
      <c r="T65" t="s">
        <v>168</v>
      </c>
      <c r="U65" t="s">
        <v>168</v>
      </c>
      <c r="V65" t="s">
        <v>168</v>
      </c>
      <c r="W65" t="s">
        <v>168</v>
      </c>
      <c r="X65" t="s">
        <v>168</v>
      </c>
      <c r="Y65" t="s">
        <v>168</v>
      </c>
      <c r="Z65">
        <v>2</v>
      </c>
      <c r="AA65">
        <v>1</v>
      </c>
    </row>
    <row r="66" spans="1:27" x14ac:dyDescent="0.25">
      <c r="A66" s="1" t="s">
        <v>98</v>
      </c>
      <c r="B66" s="1" t="s">
        <v>25</v>
      </c>
      <c r="C66" s="6">
        <v>35</v>
      </c>
      <c r="D66" s="33">
        <v>51</v>
      </c>
      <c r="E66" s="34">
        <v>55</v>
      </c>
      <c r="F66" s="36">
        <v>63</v>
      </c>
      <c r="G66" s="36">
        <v>63</v>
      </c>
      <c r="H66" s="36">
        <v>66</v>
      </c>
      <c r="I66" s="36">
        <v>75</v>
      </c>
      <c r="J66" s="35">
        <v>18</v>
      </c>
      <c r="K66" s="52" t="s">
        <v>196</v>
      </c>
      <c r="L66" t="s">
        <v>168</v>
      </c>
      <c r="M66" t="s">
        <v>168</v>
      </c>
      <c r="N66" t="s">
        <v>168</v>
      </c>
      <c r="O66" t="s">
        <v>168</v>
      </c>
      <c r="P66" t="s">
        <v>168</v>
      </c>
      <c r="Q66" t="s">
        <v>168</v>
      </c>
      <c r="R66" t="s">
        <v>168</v>
      </c>
      <c r="S66" t="s">
        <v>168</v>
      </c>
      <c r="T66" t="s">
        <v>168</v>
      </c>
      <c r="U66" t="s">
        <v>168</v>
      </c>
      <c r="V66" t="s">
        <v>168</v>
      </c>
      <c r="W66" t="s">
        <v>168</v>
      </c>
      <c r="X66" t="s">
        <v>168</v>
      </c>
      <c r="Y66" t="s">
        <v>168</v>
      </c>
      <c r="Z66">
        <v>2</v>
      </c>
      <c r="AA66">
        <v>1</v>
      </c>
    </row>
    <row r="67" spans="1:27" x14ac:dyDescent="0.25">
      <c r="A67" s="1" t="s">
        <v>98</v>
      </c>
      <c r="B67" s="1" t="s">
        <v>26</v>
      </c>
      <c r="C67" s="6">
        <v>55</v>
      </c>
      <c r="D67" s="33">
        <v>82</v>
      </c>
      <c r="E67" s="34">
        <v>82</v>
      </c>
      <c r="F67" s="62" t="s">
        <v>168</v>
      </c>
      <c r="G67" s="62" t="s">
        <v>168</v>
      </c>
      <c r="H67" s="62" t="s">
        <v>168</v>
      </c>
      <c r="I67" s="62" t="s">
        <v>168</v>
      </c>
      <c r="J67" s="35">
        <v>4</v>
      </c>
      <c r="K67" s="52" t="s">
        <v>196</v>
      </c>
      <c r="L67" t="s">
        <v>168</v>
      </c>
      <c r="M67" t="s">
        <v>168</v>
      </c>
      <c r="N67" t="s">
        <v>168</v>
      </c>
      <c r="O67" t="s">
        <v>168</v>
      </c>
      <c r="P67" t="s">
        <v>168</v>
      </c>
      <c r="Q67" t="s">
        <v>168</v>
      </c>
      <c r="R67" t="s">
        <v>168</v>
      </c>
      <c r="S67" t="s">
        <v>168</v>
      </c>
      <c r="T67" t="s">
        <v>168</v>
      </c>
      <c r="U67" t="s">
        <v>168</v>
      </c>
      <c r="V67" t="s">
        <v>168</v>
      </c>
      <c r="W67" t="s">
        <v>168</v>
      </c>
      <c r="X67" t="s">
        <v>168</v>
      </c>
      <c r="Y67" t="s">
        <v>168</v>
      </c>
      <c r="Z67">
        <v>2</v>
      </c>
      <c r="AA67">
        <v>1</v>
      </c>
    </row>
    <row r="68" spans="1:27" x14ac:dyDescent="0.25">
      <c r="A68" s="1" t="s">
        <v>98</v>
      </c>
      <c r="B68" s="1" t="s">
        <v>75</v>
      </c>
      <c r="C68" s="6">
        <v>40</v>
      </c>
      <c r="D68" s="33">
        <v>55</v>
      </c>
      <c r="E68" s="34">
        <v>55</v>
      </c>
      <c r="F68" s="36">
        <v>69</v>
      </c>
      <c r="G68" s="36">
        <v>70</v>
      </c>
      <c r="H68" s="36">
        <v>70</v>
      </c>
      <c r="I68" s="36">
        <v>75</v>
      </c>
      <c r="J68" s="35">
        <v>12</v>
      </c>
      <c r="K68" s="52" t="s">
        <v>196</v>
      </c>
      <c r="L68" t="s">
        <v>168</v>
      </c>
      <c r="M68" t="s">
        <v>168</v>
      </c>
      <c r="N68" t="s">
        <v>168</v>
      </c>
      <c r="O68" t="s">
        <v>168</v>
      </c>
      <c r="P68" t="s">
        <v>168</v>
      </c>
      <c r="Q68" t="s">
        <v>168</v>
      </c>
      <c r="R68" t="s">
        <v>168</v>
      </c>
      <c r="S68" t="s">
        <v>168</v>
      </c>
      <c r="T68" t="s">
        <v>168</v>
      </c>
      <c r="U68" t="s">
        <v>168</v>
      </c>
      <c r="V68" t="s">
        <v>168</v>
      </c>
      <c r="W68" t="s">
        <v>168</v>
      </c>
      <c r="X68" t="s">
        <v>168</v>
      </c>
      <c r="Y68" t="s">
        <v>168</v>
      </c>
      <c r="Z68">
        <v>2</v>
      </c>
      <c r="AA68">
        <v>1</v>
      </c>
    </row>
    <row r="69" spans="1:27" x14ac:dyDescent="0.25">
      <c r="A69" s="1" t="s">
        <v>98</v>
      </c>
      <c r="B69" s="1" t="s">
        <v>27</v>
      </c>
      <c r="C69" s="6">
        <v>32</v>
      </c>
      <c r="D69" s="33">
        <v>55</v>
      </c>
      <c r="E69" s="34">
        <v>55</v>
      </c>
      <c r="F69" s="36">
        <v>79</v>
      </c>
      <c r="G69" s="36">
        <v>85</v>
      </c>
      <c r="H69" s="36">
        <v>91</v>
      </c>
      <c r="I69" s="62" t="s">
        <v>168</v>
      </c>
      <c r="J69" s="35">
        <v>7</v>
      </c>
      <c r="K69" s="52" t="s">
        <v>196</v>
      </c>
      <c r="L69" t="s">
        <v>168</v>
      </c>
      <c r="M69" t="s">
        <v>168</v>
      </c>
      <c r="N69" t="s">
        <v>168</v>
      </c>
      <c r="O69" t="s">
        <v>168</v>
      </c>
      <c r="P69" t="s">
        <v>168</v>
      </c>
      <c r="Q69" t="s">
        <v>168</v>
      </c>
      <c r="R69" t="s">
        <v>168</v>
      </c>
      <c r="S69" t="s">
        <v>168</v>
      </c>
      <c r="T69" t="s">
        <v>168</v>
      </c>
      <c r="U69" t="s">
        <v>168</v>
      </c>
      <c r="V69" t="s">
        <v>168</v>
      </c>
      <c r="W69" t="s">
        <v>168</v>
      </c>
      <c r="X69" t="s">
        <v>168</v>
      </c>
      <c r="Y69" t="s">
        <v>168</v>
      </c>
      <c r="Z69">
        <v>2</v>
      </c>
      <c r="AA69">
        <v>1</v>
      </c>
    </row>
    <row r="70" spans="1:27" x14ac:dyDescent="0.25">
      <c r="A70" s="1" t="s">
        <v>98</v>
      </c>
      <c r="B70" s="1" t="s">
        <v>28</v>
      </c>
      <c r="C70" s="6">
        <v>46</v>
      </c>
      <c r="D70" s="33">
        <v>69</v>
      </c>
      <c r="E70" s="34">
        <v>69</v>
      </c>
      <c r="F70" s="36">
        <v>80</v>
      </c>
      <c r="G70" s="36">
        <v>85</v>
      </c>
      <c r="H70" s="36">
        <v>87</v>
      </c>
      <c r="I70" s="36">
        <v>90</v>
      </c>
      <c r="J70" s="35">
        <v>8</v>
      </c>
      <c r="K70" s="52" t="s">
        <v>196</v>
      </c>
      <c r="L70" t="s">
        <v>168</v>
      </c>
      <c r="M70" t="s">
        <v>168</v>
      </c>
      <c r="N70" t="s">
        <v>168</v>
      </c>
      <c r="O70" t="s">
        <v>168</v>
      </c>
      <c r="P70" t="s">
        <v>168</v>
      </c>
      <c r="Q70" t="s">
        <v>168</v>
      </c>
      <c r="R70" t="s">
        <v>168</v>
      </c>
      <c r="S70" t="s">
        <v>168</v>
      </c>
      <c r="T70" t="s">
        <v>168</v>
      </c>
      <c r="U70" t="s">
        <v>168</v>
      </c>
      <c r="V70" t="s">
        <v>168</v>
      </c>
      <c r="W70" t="s">
        <v>168</v>
      </c>
      <c r="X70" t="s">
        <v>168</v>
      </c>
      <c r="Y70" t="s">
        <v>168</v>
      </c>
      <c r="Z70">
        <v>2</v>
      </c>
      <c r="AA70">
        <v>1</v>
      </c>
    </row>
    <row r="71" spans="1:27" x14ac:dyDescent="0.25">
      <c r="A71" s="1" t="s">
        <v>98</v>
      </c>
      <c r="B71" s="1" t="s">
        <v>29</v>
      </c>
      <c r="C71" s="6">
        <v>43</v>
      </c>
      <c r="D71" s="33">
        <v>59</v>
      </c>
      <c r="E71" s="34">
        <v>62</v>
      </c>
      <c r="F71" s="36">
        <v>76</v>
      </c>
      <c r="G71" s="36">
        <v>79</v>
      </c>
      <c r="H71" s="36">
        <v>82</v>
      </c>
      <c r="I71" s="36">
        <v>86</v>
      </c>
      <c r="J71" s="35">
        <v>12</v>
      </c>
      <c r="K71" s="52" t="s">
        <v>196</v>
      </c>
      <c r="L71" t="s">
        <v>168</v>
      </c>
      <c r="M71" t="s">
        <v>168</v>
      </c>
      <c r="N71" t="s">
        <v>168</v>
      </c>
      <c r="O71" t="s">
        <v>168</v>
      </c>
      <c r="P71" t="s">
        <v>168</v>
      </c>
      <c r="Q71" t="s">
        <v>168</v>
      </c>
      <c r="R71" t="s">
        <v>168</v>
      </c>
      <c r="S71" t="s">
        <v>168</v>
      </c>
      <c r="T71" t="s">
        <v>168</v>
      </c>
      <c r="U71" t="s">
        <v>168</v>
      </c>
      <c r="V71" t="s">
        <v>168</v>
      </c>
      <c r="W71" t="s">
        <v>168</v>
      </c>
      <c r="X71" t="s">
        <v>168</v>
      </c>
      <c r="Y71" t="s">
        <v>168</v>
      </c>
      <c r="Z71">
        <v>2</v>
      </c>
      <c r="AA71">
        <v>1</v>
      </c>
    </row>
    <row r="72" spans="1:27" x14ac:dyDescent="0.25">
      <c r="A72" s="1" t="s">
        <v>98</v>
      </c>
      <c r="B72" s="1" t="s">
        <v>57</v>
      </c>
      <c r="C72" s="6">
        <v>46</v>
      </c>
      <c r="D72" s="33">
        <v>62</v>
      </c>
      <c r="E72" s="34">
        <v>62</v>
      </c>
      <c r="F72" s="36">
        <v>74</v>
      </c>
      <c r="G72" s="36">
        <v>74</v>
      </c>
      <c r="H72" s="36">
        <v>74</v>
      </c>
      <c r="I72" s="36">
        <v>76</v>
      </c>
      <c r="J72" s="35">
        <v>15</v>
      </c>
      <c r="K72" s="52" t="s">
        <v>196</v>
      </c>
      <c r="L72" t="s">
        <v>168</v>
      </c>
      <c r="M72" t="s">
        <v>168</v>
      </c>
      <c r="N72" t="s">
        <v>168</v>
      </c>
      <c r="O72" t="s">
        <v>168</v>
      </c>
      <c r="P72" t="s">
        <v>168</v>
      </c>
      <c r="Q72" t="s">
        <v>168</v>
      </c>
      <c r="R72" t="s">
        <v>168</v>
      </c>
      <c r="S72" t="s">
        <v>168</v>
      </c>
      <c r="T72" t="s">
        <v>168</v>
      </c>
      <c r="U72" t="s">
        <v>168</v>
      </c>
      <c r="V72" t="s">
        <v>168</v>
      </c>
      <c r="W72" t="s">
        <v>168</v>
      </c>
      <c r="X72" t="s">
        <v>168</v>
      </c>
      <c r="Y72" t="s">
        <v>168</v>
      </c>
      <c r="Z72">
        <v>2</v>
      </c>
      <c r="AA72">
        <v>1</v>
      </c>
    </row>
    <row r="73" spans="1:27" x14ac:dyDescent="0.25">
      <c r="A73" s="1" t="s">
        <v>98</v>
      </c>
      <c r="B73" s="1" t="s">
        <v>30</v>
      </c>
      <c r="C73" s="6">
        <v>41</v>
      </c>
      <c r="D73" s="33">
        <v>55</v>
      </c>
      <c r="E73" s="34">
        <v>60</v>
      </c>
      <c r="F73" s="36">
        <v>67</v>
      </c>
      <c r="G73" s="36">
        <v>69</v>
      </c>
      <c r="H73" s="36">
        <v>73</v>
      </c>
      <c r="I73" s="36">
        <v>79</v>
      </c>
      <c r="J73" s="35">
        <v>13</v>
      </c>
      <c r="K73" s="52" t="s">
        <v>196</v>
      </c>
      <c r="L73" t="s">
        <v>168</v>
      </c>
      <c r="M73" t="s">
        <v>168</v>
      </c>
      <c r="N73" t="s">
        <v>168</v>
      </c>
      <c r="O73" t="s">
        <v>168</v>
      </c>
      <c r="P73" t="s">
        <v>168</v>
      </c>
      <c r="Q73" t="s">
        <v>168</v>
      </c>
      <c r="R73" t="s">
        <v>168</v>
      </c>
      <c r="S73" t="s">
        <v>168</v>
      </c>
      <c r="T73" t="s">
        <v>168</v>
      </c>
      <c r="U73" t="s">
        <v>168</v>
      </c>
      <c r="V73" t="s">
        <v>168</v>
      </c>
      <c r="W73" t="s">
        <v>168</v>
      </c>
      <c r="X73" t="s">
        <v>168</v>
      </c>
      <c r="Y73" t="s">
        <v>168</v>
      </c>
      <c r="Z73">
        <v>2</v>
      </c>
      <c r="AA73">
        <v>1</v>
      </c>
    </row>
    <row r="74" spans="1:27" x14ac:dyDescent="0.25">
      <c r="A74" s="1" t="s">
        <v>98</v>
      </c>
      <c r="B74" s="1" t="s">
        <v>31</v>
      </c>
      <c r="C74" s="6">
        <v>45</v>
      </c>
      <c r="D74" s="33">
        <v>59</v>
      </c>
      <c r="E74" s="34">
        <v>61</v>
      </c>
      <c r="F74" s="36">
        <v>73</v>
      </c>
      <c r="G74" s="36">
        <v>74</v>
      </c>
      <c r="H74" s="36">
        <v>75</v>
      </c>
      <c r="I74" s="36">
        <v>79</v>
      </c>
      <c r="J74" s="35">
        <v>16</v>
      </c>
      <c r="K74" s="52" t="s">
        <v>196</v>
      </c>
      <c r="L74" t="s">
        <v>168</v>
      </c>
      <c r="M74" t="s">
        <v>168</v>
      </c>
      <c r="N74" t="s">
        <v>168</v>
      </c>
      <c r="O74" t="s">
        <v>168</v>
      </c>
      <c r="P74" t="s">
        <v>168</v>
      </c>
      <c r="Q74" t="s">
        <v>168</v>
      </c>
      <c r="R74" t="s">
        <v>168</v>
      </c>
      <c r="S74" t="s">
        <v>168</v>
      </c>
      <c r="T74" t="s">
        <v>168</v>
      </c>
      <c r="U74" t="s">
        <v>168</v>
      </c>
      <c r="V74" t="s">
        <v>168</v>
      </c>
      <c r="W74" t="s">
        <v>168</v>
      </c>
      <c r="X74" t="s">
        <v>168</v>
      </c>
      <c r="Y74" t="s">
        <v>168</v>
      </c>
      <c r="Z74">
        <v>2</v>
      </c>
      <c r="AA74">
        <v>1</v>
      </c>
    </row>
    <row r="75" spans="1:27" x14ac:dyDescent="0.25">
      <c r="A75" s="1" t="s">
        <v>98</v>
      </c>
      <c r="B75" s="1" t="s">
        <v>32</v>
      </c>
      <c r="C75" s="6">
        <v>31</v>
      </c>
      <c r="D75" s="33">
        <v>46</v>
      </c>
      <c r="E75" s="34">
        <v>46</v>
      </c>
      <c r="F75" s="36">
        <v>58</v>
      </c>
      <c r="G75" s="36">
        <v>58</v>
      </c>
      <c r="H75" s="36">
        <v>59</v>
      </c>
      <c r="I75" s="36">
        <v>60</v>
      </c>
      <c r="J75" s="35">
        <v>16</v>
      </c>
      <c r="K75" s="52" t="s">
        <v>196</v>
      </c>
      <c r="L75" t="s">
        <v>168</v>
      </c>
      <c r="M75" t="s">
        <v>168</v>
      </c>
      <c r="N75" t="s">
        <v>168</v>
      </c>
      <c r="O75" t="s">
        <v>168</v>
      </c>
      <c r="P75" t="s">
        <v>168</v>
      </c>
      <c r="Q75" t="s">
        <v>168</v>
      </c>
      <c r="R75" t="s">
        <v>168</v>
      </c>
      <c r="S75" t="s">
        <v>168</v>
      </c>
      <c r="T75" t="s">
        <v>168</v>
      </c>
      <c r="U75" t="s">
        <v>168</v>
      </c>
      <c r="V75" t="s">
        <v>168</v>
      </c>
      <c r="W75" t="s">
        <v>168</v>
      </c>
      <c r="X75" t="s">
        <v>168</v>
      </c>
      <c r="Y75" t="s">
        <v>168</v>
      </c>
      <c r="Z75">
        <v>2</v>
      </c>
      <c r="AA75">
        <v>1</v>
      </c>
    </row>
    <row r="76" spans="1:27" x14ac:dyDescent="0.25">
      <c r="A76" s="1" t="s">
        <v>98</v>
      </c>
      <c r="B76" s="1" t="s">
        <v>33</v>
      </c>
      <c r="C76" s="6">
        <v>40</v>
      </c>
      <c r="D76" s="33">
        <v>56</v>
      </c>
      <c r="E76" s="34">
        <v>58</v>
      </c>
      <c r="F76" s="36">
        <v>66</v>
      </c>
      <c r="G76" s="36">
        <v>67</v>
      </c>
      <c r="H76" s="36">
        <v>67</v>
      </c>
      <c r="I76" s="36">
        <v>68</v>
      </c>
      <c r="J76" s="35">
        <v>25</v>
      </c>
      <c r="K76" s="52" t="s">
        <v>196</v>
      </c>
      <c r="L76" t="s">
        <v>168</v>
      </c>
      <c r="M76" t="s">
        <v>168</v>
      </c>
      <c r="N76" t="s">
        <v>168</v>
      </c>
      <c r="O76" t="s">
        <v>168</v>
      </c>
      <c r="P76" t="s">
        <v>168</v>
      </c>
      <c r="Q76" t="s">
        <v>168</v>
      </c>
      <c r="R76" t="s">
        <v>168</v>
      </c>
      <c r="S76" t="s">
        <v>168</v>
      </c>
      <c r="T76" t="s">
        <v>168</v>
      </c>
      <c r="U76" t="s">
        <v>168</v>
      </c>
      <c r="V76" t="s">
        <v>168</v>
      </c>
      <c r="W76" t="s">
        <v>168</v>
      </c>
      <c r="X76" t="s">
        <v>168</v>
      </c>
      <c r="Y76" t="s">
        <v>168</v>
      </c>
      <c r="Z76">
        <v>2</v>
      </c>
      <c r="AA76">
        <v>1</v>
      </c>
    </row>
    <row r="77" spans="1:27" x14ac:dyDescent="0.25">
      <c r="A77" s="1" t="s">
        <v>98</v>
      </c>
      <c r="B77" s="1" t="s">
        <v>58</v>
      </c>
      <c r="C77" s="6">
        <v>37</v>
      </c>
      <c r="D77" s="33">
        <v>51</v>
      </c>
      <c r="E77" s="34">
        <v>51</v>
      </c>
      <c r="F77" s="36">
        <v>63</v>
      </c>
      <c r="G77" s="36">
        <v>64</v>
      </c>
      <c r="H77" s="36">
        <v>64</v>
      </c>
      <c r="I77" s="36">
        <v>64</v>
      </c>
      <c r="J77" s="35">
        <v>25</v>
      </c>
      <c r="K77" s="52" t="s">
        <v>196</v>
      </c>
      <c r="L77" t="s">
        <v>168</v>
      </c>
      <c r="M77" t="s">
        <v>168</v>
      </c>
      <c r="N77" t="s">
        <v>168</v>
      </c>
      <c r="O77" t="s">
        <v>168</v>
      </c>
      <c r="P77" t="s">
        <v>168</v>
      </c>
      <c r="Q77" t="s">
        <v>168</v>
      </c>
      <c r="R77" t="s">
        <v>168</v>
      </c>
      <c r="S77" t="s">
        <v>168</v>
      </c>
      <c r="T77" t="s">
        <v>168</v>
      </c>
      <c r="U77" t="s">
        <v>168</v>
      </c>
      <c r="V77" t="s">
        <v>168</v>
      </c>
      <c r="W77" t="s">
        <v>168</v>
      </c>
      <c r="X77" t="s">
        <v>168</v>
      </c>
      <c r="Y77" t="s">
        <v>168</v>
      </c>
      <c r="Z77">
        <v>2</v>
      </c>
      <c r="AA77">
        <v>1</v>
      </c>
    </row>
    <row r="78" spans="1:27" x14ac:dyDescent="0.25">
      <c r="A78" s="1" t="s">
        <v>98</v>
      </c>
      <c r="B78" s="1" t="s">
        <v>84</v>
      </c>
      <c r="C78" s="6">
        <v>52</v>
      </c>
      <c r="D78" s="33" t="s">
        <v>168</v>
      </c>
      <c r="E78" s="34" t="s">
        <v>168</v>
      </c>
      <c r="F78" s="62" t="s">
        <v>168</v>
      </c>
      <c r="G78" s="62" t="s">
        <v>168</v>
      </c>
      <c r="H78" s="62" t="s">
        <v>168</v>
      </c>
      <c r="I78" s="62" t="s">
        <v>168</v>
      </c>
      <c r="J78" s="35">
        <v>0</v>
      </c>
      <c r="K78" s="52" t="s">
        <v>196</v>
      </c>
      <c r="L78" t="s">
        <v>168</v>
      </c>
      <c r="M78" t="s">
        <v>168</v>
      </c>
      <c r="N78" t="s">
        <v>168</v>
      </c>
      <c r="O78" t="s">
        <v>168</v>
      </c>
      <c r="P78" t="s">
        <v>168</v>
      </c>
      <c r="Q78" t="s">
        <v>168</v>
      </c>
      <c r="R78" t="s">
        <v>168</v>
      </c>
      <c r="S78" t="s">
        <v>168</v>
      </c>
      <c r="T78" t="s">
        <v>168</v>
      </c>
      <c r="U78" t="s">
        <v>168</v>
      </c>
      <c r="V78" t="s">
        <v>168</v>
      </c>
      <c r="W78" t="s">
        <v>168</v>
      </c>
      <c r="X78" t="s">
        <v>168</v>
      </c>
      <c r="Y78" t="s">
        <v>168</v>
      </c>
      <c r="Z78">
        <v>2</v>
      </c>
      <c r="AA78">
        <v>1</v>
      </c>
    </row>
    <row r="79" spans="1:27" x14ac:dyDescent="0.25">
      <c r="A79" s="1" t="s">
        <v>98</v>
      </c>
      <c r="B79" s="1" t="s">
        <v>34</v>
      </c>
      <c r="C79" s="6">
        <v>40</v>
      </c>
      <c r="D79" s="33">
        <v>55</v>
      </c>
      <c r="E79" s="34">
        <v>56</v>
      </c>
      <c r="F79" s="62" t="s">
        <v>168</v>
      </c>
      <c r="G79" s="62" t="s">
        <v>168</v>
      </c>
      <c r="H79" s="62" t="s">
        <v>168</v>
      </c>
      <c r="I79" s="62" t="s">
        <v>168</v>
      </c>
      <c r="J79" s="35">
        <v>4</v>
      </c>
      <c r="K79" s="52" t="s">
        <v>196</v>
      </c>
      <c r="L79" t="s">
        <v>168</v>
      </c>
      <c r="M79" t="s">
        <v>168</v>
      </c>
      <c r="N79" t="s">
        <v>168</v>
      </c>
      <c r="O79" t="s">
        <v>168</v>
      </c>
      <c r="P79" t="s">
        <v>168</v>
      </c>
      <c r="Q79" t="s">
        <v>168</v>
      </c>
      <c r="R79" t="s">
        <v>168</v>
      </c>
      <c r="S79" t="s">
        <v>168</v>
      </c>
      <c r="T79" t="s">
        <v>168</v>
      </c>
      <c r="U79" t="s">
        <v>168</v>
      </c>
      <c r="V79" t="s">
        <v>168</v>
      </c>
      <c r="W79" t="s">
        <v>168</v>
      </c>
      <c r="X79" t="s">
        <v>168</v>
      </c>
      <c r="Y79" t="s">
        <v>168</v>
      </c>
      <c r="Z79">
        <v>2</v>
      </c>
      <c r="AA79">
        <v>1</v>
      </c>
    </row>
    <row r="80" spans="1:27" x14ac:dyDescent="0.25">
      <c r="A80" s="1" t="s">
        <v>98</v>
      </c>
      <c r="B80" s="1" t="s">
        <v>59</v>
      </c>
      <c r="C80" s="6">
        <v>55</v>
      </c>
      <c r="D80" s="33">
        <v>69</v>
      </c>
      <c r="E80" s="34">
        <v>70</v>
      </c>
      <c r="F80" s="36">
        <v>85</v>
      </c>
      <c r="G80" s="36">
        <v>86</v>
      </c>
      <c r="H80" s="62" t="s">
        <v>190</v>
      </c>
      <c r="I80" s="62" t="s">
        <v>168</v>
      </c>
      <c r="J80" s="35">
        <v>7</v>
      </c>
      <c r="K80" s="52" t="s">
        <v>196</v>
      </c>
      <c r="L80" t="s">
        <v>168</v>
      </c>
      <c r="M80" t="s">
        <v>168</v>
      </c>
      <c r="N80" t="s">
        <v>168</v>
      </c>
      <c r="O80" t="s">
        <v>168</v>
      </c>
      <c r="P80" t="s">
        <v>168</v>
      </c>
      <c r="Q80" t="s">
        <v>168</v>
      </c>
      <c r="R80" t="s">
        <v>168</v>
      </c>
      <c r="S80" t="s">
        <v>168</v>
      </c>
      <c r="T80" t="s">
        <v>168</v>
      </c>
      <c r="U80" t="s">
        <v>168</v>
      </c>
      <c r="V80" t="s">
        <v>168</v>
      </c>
      <c r="W80" t="s">
        <v>168</v>
      </c>
      <c r="X80" t="s">
        <v>168</v>
      </c>
      <c r="Y80" t="s">
        <v>168</v>
      </c>
      <c r="Z80">
        <v>2</v>
      </c>
      <c r="AA80">
        <v>1</v>
      </c>
    </row>
    <row r="81" spans="1:27" x14ac:dyDescent="0.25">
      <c r="A81" s="1" t="s">
        <v>98</v>
      </c>
      <c r="B81" s="1" t="s">
        <v>85</v>
      </c>
      <c r="C81" s="6">
        <v>55</v>
      </c>
      <c r="D81" s="33">
        <v>80</v>
      </c>
      <c r="E81" s="34">
        <v>83</v>
      </c>
      <c r="F81" s="62" t="s">
        <v>168</v>
      </c>
      <c r="G81" s="62" t="s">
        <v>168</v>
      </c>
      <c r="H81" s="62" t="s">
        <v>168</v>
      </c>
      <c r="I81" s="62" t="s">
        <v>168</v>
      </c>
      <c r="J81" s="35">
        <v>4</v>
      </c>
      <c r="K81" s="52" t="s">
        <v>196</v>
      </c>
      <c r="L81" t="s">
        <v>168</v>
      </c>
      <c r="M81" t="s">
        <v>168</v>
      </c>
      <c r="N81" t="s">
        <v>168</v>
      </c>
      <c r="O81" t="s">
        <v>168</v>
      </c>
      <c r="P81" t="s">
        <v>168</v>
      </c>
      <c r="Q81" t="s">
        <v>168</v>
      </c>
      <c r="R81" t="s">
        <v>168</v>
      </c>
      <c r="S81" t="s">
        <v>168</v>
      </c>
      <c r="T81" t="s">
        <v>168</v>
      </c>
      <c r="U81" t="s">
        <v>168</v>
      </c>
      <c r="V81" t="s">
        <v>168</v>
      </c>
      <c r="W81" t="s">
        <v>168</v>
      </c>
      <c r="X81" t="s">
        <v>168</v>
      </c>
      <c r="Y81" t="s">
        <v>168</v>
      </c>
      <c r="Z81">
        <v>2</v>
      </c>
      <c r="AA81">
        <v>1</v>
      </c>
    </row>
    <row r="82" spans="1:27" x14ac:dyDescent="0.25">
      <c r="A82" s="1" t="s">
        <v>98</v>
      </c>
      <c r="B82" s="1" t="s">
        <v>76</v>
      </c>
      <c r="C82" s="6">
        <v>43</v>
      </c>
      <c r="D82" s="33">
        <v>55</v>
      </c>
      <c r="E82" s="34">
        <v>58</v>
      </c>
      <c r="F82" s="36">
        <v>69</v>
      </c>
      <c r="G82" s="36">
        <v>70</v>
      </c>
      <c r="H82" s="36">
        <v>77</v>
      </c>
      <c r="I82" s="36">
        <v>84</v>
      </c>
      <c r="J82" s="35">
        <v>12</v>
      </c>
      <c r="K82" s="52" t="s">
        <v>196</v>
      </c>
      <c r="L82" t="s">
        <v>168</v>
      </c>
      <c r="M82" t="s">
        <v>168</v>
      </c>
      <c r="N82" t="s">
        <v>168</v>
      </c>
      <c r="O82" t="s">
        <v>168</v>
      </c>
      <c r="P82" t="s">
        <v>168</v>
      </c>
      <c r="Q82" t="s">
        <v>168</v>
      </c>
      <c r="R82" t="s">
        <v>168</v>
      </c>
      <c r="S82" t="s">
        <v>168</v>
      </c>
      <c r="T82" t="s">
        <v>168</v>
      </c>
      <c r="U82" t="s">
        <v>168</v>
      </c>
      <c r="V82" t="s">
        <v>168</v>
      </c>
      <c r="W82" t="s">
        <v>168</v>
      </c>
      <c r="X82" t="s">
        <v>168</v>
      </c>
      <c r="Y82" t="s">
        <v>168</v>
      </c>
      <c r="Z82">
        <v>2</v>
      </c>
      <c r="AA82">
        <v>1</v>
      </c>
    </row>
    <row r="83" spans="1:27" x14ac:dyDescent="0.25">
      <c r="A83" s="1" t="s">
        <v>98</v>
      </c>
      <c r="B83" s="1" t="s">
        <v>60</v>
      </c>
      <c r="C83" s="6">
        <v>50</v>
      </c>
      <c r="D83" s="33">
        <v>69</v>
      </c>
      <c r="E83" s="34">
        <v>72</v>
      </c>
      <c r="F83" s="62" t="s">
        <v>168</v>
      </c>
      <c r="G83" s="62" t="s">
        <v>168</v>
      </c>
      <c r="H83" s="62" t="s">
        <v>168</v>
      </c>
      <c r="I83" s="62" t="s">
        <v>168</v>
      </c>
      <c r="J83" s="35">
        <v>4</v>
      </c>
      <c r="K83" s="52" t="s">
        <v>196</v>
      </c>
      <c r="L83" t="s">
        <v>168</v>
      </c>
      <c r="M83" t="s">
        <v>168</v>
      </c>
      <c r="N83" t="s">
        <v>168</v>
      </c>
      <c r="O83" t="s">
        <v>168</v>
      </c>
      <c r="P83" t="s">
        <v>168</v>
      </c>
      <c r="Q83" t="s">
        <v>168</v>
      </c>
      <c r="R83" t="s">
        <v>168</v>
      </c>
      <c r="S83" t="s">
        <v>168</v>
      </c>
      <c r="T83" t="s">
        <v>168</v>
      </c>
      <c r="U83" t="s">
        <v>168</v>
      </c>
      <c r="V83" t="s">
        <v>168</v>
      </c>
      <c r="W83" t="s">
        <v>168</v>
      </c>
      <c r="X83" t="s">
        <v>168</v>
      </c>
      <c r="Y83" t="s">
        <v>168</v>
      </c>
      <c r="Z83">
        <v>2</v>
      </c>
      <c r="AA83">
        <v>1</v>
      </c>
    </row>
    <row r="84" spans="1:27" x14ac:dyDescent="0.25">
      <c r="A84" s="1" t="s">
        <v>98</v>
      </c>
      <c r="B84" s="1" t="s">
        <v>96</v>
      </c>
      <c r="C84" s="6">
        <v>36</v>
      </c>
      <c r="D84" s="33">
        <v>52</v>
      </c>
      <c r="E84" s="34">
        <v>55</v>
      </c>
      <c r="F84" s="36">
        <v>66</v>
      </c>
      <c r="G84" s="36">
        <v>66</v>
      </c>
      <c r="H84" s="36">
        <v>67</v>
      </c>
      <c r="I84" s="36">
        <v>67</v>
      </c>
      <c r="J84" s="35">
        <v>16</v>
      </c>
      <c r="K84" s="52" t="s">
        <v>196</v>
      </c>
      <c r="L84" t="s">
        <v>168</v>
      </c>
      <c r="M84" t="s">
        <v>168</v>
      </c>
      <c r="N84" t="s">
        <v>168</v>
      </c>
      <c r="O84" t="s">
        <v>168</v>
      </c>
      <c r="P84" t="s">
        <v>168</v>
      </c>
      <c r="Q84" t="s">
        <v>168</v>
      </c>
      <c r="R84" t="s">
        <v>168</v>
      </c>
      <c r="S84" t="s">
        <v>168</v>
      </c>
      <c r="T84" t="s">
        <v>168</v>
      </c>
      <c r="U84" t="s">
        <v>168</v>
      </c>
      <c r="V84" t="s">
        <v>168</v>
      </c>
      <c r="W84" t="s">
        <v>168</v>
      </c>
      <c r="X84" t="s">
        <v>168</v>
      </c>
      <c r="Y84" t="s">
        <v>168</v>
      </c>
      <c r="Z84">
        <v>2</v>
      </c>
      <c r="AA84">
        <v>1</v>
      </c>
    </row>
    <row r="85" spans="1:27" x14ac:dyDescent="0.25">
      <c r="A85" s="1" t="s">
        <v>98</v>
      </c>
      <c r="B85" s="1" t="s">
        <v>61</v>
      </c>
      <c r="C85" s="86">
        <v>31</v>
      </c>
      <c r="D85" s="33">
        <v>43</v>
      </c>
      <c r="E85" s="34">
        <v>43</v>
      </c>
      <c r="F85" s="36">
        <v>55</v>
      </c>
      <c r="G85" s="36">
        <v>55</v>
      </c>
      <c r="H85" s="36">
        <v>55</v>
      </c>
      <c r="I85" s="36">
        <v>56</v>
      </c>
      <c r="J85" s="35">
        <v>36</v>
      </c>
      <c r="K85" s="52" t="s">
        <v>196</v>
      </c>
      <c r="L85" t="s">
        <v>168</v>
      </c>
      <c r="M85" t="s">
        <v>168</v>
      </c>
      <c r="N85" t="s">
        <v>168</v>
      </c>
      <c r="O85" t="s">
        <v>168</v>
      </c>
      <c r="P85" t="s">
        <v>168</v>
      </c>
      <c r="Q85" t="s">
        <v>168</v>
      </c>
      <c r="R85" t="s">
        <v>168</v>
      </c>
      <c r="S85" t="s">
        <v>168</v>
      </c>
      <c r="T85" t="s">
        <v>168</v>
      </c>
      <c r="U85" t="s">
        <v>168</v>
      </c>
      <c r="V85" t="s">
        <v>168</v>
      </c>
      <c r="W85" t="s">
        <v>168</v>
      </c>
      <c r="X85" t="s">
        <v>168</v>
      </c>
      <c r="Y85" t="s">
        <v>168</v>
      </c>
      <c r="Z85">
        <v>2</v>
      </c>
      <c r="AA85">
        <v>1</v>
      </c>
    </row>
    <row r="86" spans="1:27" x14ac:dyDescent="0.25">
      <c r="A86" s="1" t="s">
        <v>98</v>
      </c>
      <c r="B86" s="1" t="s">
        <v>86</v>
      </c>
      <c r="C86" s="6">
        <v>44</v>
      </c>
      <c r="D86" s="33">
        <v>59</v>
      </c>
      <c r="E86" s="34">
        <v>59</v>
      </c>
      <c r="F86" s="36">
        <v>71</v>
      </c>
      <c r="G86" s="36">
        <v>71</v>
      </c>
      <c r="H86" s="36">
        <v>72</v>
      </c>
      <c r="I86" s="36">
        <v>73</v>
      </c>
      <c r="J86" s="35">
        <v>16</v>
      </c>
      <c r="K86" s="52" t="s">
        <v>196</v>
      </c>
      <c r="L86" t="s">
        <v>168</v>
      </c>
      <c r="M86" t="s">
        <v>168</v>
      </c>
      <c r="N86" t="s">
        <v>168</v>
      </c>
      <c r="O86" t="s">
        <v>168</v>
      </c>
      <c r="P86" t="s">
        <v>168</v>
      </c>
      <c r="Q86" t="s">
        <v>168</v>
      </c>
      <c r="R86" t="s">
        <v>168</v>
      </c>
      <c r="S86" t="s">
        <v>168</v>
      </c>
      <c r="T86" t="s">
        <v>168</v>
      </c>
      <c r="U86" t="s">
        <v>168</v>
      </c>
      <c r="V86" t="s">
        <v>168</v>
      </c>
      <c r="W86" t="s">
        <v>168</v>
      </c>
      <c r="X86" t="s">
        <v>168</v>
      </c>
      <c r="Y86" t="s">
        <v>168</v>
      </c>
      <c r="Z86">
        <v>2</v>
      </c>
      <c r="AA86">
        <v>1</v>
      </c>
    </row>
    <row r="87" spans="1:27" x14ac:dyDescent="0.25">
      <c r="A87" s="1" t="s">
        <v>98</v>
      </c>
      <c r="B87" s="1" t="s">
        <v>77</v>
      </c>
      <c r="C87" s="6">
        <v>46</v>
      </c>
      <c r="D87" s="33">
        <v>69</v>
      </c>
      <c r="E87" s="34">
        <v>70</v>
      </c>
      <c r="F87" s="36">
        <v>94</v>
      </c>
      <c r="G87" s="62" t="s">
        <v>168</v>
      </c>
      <c r="H87" s="62" t="s">
        <v>168</v>
      </c>
      <c r="I87" s="62" t="s">
        <v>168</v>
      </c>
      <c r="J87" s="35">
        <v>5</v>
      </c>
      <c r="K87" s="52" t="s">
        <v>196</v>
      </c>
      <c r="L87" t="s">
        <v>168</v>
      </c>
      <c r="M87" t="s">
        <v>168</v>
      </c>
      <c r="N87" t="s">
        <v>168</v>
      </c>
      <c r="O87" t="s">
        <v>168</v>
      </c>
      <c r="P87" t="s">
        <v>168</v>
      </c>
      <c r="Q87" t="s">
        <v>168</v>
      </c>
      <c r="R87" t="s">
        <v>168</v>
      </c>
      <c r="S87" t="s">
        <v>168</v>
      </c>
      <c r="T87" t="s">
        <v>168</v>
      </c>
      <c r="U87" t="s">
        <v>168</v>
      </c>
      <c r="V87" t="s">
        <v>168</v>
      </c>
      <c r="W87" t="s">
        <v>168</v>
      </c>
      <c r="X87" t="s">
        <v>168</v>
      </c>
      <c r="Y87" t="s">
        <v>168</v>
      </c>
      <c r="Z87">
        <v>2</v>
      </c>
      <c r="AA87">
        <v>1</v>
      </c>
    </row>
    <row r="88" spans="1:27" x14ac:dyDescent="0.25">
      <c r="A88" s="1" t="s">
        <v>98</v>
      </c>
      <c r="B88" s="1" t="s">
        <v>35</v>
      </c>
      <c r="C88" s="6">
        <v>28</v>
      </c>
      <c r="D88" s="33">
        <v>44</v>
      </c>
      <c r="E88" s="34">
        <v>45</v>
      </c>
      <c r="F88" s="36">
        <v>58</v>
      </c>
      <c r="G88" s="36">
        <v>59</v>
      </c>
      <c r="H88" s="36">
        <v>60</v>
      </c>
      <c r="I88" s="36">
        <v>62</v>
      </c>
      <c r="J88" s="35">
        <v>27</v>
      </c>
      <c r="K88" s="52" t="s">
        <v>196</v>
      </c>
      <c r="L88" t="s">
        <v>168</v>
      </c>
      <c r="M88" t="s">
        <v>168</v>
      </c>
      <c r="N88" t="s">
        <v>168</v>
      </c>
      <c r="O88" t="s">
        <v>168</v>
      </c>
      <c r="P88" t="s">
        <v>168</v>
      </c>
      <c r="Q88" t="s">
        <v>168</v>
      </c>
      <c r="R88" t="s">
        <v>168</v>
      </c>
      <c r="S88" t="s">
        <v>168</v>
      </c>
      <c r="T88" t="s">
        <v>168</v>
      </c>
      <c r="U88" t="s">
        <v>168</v>
      </c>
      <c r="V88" t="s">
        <v>168</v>
      </c>
      <c r="W88" t="s">
        <v>168</v>
      </c>
      <c r="X88" t="s">
        <v>168</v>
      </c>
      <c r="Y88" t="s">
        <v>168</v>
      </c>
      <c r="Z88">
        <v>2</v>
      </c>
      <c r="AA88">
        <v>1</v>
      </c>
    </row>
    <row r="89" spans="1:27" x14ac:dyDescent="0.25">
      <c r="A89" s="1" t="s">
        <v>98</v>
      </c>
      <c r="B89" s="1" t="s">
        <v>62</v>
      </c>
      <c r="C89" s="6">
        <v>45</v>
      </c>
      <c r="D89" s="33">
        <v>61</v>
      </c>
      <c r="E89" s="34">
        <v>63</v>
      </c>
      <c r="F89" s="36">
        <v>82</v>
      </c>
      <c r="G89" s="36">
        <v>94</v>
      </c>
      <c r="H89" s="36">
        <v>94</v>
      </c>
      <c r="I89" s="62" t="s">
        <v>168</v>
      </c>
      <c r="J89" s="35">
        <v>7</v>
      </c>
      <c r="K89" s="52" t="s">
        <v>196</v>
      </c>
      <c r="L89" t="s">
        <v>168</v>
      </c>
      <c r="M89" t="s">
        <v>168</v>
      </c>
      <c r="N89" t="s">
        <v>168</v>
      </c>
      <c r="O89" t="s">
        <v>168</v>
      </c>
      <c r="P89" t="s">
        <v>168</v>
      </c>
      <c r="Q89" t="s">
        <v>168</v>
      </c>
      <c r="R89" t="s">
        <v>168</v>
      </c>
      <c r="S89" t="s">
        <v>168</v>
      </c>
      <c r="T89" t="s">
        <v>168</v>
      </c>
      <c r="U89" t="s">
        <v>168</v>
      </c>
      <c r="V89" t="s">
        <v>168</v>
      </c>
      <c r="W89" t="s">
        <v>168</v>
      </c>
      <c r="X89" t="s">
        <v>168</v>
      </c>
      <c r="Y89" t="s">
        <v>168</v>
      </c>
      <c r="Z89">
        <v>2</v>
      </c>
      <c r="AA89">
        <v>1</v>
      </c>
    </row>
    <row r="90" spans="1:27" x14ac:dyDescent="0.25">
      <c r="A90" s="1" t="s">
        <v>98</v>
      </c>
      <c r="B90" s="1" t="s">
        <v>91</v>
      </c>
      <c r="C90" s="6">
        <v>35</v>
      </c>
      <c r="D90" s="33">
        <v>50</v>
      </c>
      <c r="E90" s="34">
        <v>50</v>
      </c>
      <c r="F90" s="36">
        <v>61</v>
      </c>
      <c r="G90" s="36">
        <v>62</v>
      </c>
      <c r="H90" s="36">
        <v>66</v>
      </c>
      <c r="I90" s="36">
        <v>67</v>
      </c>
      <c r="J90" s="35">
        <v>31</v>
      </c>
      <c r="K90" s="52" t="s">
        <v>196</v>
      </c>
      <c r="L90" t="s">
        <v>168</v>
      </c>
      <c r="M90" t="s">
        <v>168</v>
      </c>
      <c r="N90" t="s">
        <v>168</v>
      </c>
      <c r="O90" t="s">
        <v>168</v>
      </c>
      <c r="P90" t="s">
        <v>168</v>
      </c>
      <c r="Q90" t="s">
        <v>168</v>
      </c>
      <c r="R90" t="s">
        <v>168</v>
      </c>
      <c r="S90" t="s">
        <v>168</v>
      </c>
      <c r="T90" t="s">
        <v>168</v>
      </c>
      <c r="U90" t="s">
        <v>168</v>
      </c>
      <c r="V90" t="s">
        <v>168</v>
      </c>
      <c r="W90" t="s">
        <v>168</v>
      </c>
      <c r="X90" t="s">
        <v>168</v>
      </c>
      <c r="Y90" t="s">
        <v>168</v>
      </c>
      <c r="Z90">
        <v>2</v>
      </c>
      <c r="AA90">
        <v>1</v>
      </c>
    </row>
    <row r="91" spans="1:27" x14ac:dyDescent="0.25">
      <c r="A91" s="1" t="s">
        <v>98</v>
      </c>
      <c r="B91" s="1" t="s">
        <v>36</v>
      </c>
      <c r="C91" s="6">
        <v>41</v>
      </c>
      <c r="D91" s="33">
        <v>58</v>
      </c>
      <c r="E91" s="34">
        <v>58</v>
      </c>
      <c r="F91" s="36">
        <v>71</v>
      </c>
      <c r="G91" s="36">
        <v>72</v>
      </c>
      <c r="H91" s="36">
        <v>72</v>
      </c>
      <c r="I91" s="36">
        <v>75</v>
      </c>
      <c r="J91" s="35">
        <v>16</v>
      </c>
      <c r="K91" s="52" t="s">
        <v>196</v>
      </c>
      <c r="L91" t="s">
        <v>168</v>
      </c>
      <c r="M91" t="s">
        <v>168</v>
      </c>
      <c r="N91" t="s">
        <v>168</v>
      </c>
      <c r="O91" t="s">
        <v>168</v>
      </c>
      <c r="P91" t="s">
        <v>168</v>
      </c>
      <c r="Q91" t="s">
        <v>168</v>
      </c>
      <c r="R91" t="s">
        <v>168</v>
      </c>
      <c r="S91" t="s">
        <v>168</v>
      </c>
      <c r="T91" t="s">
        <v>168</v>
      </c>
      <c r="U91" t="s">
        <v>168</v>
      </c>
      <c r="V91" t="s">
        <v>168</v>
      </c>
      <c r="W91" t="s">
        <v>168</v>
      </c>
      <c r="X91" t="s">
        <v>168</v>
      </c>
      <c r="Y91" t="s">
        <v>168</v>
      </c>
      <c r="Z91">
        <v>2</v>
      </c>
      <c r="AA91">
        <v>1</v>
      </c>
    </row>
    <row r="92" spans="1:27" x14ac:dyDescent="0.25">
      <c r="A92" s="1" t="s">
        <v>98</v>
      </c>
      <c r="B92" s="1" t="s">
        <v>63</v>
      </c>
      <c r="C92" s="6">
        <v>36</v>
      </c>
      <c r="D92" s="33">
        <v>48</v>
      </c>
      <c r="E92" s="34">
        <v>50</v>
      </c>
      <c r="F92" s="36">
        <v>66</v>
      </c>
      <c r="G92" s="36">
        <v>66</v>
      </c>
      <c r="H92" s="36">
        <v>66</v>
      </c>
      <c r="I92" s="36" t="s">
        <v>168</v>
      </c>
      <c r="J92" s="35">
        <v>15</v>
      </c>
      <c r="K92" s="52" t="s">
        <v>196</v>
      </c>
      <c r="L92" t="s">
        <v>168</v>
      </c>
      <c r="M92" t="s">
        <v>168</v>
      </c>
      <c r="N92" t="s">
        <v>168</v>
      </c>
      <c r="O92" t="s">
        <v>168</v>
      </c>
      <c r="P92" t="s">
        <v>168</v>
      </c>
      <c r="Q92" t="s">
        <v>168</v>
      </c>
      <c r="R92" t="s">
        <v>168</v>
      </c>
      <c r="S92" t="s">
        <v>168</v>
      </c>
      <c r="T92" t="s">
        <v>168</v>
      </c>
      <c r="U92" t="s">
        <v>168</v>
      </c>
      <c r="V92" t="s">
        <v>168</v>
      </c>
      <c r="W92" t="s">
        <v>168</v>
      </c>
      <c r="X92" t="s">
        <v>168</v>
      </c>
      <c r="Y92" t="s">
        <v>168</v>
      </c>
      <c r="Z92">
        <v>2</v>
      </c>
      <c r="AA92">
        <v>1</v>
      </c>
    </row>
    <row r="93" spans="1:27" x14ac:dyDescent="0.25">
      <c r="A93" s="1" t="s">
        <v>98</v>
      </c>
      <c r="B93" s="1" t="s">
        <v>78</v>
      </c>
      <c r="C93" s="6">
        <v>38</v>
      </c>
      <c r="D93" s="33">
        <v>52</v>
      </c>
      <c r="E93" s="34">
        <v>52</v>
      </c>
      <c r="F93" s="36">
        <v>66</v>
      </c>
      <c r="G93" s="36">
        <v>67</v>
      </c>
      <c r="H93" s="36">
        <v>67</v>
      </c>
      <c r="I93" s="36">
        <v>68</v>
      </c>
      <c r="J93" s="35">
        <v>16</v>
      </c>
      <c r="K93" s="52" t="s">
        <v>196</v>
      </c>
      <c r="L93" t="s">
        <v>168</v>
      </c>
      <c r="M93" t="s">
        <v>168</v>
      </c>
      <c r="N93" t="s">
        <v>168</v>
      </c>
      <c r="O93" t="s">
        <v>168</v>
      </c>
      <c r="P93" t="s">
        <v>168</v>
      </c>
      <c r="Q93" t="s">
        <v>168</v>
      </c>
      <c r="R93" t="s">
        <v>168</v>
      </c>
      <c r="S93" t="s">
        <v>168</v>
      </c>
      <c r="T93" t="s">
        <v>168</v>
      </c>
      <c r="U93" t="s">
        <v>168</v>
      </c>
      <c r="V93" t="s">
        <v>168</v>
      </c>
      <c r="W93" t="s">
        <v>168</v>
      </c>
      <c r="X93" t="s">
        <v>168</v>
      </c>
      <c r="Y93" t="s">
        <v>168</v>
      </c>
      <c r="Z93">
        <v>2</v>
      </c>
      <c r="AA93">
        <v>1</v>
      </c>
    </row>
    <row r="94" spans="1:27" x14ac:dyDescent="0.25">
      <c r="A94" s="1" t="s">
        <v>98</v>
      </c>
      <c r="B94" s="1" t="s">
        <v>37</v>
      </c>
      <c r="C94" s="6">
        <v>32</v>
      </c>
      <c r="D94" s="33">
        <v>43</v>
      </c>
      <c r="E94" s="34">
        <v>44</v>
      </c>
      <c r="F94" s="36">
        <v>55</v>
      </c>
      <c r="G94" s="36">
        <v>55</v>
      </c>
      <c r="H94" s="36">
        <v>55</v>
      </c>
      <c r="I94" s="36">
        <v>66</v>
      </c>
      <c r="J94" s="64">
        <v>36</v>
      </c>
      <c r="K94" s="52" t="s">
        <v>196</v>
      </c>
      <c r="L94" t="s">
        <v>168</v>
      </c>
      <c r="M94" t="s">
        <v>168</v>
      </c>
      <c r="N94" t="s">
        <v>168</v>
      </c>
      <c r="O94" t="s">
        <v>168</v>
      </c>
      <c r="P94" t="s">
        <v>168</v>
      </c>
      <c r="Q94" t="s">
        <v>168</v>
      </c>
      <c r="R94" t="s">
        <v>168</v>
      </c>
      <c r="S94" t="s">
        <v>168</v>
      </c>
      <c r="T94" t="s">
        <v>168</v>
      </c>
      <c r="U94" t="s">
        <v>168</v>
      </c>
      <c r="V94" t="s">
        <v>168</v>
      </c>
      <c r="W94" t="s">
        <v>168</v>
      </c>
      <c r="X94" t="s">
        <v>168</v>
      </c>
      <c r="Y94" t="s">
        <v>168</v>
      </c>
      <c r="Z94">
        <v>2</v>
      </c>
      <c r="AA94">
        <v>1</v>
      </c>
    </row>
    <row r="95" spans="1:27" x14ac:dyDescent="0.25">
      <c r="A95" s="1" t="s">
        <v>98</v>
      </c>
      <c r="B95" s="1" t="s">
        <v>64</v>
      </c>
      <c r="C95" s="6">
        <v>38</v>
      </c>
      <c r="D95" s="33">
        <v>55</v>
      </c>
      <c r="E95" s="34">
        <v>55</v>
      </c>
      <c r="F95" s="36">
        <v>66</v>
      </c>
      <c r="G95" s="36">
        <v>66</v>
      </c>
      <c r="H95" s="36">
        <v>68</v>
      </c>
      <c r="I95" s="36">
        <v>68</v>
      </c>
      <c r="J95" s="35">
        <v>18</v>
      </c>
      <c r="K95" s="52" t="s">
        <v>196</v>
      </c>
      <c r="L95" t="s">
        <v>168</v>
      </c>
      <c r="M95" t="s">
        <v>168</v>
      </c>
      <c r="N95" t="s">
        <v>168</v>
      </c>
      <c r="O95" t="s">
        <v>168</v>
      </c>
      <c r="P95" t="s">
        <v>168</v>
      </c>
      <c r="Q95" t="s">
        <v>168</v>
      </c>
      <c r="R95" t="s">
        <v>168</v>
      </c>
      <c r="S95" t="s">
        <v>168</v>
      </c>
      <c r="T95" t="s">
        <v>168</v>
      </c>
      <c r="U95" t="s">
        <v>168</v>
      </c>
      <c r="V95" t="s">
        <v>168</v>
      </c>
      <c r="W95" t="s">
        <v>168</v>
      </c>
      <c r="X95" t="s">
        <v>168</v>
      </c>
      <c r="Y95" t="s">
        <v>168</v>
      </c>
      <c r="Z95">
        <v>2</v>
      </c>
      <c r="AA95">
        <v>1</v>
      </c>
    </row>
    <row r="96" spans="1:27" x14ac:dyDescent="0.25">
      <c r="A96" s="1" t="s">
        <v>98</v>
      </c>
      <c r="B96" s="1" t="s">
        <v>38</v>
      </c>
      <c r="C96" s="6">
        <v>37</v>
      </c>
      <c r="D96" s="33">
        <v>51</v>
      </c>
      <c r="E96" s="34">
        <v>52</v>
      </c>
      <c r="F96" s="36">
        <v>64</v>
      </c>
      <c r="G96" s="36">
        <v>64</v>
      </c>
      <c r="H96" s="36">
        <v>66</v>
      </c>
      <c r="I96" s="36">
        <v>66</v>
      </c>
      <c r="J96" s="35">
        <v>23</v>
      </c>
      <c r="K96" s="52" t="s">
        <v>196</v>
      </c>
      <c r="L96" t="s">
        <v>168</v>
      </c>
      <c r="M96" t="s">
        <v>168</v>
      </c>
      <c r="N96" t="s">
        <v>168</v>
      </c>
      <c r="O96" t="s">
        <v>168</v>
      </c>
      <c r="P96" t="s">
        <v>168</v>
      </c>
      <c r="Q96" t="s">
        <v>168</v>
      </c>
      <c r="R96" t="s">
        <v>168</v>
      </c>
      <c r="S96" t="s">
        <v>168</v>
      </c>
      <c r="T96" t="s">
        <v>168</v>
      </c>
      <c r="U96" t="s">
        <v>168</v>
      </c>
      <c r="V96" t="s">
        <v>168</v>
      </c>
      <c r="W96" t="s">
        <v>168</v>
      </c>
      <c r="X96" t="s">
        <v>168</v>
      </c>
      <c r="Y96" t="s">
        <v>168</v>
      </c>
      <c r="Z96">
        <v>2</v>
      </c>
      <c r="AA96">
        <v>1</v>
      </c>
    </row>
    <row r="97" spans="1:27" x14ac:dyDescent="0.25">
      <c r="A97" s="1" t="s">
        <v>98</v>
      </c>
      <c r="B97" s="1" t="s">
        <v>39</v>
      </c>
      <c r="C97" s="6">
        <v>34</v>
      </c>
      <c r="D97" s="33">
        <v>47</v>
      </c>
      <c r="E97" s="34">
        <v>47</v>
      </c>
      <c r="F97" s="36">
        <v>59</v>
      </c>
      <c r="G97" s="36">
        <v>59</v>
      </c>
      <c r="H97" s="36">
        <v>62</v>
      </c>
      <c r="I97" s="36">
        <v>62</v>
      </c>
      <c r="J97" s="35">
        <v>22</v>
      </c>
      <c r="K97" s="52" t="s">
        <v>196</v>
      </c>
      <c r="L97" t="s">
        <v>168</v>
      </c>
      <c r="M97" t="s">
        <v>168</v>
      </c>
      <c r="N97" t="s">
        <v>168</v>
      </c>
      <c r="O97" t="s">
        <v>168</v>
      </c>
      <c r="P97" t="s">
        <v>168</v>
      </c>
      <c r="Q97" t="s">
        <v>168</v>
      </c>
      <c r="R97" t="s">
        <v>168</v>
      </c>
      <c r="S97" t="s">
        <v>168</v>
      </c>
      <c r="T97" t="s">
        <v>168</v>
      </c>
      <c r="U97" t="s">
        <v>168</v>
      </c>
      <c r="V97" t="s">
        <v>168</v>
      </c>
      <c r="W97" t="s">
        <v>168</v>
      </c>
      <c r="X97" t="s">
        <v>168</v>
      </c>
      <c r="Y97" t="s">
        <v>168</v>
      </c>
      <c r="Z97">
        <v>2</v>
      </c>
      <c r="AA97">
        <v>1</v>
      </c>
    </row>
    <row r="98" spans="1:27" x14ac:dyDescent="0.25">
      <c r="A98" s="1" t="s">
        <v>98</v>
      </c>
      <c r="B98" s="1" t="s">
        <v>87</v>
      </c>
      <c r="C98" s="6">
        <v>37</v>
      </c>
      <c r="D98" s="33">
        <v>52</v>
      </c>
      <c r="E98" s="34">
        <v>55</v>
      </c>
      <c r="F98" s="36">
        <v>66</v>
      </c>
      <c r="G98" s="36">
        <v>66</v>
      </c>
      <c r="H98" s="36">
        <v>71</v>
      </c>
      <c r="I98" s="36">
        <v>71</v>
      </c>
      <c r="J98" s="35">
        <v>16</v>
      </c>
      <c r="K98" s="52" t="s">
        <v>196</v>
      </c>
      <c r="L98" t="s">
        <v>168</v>
      </c>
      <c r="M98" t="s">
        <v>168</v>
      </c>
      <c r="N98" t="s">
        <v>168</v>
      </c>
      <c r="O98" t="s">
        <v>168</v>
      </c>
      <c r="P98" t="s">
        <v>168</v>
      </c>
      <c r="Q98" t="s">
        <v>168</v>
      </c>
      <c r="R98" t="s">
        <v>168</v>
      </c>
      <c r="S98" t="s">
        <v>168</v>
      </c>
      <c r="T98" t="s">
        <v>168</v>
      </c>
      <c r="U98" t="s">
        <v>168</v>
      </c>
      <c r="V98" t="s">
        <v>168</v>
      </c>
      <c r="W98" t="s">
        <v>168</v>
      </c>
      <c r="X98" t="s">
        <v>168</v>
      </c>
      <c r="Y98" t="s">
        <v>168</v>
      </c>
      <c r="Z98">
        <v>2</v>
      </c>
      <c r="AA98">
        <v>1</v>
      </c>
    </row>
    <row r="99" spans="1:27" x14ac:dyDescent="0.25">
      <c r="A99" s="1" t="s">
        <v>98</v>
      </c>
      <c r="B99" s="1" t="s">
        <v>65</v>
      </c>
      <c r="C99" s="6">
        <v>44</v>
      </c>
      <c r="D99" s="33">
        <v>64</v>
      </c>
      <c r="E99" s="34">
        <v>64</v>
      </c>
      <c r="F99" s="36">
        <v>78</v>
      </c>
      <c r="G99" s="36">
        <v>78</v>
      </c>
      <c r="H99" s="36">
        <v>78</v>
      </c>
      <c r="I99" s="36">
        <v>81</v>
      </c>
      <c r="J99" s="35">
        <v>11</v>
      </c>
      <c r="K99" s="52" t="s">
        <v>196</v>
      </c>
      <c r="L99" t="s">
        <v>168</v>
      </c>
      <c r="M99" t="s">
        <v>168</v>
      </c>
      <c r="N99" t="s">
        <v>168</v>
      </c>
      <c r="O99" t="s">
        <v>168</v>
      </c>
      <c r="P99" t="s">
        <v>168</v>
      </c>
      <c r="Q99" t="s">
        <v>168</v>
      </c>
      <c r="R99" t="s">
        <v>168</v>
      </c>
      <c r="S99" t="s">
        <v>168</v>
      </c>
      <c r="T99" t="s">
        <v>168</v>
      </c>
      <c r="U99" t="s">
        <v>168</v>
      </c>
      <c r="V99" t="s">
        <v>168</v>
      </c>
      <c r="W99" t="s">
        <v>168</v>
      </c>
      <c r="X99" t="s">
        <v>168</v>
      </c>
      <c r="Y99" t="s">
        <v>168</v>
      </c>
      <c r="Z99">
        <v>2</v>
      </c>
      <c r="AA99">
        <v>1</v>
      </c>
    </row>
    <row r="100" spans="1:27" x14ac:dyDescent="0.25">
      <c r="A100" s="1" t="s">
        <v>98</v>
      </c>
      <c r="B100" s="1" t="s">
        <v>79</v>
      </c>
      <c r="C100" s="6" t="s">
        <v>168</v>
      </c>
      <c r="D100" s="33" t="s">
        <v>168</v>
      </c>
      <c r="E100" s="34" t="s">
        <v>168</v>
      </c>
      <c r="F100" s="62" t="s">
        <v>168</v>
      </c>
      <c r="G100" s="62" t="s">
        <v>168</v>
      </c>
      <c r="H100" s="62" t="s">
        <v>168</v>
      </c>
      <c r="I100" s="62" t="s">
        <v>168</v>
      </c>
      <c r="J100" s="35">
        <v>8</v>
      </c>
      <c r="K100" s="52" t="s">
        <v>196</v>
      </c>
      <c r="L100" t="s">
        <v>168</v>
      </c>
      <c r="M100" t="s">
        <v>168</v>
      </c>
      <c r="N100" t="s">
        <v>168</v>
      </c>
      <c r="O100" t="s">
        <v>168</v>
      </c>
      <c r="P100" t="s">
        <v>168</v>
      </c>
      <c r="Q100" t="s">
        <v>168</v>
      </c>
      <c r="R100" t="s">
        <v>168</v>
      </c>
      <c r="S100" t="s">
        <v>168</v>
      </c>
      <c r="T100" t="s">
        <v>168</v>
      </c>
      <c r="U100" t="s">
        <v>168</v>
      </c>
      <c r="V100" t="s">
        <v>168</v>
      </c>
      <c r="W100" t="s">
        <v>168</v>
      </c>
      <c r="X100" t="s">
        <v>168</v>
      </c>
      <c r="Y100" t="s">
        <v>168</v>
      </c>
      <c r="Z100">
        <v>2</v>
      </c>
      <c r="AA100">
        <v>1</v>
      </c>
    </row>
    <row r="101" spans="1:27" x14ac:dyDescent="0.25">
      <c r="A101" s="1" t="s">
        <v>98</v>
      </c>
      <c r="B101" s="1" t="s">
        <v>66</v>
      </c>
      <c r="C101" s="6">
        <v>43</v>
      </c>
      <c r="D101" s="33">
        <v>59</v>
      </c>
      <c r="E101" s="34">
        <v>59</v>
      </c>
      <c r="F101" s="36">
        <v>72</v>
      </c>
      <c r="G101" s="36">
        <v>72</v>
      </c>
      <c r="H101" s="36">
        <v>72</v>
      </c>
      <c r="I101" s="36">
        <v>73</v>
      </c>
      <c r="J101" s="35">
        <v>13</v>
      </c>
      <c r="K101" s="52" t="s">
        <v>196</v>
      </c>
      <c r="L101" t="s">
        <v>168</v>
      </c>
      <c r="M101" t="s">
        <v>168</v>
      </c>
      <c r="N101" t="s">
        <v>168</v>
      </c>
      <c r="O101" t="s">
        <v>168</v>
      </c>
      <c r="P101" t="s">
        <v>168</v>
      </c>
      <c r="Q101" t="s">
        <v>168</v>
      </c>
      <c r="R101" t="s">
        <v>168</v>
      </c>
      <c r="S101" t="s">
        <v>168</v>
      </c>
      <c r="T101" t="s">
        <v>168</v>
      </c>
      <c r="U101" t="s">
        <v>168</v>
      </c>
      <c r="V101" t="s">
        <v>168</v>
      </c>
      <c r="W101" t="s">
        <v>168</v>
      </c>
      <c r="X101" t="s">
        <v>168</v>
      </c>
      <c r="Y101" t="s">
        <v>168</v>
      </c>
      <c r="Z101">
        <v>2</v>
      </c>
      <c r="AA101">
        <v>1</v>
      </c>
    </row>
    <row r="102" spans="1:27" x14ac:dyDescent="0.25">
      <c r="A102" s="1" t="s">
        <v>98</v>
      </c>
      <c r="B102" s="1" t="s">
        <v>92</v>
      </c>
      <c r="C102" s="6">
        <v>44</v>
      </c>
      <c r="D102" s="33">
        <v>58</v>
      </c>
      <c r="E102" s="34">
        <v>59</v>
      </c>
      <c r="F102" s="36">
        <v>72</v>
      </c>
      <c r="G102" s="36">
        <v>72</v>
      </c>
      <c r="H102" s="36">
        <v>72</v>
      </c>
      <c r="I102" s="36">
        <v>75</v>
      </c>
      <c r="J102" s="35">
        <v>16</v>
      </c>
      <c r="K102" s="52" t="s">
        <v>196</v>
      </c>
      <c r="L102" t="s">
        <v>168</v>
      </c>
      <c r="M102" t="s">
        <v>168</v>
      </c>
      <c r="N102" t="s">
        <v>168</v>
      </c>
      <c r="O102" t="s">
        <v>168</v>
      </c>
      <c r="P102" t="s">
        <v>168</v>
      </c>
      <c r="Q102" t="s">
        <v>168</v>
      </c>
      <c r="R102" t="s">
        <v>168</v>
      </c>
      <c r="S102" t="s">
        <v>168</v>
      </c>
      <c r="T102" t="s">
        <v>168</v>
      </c>
      <c r="U102" t="s">
        <v>168</v>
      </c>
      <c r="V102" t="s">
        <v>168</v>
      </c>
      <c r="W102" t="s">
        <v>168</v>
      </c>
      <c r="X102" t="s">
        <v>168</v>
      </c>
      <c r="Y102" t="s">
        <v>168</v>
      </c>
      <c r="Z102">
        <v>2</v>
      </c>
      <c r="AA102">
        <v>1</v>
      </c>
    </row>
    <row r="103" spans="1:27" x14ac:dyDescent="0.25">
      <c r="A103" s="1" t="s">
        <v>98</v>
      </c>
      <c r="B103" s="1" t="s">
        <v>67</v>
      </c>
      <c r="C103" s="6">
        <v>40</v>
      </c>
      <c r="D103" s="33">
        <v>55</v>
      </c>
      <c r="E103" s="34">
        <v>55</v>
      </c>
      <c r="F103" s="36">
        <v>68</v>
      </c>
      <c r="G103" s="36">
        <v>68</v>
      </c>
      <c r="H103" s="36">
        <v>69</v>
      </c>
      <c r="I103" s="36">
        <v>70</v>
      </c>
      <c r="J103" s="35">
        <v>16</v>
      </c>
      <c r="K103" s="52" t="s">
        <v>196</v>
      </c>
      <c r="L103" t="s">
        <v>168</v>
      </c>
      <c r="M103" t="s">
        <v>168</v>
      </c>
      <c r="N103" t="s">
        <v>168</v>
      </c>
      <c r="O103" t="s">
        <v>168</v>
      </c>
      <c r="P103" t="s">
        <v>168</v>
      </c>
      <c r="Q103" t="s">
        <v>168</v>
      </c>
      <c r="R103" t="s">
        <v>168</v>
      </c>
      <c r="S103" t="s">
        <v>168</v>
      </c>
      <c r="T103" t="s">
        <v>168</v>
      </c>
      <c r="U103" t="s">
        <v>168</v>
      </c>
      <c r="V103" t="s">
        <v>168</v>
      </c>
      <c r="W103" t="s">
        <v>168</v>
      </c>
      <c r="X103" t="s">
        <v>168</v>
      </c>
      <c r="Y103" t="s">
        <v>168</v>
      </c>
      <c r="Z103">
        <v>2</v>
      </c>
      <c r="AA103">
        <v>1</v>
      </c>
    </row>
    <row r="104" spans="1:27" x14ac:dyDescent="0.25">
      <c r="A104" s="1" t="s">
        <v>98</v>
      </c>
      <c r="B104" s="1" t="s">
        <v>68</v>
      </c>
      <c r="C104" s="6">
        <v>47</v>
      </c>
      <c r="D104" s="33">
        <v>67</v>
      </c>
      <c r="E104" s="34">
        <v>68</v>
      </c>
      <c r="F104" s="62" t="s">
        <v>168</v>
      </c>
      <c r="G104" s="62" t="s">
        <v>168</v>
      </c>
      <c r="H104" s="62" t="s">
        <v>168</v>
      </c>
      <c r="I104" s="62" t="s">
        <v>168</v>
      </c>
      <c r="J104" s="35">
        <v>4</v>
      </c>
      <c r="K104" s="52" t="s">
        <v>196</v>
      </c>
      <c r="L104" t="s">
        <v>168</v>
      </c>
      <c r="M104" t="s">
        <v>168</v>
      </c>
      <c r="N104" t="s">
        <v>168</v>
      </c>
      <c r="O104" t="s">
        <v>168</v>
      </c>
      <c r="P104" t="s">
        <v>168</v>
      </c>
      <c r="Q104" t="s">
        <v>168</v>
      </c>
      <c r="R104" t="s">
        <v>168</v>
      </c>
      <c r="S104" t="s">
        <v>168</v>
      </c>
      <c r="T104" t="s">
        <v>168</v>
      </c>
      <c r="U104" t="s">
        <v>168</v>
      </c>
      <c r="V104" t="s">
        <v>168</v>
      </c>
      <c r="W104" t="s">
        <v>168</v>
      </c>
      <c r="X104" t="s">
        <v>168</v>
      </c>
      <c r="Y104" t="s">
        <v>168</v>
      </c>
      <c r="Z104">
        <v>2</v>
      </c>
      <c r="AA104">
        <v>1</v>
      </c>
    </row>
    <row r="105" spans="1:27" x14ac:dyDescent="0.25">
      <c r="A105" s="1" t="s">
        <v>98</v>
      </c>
      <c r="B105" s="1" t="s">
        <v>40</v>
      </c>
      <c r="C105" s="6">
        <v>40</v>
      </c>
      <c r="D105" s="33">
        <v>57</v>
      </c>
      <c r="E105" s="34">
        <v>60</v>
      </c>
      <c r="F105" s="36">
        <v>92</v>
      </c>
      <c r="G105" s="62" t="s">
        <v>168</v>
      </c>
      <c r="H105" s="62" t="s">
        <v>168</v>
      </c>
      <c r="I105" s="62" t="s">
        <v>168</v>
      </c>
      <c r="J105" s="35">
        <v>5</v>
      </c>
      <c r="K105" s="52" t="s">
        <v>196</v>
      </c>
      <c r="L105" t="s">
        <v>168</v>
      </c>
      <c r="M105" t="s">
        <v>168</v>
      </c>
      <c r="N105" t="s">
        <v>168</v>
      </c>
      <c r="O105" t="s">
        <v>168</v>
      </c>
      <c r="P105" t="s">
        <v>168</v>
      </c>
      <c r="Q105" t="s">
        <v>168</v>
      </c>
      <c r="R105" t="s">
        <v>168</v>
      </c>
      <c r="S105" t="s">
        <v>168</v>
      </c>
      <c r="T105" t="s">
        <v>168</v>
      </c>
      <c r="U105" t="s">
        <v>168</v>
      </c>
      <c r="V105" t="s">
        <v>168</v>
      </c>
      <c r="W105" t="s">
        <v>168</v>
      </c>
      <c r="X105" t="s">
        <v>168</v>
      </c>
      <c r="Y105" t="s">
        <v>168</v>
      </c>
      <c r="Z105">
        <v>2</v>
      </c>
      <c r="AA105">
        <v>1</v>
      </c>
    </row>
    <row r="106" spans="1:27" x14ac:dyDescent="0.25">
      <c r="A106" s="1" t="s">
        <v>98</v>
      </c>
      <c r="B106" s="1" t="s">
        <v>69</v>
      </c>
      <c r="C106" s="6">
        <v>43</v>
      </c>
      <c r="D106" s="33">
        <v>60</v>
      </c>
      <c r="E106" s="34">
        <v>61</v>
      </c>
      <c r="F106" s="36">
        <v>72</v>
      </c>
      <c r="G106" s="36">
        <v>73</v>
      </c>
      <c r="H106" s="36">
        <v>80</v>
      </c>
      <c r="I106" s="36">
        <v>81</v>
      </c>
      <c r="J106" s="35">
        <v>13</v>
      </c>
      <c r="K106" s="52" t="s">
        <v>196</v>
      </c>
      <c r="L106" t="s">
        <v>168</v>
      </c>
      <c r="M106" t="s">
        <v>168</v>
      </c>
      <c r="N106" t="s">
        <v>168</v>
      </c>
      <c r="O106" t="s">
        <v>168</v>
      </c>
      <c r="P106" t="s">
        <v>168</v>
      </c>
      <c r="Q106" t="s">
        <v>168</v>
      </c>
      <c r="R106" t="s">
        <v>168</v>
      </c>
      <c r="S106" t="s">
        <v>168</v>
      </c>
      <c r="T106" t="s">
        <v>168</v>
      </c>
      <c r="U106" t="s">
        <v>168</v>
      </c>
      <c r="V106" t="s">
        <v>168</v>
      </c>
      <c r="W106" t="s">
        <v>168</v>
      </c>
      <c r="X106" t="s">
        <v>168</v>
      </c>
      <c r="Y106" t="s">
        <v>168</v>
      </c>
      <c r="Z106">
        <v>2</v>
      </c>
      <c r="AA106">
        <v>1</v>
      </c>
    </row>
    <row r="107" spans="1:27" x14ac:dyDescent="0.25">
      <c r="A107" s="1" t="s">
        <v>98</v>
      </c>
      <c r="B107" s="1" t="s">
        <v>41</v>
      </c>
      <c r="C107" s="6">
        <v>26</v>
      </c>
      <c r="D107" s="33">
        <v>43</v>
      </c>
      <c r="E107" s="34">
        <v>45</v>
      </c>
      <c r="F107" s="36">
        <v>55</v>
      </c>
      <c r="G107" s="36">
        <v>56</v>
      </c>
      <c r="H107" s="36">
        <v>58</v>
      </c>
      <c r="I107" s="36">
        <v>59</v>
      </c>
      <c r="J107" s="35">
        <v>39</v>
      </c>
      <c r="K107" s="52" t="s">
        <v>196</v>
      </c>
      <c r="L107" t="s">
        <v>168</v>
      </c>
      <c r="M107" t="s">
        <v>168</v>
      </c>
      <c r="N107" t="s">
        <v>168</v>
      </c>
      <c r="O107" t="s">
        <v>168</v>
      </c>
      <c r="P107" t="s">
        <v>168</v>
      </c>
      <c r="Q107" t="s">
        <v>168</v>
      </c>
      <c r="R107" t="s">
        <v>168</v>
      </c>
      <c r="S107" t="s">
        <v>168</v>
      </c>
      <c r="T107" t="s">
        <v>168</v>
      </c>
      <c r="U107" t="s">
        <v>168</v>
      </c>
      <c r="V107" t="s">
        <v>168</v>
      </c>
      <c r="W107" t="s">
        <v>168</v>
      </c>
      <c r="X107" t="s">
        <v>168</v>
      </c>
      <c r="Y107" t="s">
        <v>168</v>
      </c>
      <c r="Z107">
        <v>2</v>
      </c>
      <c r="AA107">
        <v>1</v>
      </c>
    </row>
    <row r="108" spans="1:27" x14ac:dyDescent="0.25">
      <c r="A108" s="1" t="s">
        <v>98</v>
      </c>
      <c r="B108" s="1" t="s">
        <v>42</v>
      </c>
      <c r="C108" s="6">
        <v>31</v>
      </c>
      <c r="D108" s="33">
        <v>46</v>
      </c>
      <c r="E108" s="34">
        <v>56</v>
      </c>
      <c r="F108" s="36">
        <v>58</v>
      </c>
      <c r="G108" s="36">
        <v>58</v>
      </c>
      <c r="H108" s="36">
        <v>60</v>
      </c>
      <c r="I108" s="36">
        <v>60</v>
      </c>
      <c r="J108" s="35">
        <v>15</v>
      </c>
      <c r="K108" s="52" t="s">
        <v>196</v>
      </c>
      <c r="L108" t="s">
        <v>168</v>
      </c>
      <c r="M108" t="s">
        <v>168</v>
      </c>
      <c r="N108" t="s">
        <v>168</v>
      </c>
      <c r="O108" t="s">
        <v>168</v>
      </c>
      <c r="P108" t="s">
        <v>168</v>
      </c>
      <c r="Q108" t="s">
        <v>168</v>
      </c>
      <c r="R108" t="s">
        <v>168</v>
      </c>
      <c r="S108" t="s">
        <v>168</v>
      </c>
      <c r="T108" t="s">
        <v>168</v>
      </c>
      <c r="U108" t="s">
        <v>168</v>
      </c>
      <c r="V108" t="s">
        <v>168</v>
      </c>
      <c r="W108" t="s">
        <v>168</v>
      </c>
      <c r="X108" t="s">
        <v>168</v>
      </c>
      <c r="Y108" t="s">
        <v>168</v>
      </c>
      <c r="Z108">
        <v>2</v>
      </c>
      <c r="AA108">
        <v>1</v>
      </c>
    </row>
    <row r="109" spans="1:27" x14ac:dyDescent="0.25">
      <c r="A109" s="1" t="s">
        <v>98</v>
      </c>
      <c r="B109" s="1" t="s">
        <v>43</v>
      </c>
      <c r="C109" s="6">
        <v>44</v>
      </c>
      <c r="D109" s="33">
        <v>61</v>
      </c>
      <c r="E109" s="34">
        <v>63</v>
      </c>
      <c r="F109" s="36">
        <v>77</v>
      </c>
      <c r="G109" s="36">
        <v>81</v>
      </c>
      <c r="H109" s="36">
        <v>82</v>
      </c>
      <c r="I109" s="36">
        <v>90</v>
      </c>
      <c r="J109" s="35">
        <v>9</v>
      </c>
      <c r="K109" s="52" t="s">
        <v>196</v>
      </c>
      <c r="L109" t="s">
        <v>168</v>
      </c>
      <c r="M109" t="s">
        <v>168</v>
      </c>
      <c r="N109" t="s">
        <v>168</v>
      </c>
      <c r="O109" t="s">
        <v>168</v>
      </c>
      <c r="P109" t="s">
        <v>168</v>
      </c>
      <c r="Q109" t="s">
        <v>168</v>
      </c>
      <c r="R109" t="s">
        <v>168</v>
      </c>
      <c r="S109" t="s">
        <v>168</v>
      </c>
      <c r="T109" t="s">
        <v>168</v>
      </c>
      <c r="U109" t="s">
        <v>168</v>
      </c>
      <c r="V109" t="s">
        <v>168</v>
      </c>
      <c r="W109" t="s">
        <v>168</v>
      </c>
      <c r="X109" t="s">
        <v>168</v>
      </c>
      <c r="Y109" t="s">
        <v>168</v>
      </c>
      <c r="Z109">
        <v>2</v>
      </c>
      <c r="AA109">
        <v>1</v>
      </c>
    </row>
    <row r="110" spans="1:27" x14ac:dyDescent="0.25">
      <c r="A110" s="1" t="s">
        <v>98</v>
      </c>
      <c r="B110" s="1" t="s">
        <v>70</v>
      </c>
      <c r="C110" s="6">
        <v>31</v>
      </c>
      <c r="D110" s="33">
        <v>52</v>
      </c>
      <c r="E110" s="34">
        <v>52</v>
      </c>
      <c r="F110" s="36">
        <v>63</v>
      </c>
      <c r="G110" s="36">
        <v>63</v>
      </c>
      <c r="H110" s="36">
        <v>66</v>
      </c>
      <c r="I110" s="36">
        <v>70</v>
      </c>
      <c r="J110" s="35">
        <v>24</v>
      </c>
      <c r="K110" s="52" t="s">
        <v>196</v>
      </c>
      <c r="L110" t="s">
        <v>168</v>
      </c>
      <c r="M110" t="s">
        <v>168</v>
      </c>
      <c r="N110" t="s">
        <v>168</v>
      </c>
      <c r="O110" t="s">
        <v>168</v>
      </c>
      <c r="P110" t="s">
        <v>168</v>
      </c>
      <c r="Q110" t="s">
        <v>168</v>
      </c>
      <c r="R110" t="s">
        <v>168</v>
      </c>
      <c r="S110" t="s">
        <v>168</v>
      </c>
      <c r="T110" t="s">
        <v>168</v>
      </c>
      <c r="U110" t="s">
        <v>168</v>
      </c>
      <c r="V110" t="s">
        <v>168</v>
      </c>
      <c r="W110" t="s">
        <v>168</v>
      </c>
      <c r="X110" t="s">
        <v>168</v>
      </c>
      <c r="Y110" t="s">
        <v>168</v>
      </c>
      <c r="Z110">
        <v>2</v>
      </c>
      <c r="AA110">
        <v>1</v>
      </c>
    </row>
    <row r="111" spans="1:27" x14ac:dyDescent="0.25">
      <c r="A111" s="1" t="s">
        <v>98</v>
      </c>
      <c r="B111" s="1" t="s">
        <v>44</v>
      </c>
      <c r="C111" s="6">
        <v>50</v>
      </c>
      <c r="D111" s="33">
        <v>66</v>
      </c>
      <c r="E111" s="34">
        <v>66</v>
      </c>
      <c r="F111" s="36">
        <v>79</v>
      </c>
      <c r="G111" s="36">
        <v>80</v>
      </c>
      <c r="H111" s="36">
        <v>81</v>
      </c>
      <c r="I111" s="36">
        <v>82</v>
      </c>
      <c r="J111" s="35">
        <v>10</v>
      </c>
      <c r="K111" s="52" t="s">
        <v>196</v>
      </c>
      <c r="L111" t="s">
        <v>168</v>
      </c>
      <c r="M111" t="s">
        <v>168</v>
      </c>
      <c r="N111" t="s">
        <v>168</v>
      </c>
      <c r="O111" t="s">
        <v>168</v>
      </c>
      <c r="P111" t="s">
        <v>168</v>
      </c>
      <c r="Q111" t="s">
        <v>168</v>
      </c>
      <c r="R111" t="s">
        <v>168</v>
      </c>
      <c r="S111" t="s">
        <v>168</v>
      </c>
      <c r="T111" t="s">
        <v>168</v>
      </c>
      <c r="U111" t="s">
        <v>168</v>
      </c>
      <c r="V111" t="s">
        <v>168</v>
      </c>
      <c r="W111" t="s">
        <v>168</v>
      </c>
      <c r="X111" t="s">
        <v>168</v>
      </c>
      <c r="Y111" t="s">
        <v>168</v>
      </c>
      <c r="Z111">
        <v>2</v>
      </c>
      <c r="AA111">
        <v>1</v>
      </c>
    </row>
    <row r="112" spans="1:27" x14ac:dyDescent="0.25">
      <c r="A112" s="1" t="s">
        <v>98</v>
      </c>
      <c r="B112" s="1" t="s">
        <v>80</v>
      </c>
      <c r="C112" s="6">
        <v>44</v>
      </c>
      <c r="D112" s="33">
        <v>62</v>
      </c>
      <c r="E112" s="34">
        <v>63</v>
      </c>
      <c r="F112" s="36">
        <v>77</v>
      </c>
      <c r="G112" s="36">
        <v>77</v>
      </c>
      <c r="H112" s="36">
        <v>78</v>
      </c>
      <c r="I112" s="36">
        <v>79</v>
      </c>
      <c r="J112" s="35">
        <v>12</v>
      </c>
      <c r="K112" s="52" t="s">
        <v>196</v>
      </c>
      <c r="L112" t="s">
        <v>168</v>
      </c>
      <c r="M112" t="s">
        <v>168</v>
      </c>
      <c r="N112" t="s">
        <v>168</v>
      </c>
      <c r="O112" t="s">
        <v>168</v>
      </c>
      <c r="P112" t="s">
        <v>168</v>
      </c>
      <c r="Q112" t="s">
        <v>168</v>
      </c>
      <c r="R112" t="s">
        <v>168</v>
      </c>
      <c r="S112" t="s">
        <v>168</v>
      </c>
      <c r="T112" t="s">
        <v>168</v>
      </c>
      <c r="U112" t="s">
        <v>168</v>
      </c>
      <c r="V112" t="s">
        <v>168</v>
      </c>
      <c r="W112" t="s">
        <v>168</v>
      </c>
      <c r="X112" t="s">
        <v>168</v>
      </c>
      <c r="Y112" t="s">
        <v>168</v>
      </c>
      <c r="Z112">
        <v>2</v>
      </c>
      <c r="AA112">
        <v>1</v>
      </c>
    </row>
    <row r="113" spans="1:27" x14ac:dyDescent="0.25">
      <c r="A113" s="1" t="s">
        <v>98</v>
      </c>
      <c r="B113" s="1" t="s">
        <v>99</v>
      </c>
      <c r="C113" s="6">
        <v>38</v>
      </c>
      <c r="D113" s="33">
        <v>55</v>
      </c>
      <c r="E113" s="34">
        <v>56</v>
      </c>
      <c r="F113" s="36">
        <v>69</v>
      </c>
      <c r="G113" s="36">
        <v>69</v>
      </c>
      <c r="H113" s="36">
        <v>70</v>
      </c>
      <c r="I113" s="36">
        <v>70</v>
      </c>
      <c r="J113" s="35">
        <v>14</v>
      </c>
      <c r="K113" s="52" t="s">
        <v>196</v>
      </c>
      <c r="L113" t="s">
        <v>168</v>
      </c>
      <c r="M113" t="s">
        <v>168</v>
      </c>
      <c r="N113" t="s">
        <v>168</v>
      </c>
      <c r="O113" t="s">
        <v>168</v>
      </c>
      <c r="P113" t="s">
        <v>168</v>
      </c>
      <c r="Q113" t="s">
        <v>168</v>
      </c>
      <c r="R113" t="s">
        <v>168</v>
      </c>
      <c r="S113" t="s">
        <v>168</v>
      </c>
      <c r="T113" t="s">
        <v>168</v>
      </c>
      <c r="U113" t="s">
        <v>168</v>
      </c>
      <c r="V113" t="s">
        <v>168</v>
      </c>
      <c r="W113" t="s">
        <v>168</v>
      </c>
      <c r="X113" t="s">
        <v>168</v>
      </c>
      <c r="Y113" t="s">
        <v>168</v>
      </c>
      <c r="Z113">
        <v>2</v>
      </c>
      <c r="AA113">
        <v>1</v>
      </c>
    </row>
    <row r="114" spans="1:27" x14ac:dyDescent="0.25">
      <c r="A114" s="1" t="s">
        <v>98</v>
      </c>
      <c r="B114" s="1" t="s">
        <v>169</v>
      </c>
      <c r="C114" s="6" t="s">
        <v>168</v>
      </c>
      <c r="D114" s="33" t="s">
        <v>168</v>
      </c>
      <c r="E114" s="34" t="s">
        <v>168</v>
      </c>
      <c r="F114" s="36">
        <v>63</v>
      </c>
      <c r="G114" s="36">
        <v>64</v>
      </c>
      <c r="H114" s="36">
        <v>68</v>
      </c>
      <c r="I114" s="36">
        <v>71</v>
      </c>
      <c r="J114" s="35">
        <v>9</v>
      </c>
      <c r="K114" s="52" t="s">
        <v>196</v>
      </c>
      <c r="L114" t="s">
        <v>168</v>
      </c>
      <c r="M114" t="s">
        <v>168</v>
      </c>
      <c r="N114" t="s">
        <v>168</v>
      </c>
      <c r="O114" t="s">
        <v>168</v>
      </c>
      <c r="P114" t="s">
        <v>168</v>
      </c>
      <c r="Q114" t="s">
        <v>168</v>
      </c>
      <c r="R114" t="s">
        <v>168</v>
      </c>
      <c r="S114" t="s">
        <v>168</v>
      </c>
      <c r="T114" t="s">
        <v>168</v>
      </c>
      <c r="U114" t="s">
        <v>168</v>
      </c>
      <c r="V114" t="s">
        <v>168</v>
      </c>
      <c r="W114" t="s">
        <v>168</v>
      </c>
      <c r="X114" t="s">
        <v>168</v>
      </c>
      <c r="Y114" t="s">
        <v>168</v>
      </c>
      <c r="Z114">
        <v>2</v>
      </c>
      <c r="AA114">
        <v>1</v>
      </c>
    </row>
    <row r="115" spans="1:27" x14ac:dyDescent="0.25">
      <c r="A115" s="1" t="s">
        <v>98</v>
      </c>
      <c r="B115" s="1" t="s">
        <v>97</v>
      </c>
      <c r="C115" s="6">
        <v>64</v>
      </c>
      <c r="D115" s="33">
        <v>79</v>
      </c>
      <c r="E115" s="34">
        <v>80</v>
      </c>
      <c r="F115" s="36">
        <v>96</v>
      </c>
      <c r="G115" s="36">
        <v>96</v>
      </c>
      <c r="H115" s="36">
        <v>96</v>
      </c>
      <c r="I115" s="62" t="s">
        <v>168</v>
      </c>
      <c r="J115" s="35">
        <v>7</v>
      </c>
      <c r="K115" s="52" t="s">
        <v>196</v>
      </c>
      <c r="L115" t="s">
        <v>168</v>
      </c>
      <c r="M115" t="s">
        <v>168</v>
      </c>
      <c r="N115" t="s">
        <v>168</v>
      </c>
      <c r="O115" t="s">
        <v>168</v>
      </c>
      <c r="P115" t="s">
        <v>168</v>
      </c>
      <c r="Q115" t="s">
        <v>168</v>
      </c>
      <c r="R115" t="s">
        <v>168</v>
      </c>
      <c r="S115" t="s">
        <v>168</v>
      </c>
      <c r="T115" t="s">
        <v>168</v>
      </c>
      <c r="U115" t="s">
        <v>168</v>
      </c>
      <c r="V115" t="s">
        <v>168</v>
      </c>
      <c r="W115" t="s">
        <v>168</v>
      </c>
      <c r="X115" t="s">
        <v>168</v>
      </c>
      <c r="Y115" t="s">
        <v>168</v>
      </c>
      <c r="Z115">
        <v>2</v>
      </c>
      <c r="AA115">
        <v>1</v>
      </c>
    </row>
    <row r="116" spans="1:27" x14ac:dyDescent="0.25">
      <c r="A116" s="1" t="s">
        <v>98</v>
      </c>
      <c r="B116" s="1" t="s">
        <v>71</v>
      </c>
      <c r="C116" s="6">
        <v>41</v>
      </c>
      <c r="D116" s="33">
        <v>59</v>
      </c>
      <c r="E116" s="34">
        <v>61</v>
      </c>
      <c r="F116" s="36">
        <v>74</v>
      </c>
      <c r="G116" s="36">
        <v>75</v>
      </c>
      <c r="H116" s="36">
        <v>75</v>
      </c>
      <c r="I116" s="36">
        <v>77</v>
      </c>
      <c r="J116" s="35">
        <v>14</v>
      </c>
      <c r="K116" s="52" t="s">
        <v>196</v>
      </c>
      <c r="L116" t="s">
        <v>168</v>
      </c>
      <c r="M116" t="s">
        <v>168</v>
      </c>
      <c r="N116" t="s">
        <v>168</v>
      </c>
      <c r="O116" t="s">
        <v>168</v>
      </c>
      <c r="P116" t="s">
        <v>168</v>
      </c>
      <c r="Q116" t="s">
        <v>168</v>
      </c>
      <c r="R116" t="s">
        <v>168</v>
      </c>
      <c r="S116" t="s">
        <v>168</v>
      </c>
      <c r="T116" t="s">
        <v>168</v>
      </c>
      <c r="U116" t="s">
        <v>168</v>
      </c>
      <c r="V116" t="s">
        <v>168</v>
      </c>
      <c r="W116" t="s">
        <v>168</v>
      </c>
      <c r="X116" t="s">
        <v>168</v>
      </c>
      <c r="Y116" t="s">
        <v>168</v>
      </c>
      <c r="Z116">
        <v>2</v>
      </c>
      <c r="AA116">
        <v>1</v>
      </c>
    </row>
    <row r="117" spans="1:27" x14ac:dyDescent="0.25">
      <c r="A117" s="1" t="s">
        <v>98</v>
      </c>
      <c r="B117" s="1" t="s">
        <v>45</v>
      </c>
      <c r="C117" s="6">
        <v>40</v>
      </c>
      <c r="D117" s="33">
        <v>58</v>
      </c>
      <c r="E117" s="34">
        <v>58</v>
      </c>
      <c r="F117" s="36">
        <v>71</v>
      </c>
      <c r="G117" s="36">
        <v>72</v>
      </c>
      <c r="H117" s="36">
        <v>72</v>
      </c>
      <c r="I117" s="36">
        <v>75</v>
      </c>
      <c r="J117" s="35">
        <v>15</v>
      </c>
      <c r="K117" s="52" t="s">
        <v>196</v>
      </c>
      <c r="L117" t="s">
        <v>168</v>
      </c>
      <c r="M117" t="s">
        <v>168</v>
      </c>
      <c r="N117" t="s">
        <v>168</v>
      </c>
      <c r="O117" t="s">
        <v>168</v>
      </c>
      <c r="P117" t="s">
        <v>168</v>
      </c>
      <c r="Q117" t="s">
        <v>168</v>
      </c>
      <c r="R117" t="s">
        <v>168</v>
      </c>
      <c r="S117" t="s">
        <v>168</v>
      </c>
      <c r="T117" t="s">
        <v>168</v>
      </c>
      <c r="U117" t="s">
        <v>168</v>
      </c>
      <c r="V117" t="s">
        <v>168</v>
      </c>
      <c r="W117" t="s">
        <v>168</v>
      </c>
      <c r="X117" t="s">
        <v>168</v>
      </c>
      <c r="Y117" t="s">
        <v>168</v>
      </c>
      <c r="Z117">
        <v>2</v>
      </c>
      <c r="AA117">
        <v>1</v>
      </c>
    </row>
    <row r="118" spans="1:27" x14ac:dyDescent="0.25">
      <c r="A118" s="1" t="s">
        <v>98</v>
      </c>
      <c r="B118" s="1" t="s">
        <v>93</v>
      </c>
      <c r="C118" s="6">
        <v>45</v>
      </c>
      <c r="D118" s="33">
        <v>60</v>
      </c>
      <c r="E118" s="34">
        <v>71</v>
      </c>
      <c r="F118" s="36">
        <v>72</v>
      </c>
      <c r="G118" s="36">
        <v>73</v>
      </c>
      <c r="H118" s="36">
        <v>82</v>
      </c>
      <c r="I118" s="36">
        <v>85</v>
      </c>
      <c r="J118" s="35">
        <v>12</v>
      </c>
      <c r="K118" s="52" t="s">
        <v>196</v>
      </c>
      <c r="L118" t="s">
        <v>168</v>
      </c>
      <c r="M118" t="s">
        <v>168</v>
      </c>
      <c r="N118" t="s">
        <v>168</v>
      </c>
      <c r="O118" t="s">
        <v>168</v>
      </c>
      <c r="P118" t="s">
        <v>168</v>
      </c>
      <c r="Q118" t="s">
        <v>168</v>
      </c>
      <c r="R118" t="s">
        <v>168</v>
      </c>
      <c r="S118" t="s">
        <v>168</v>
      </c>
      <c r="T118" t="s">
        <v>168</v>
      </c>
      <c r="U118" t="s">
        <v>168</v>
      </c>
      <c r="V118" t="s">
        <v>168</v>
      </c>
      <c r="W118" t="s">
        <v>168</v>
      </c>
      <c r="X118" t="s">
        <v>168</v>
      </c>
      <c r="Y118" t="s">
        <v>168</v>
      </c>
      <c r="Z118">
        <v>2</v>
      </c>
      <c r="AA118">
        <v>1</v>
      </c>
    </row>
    <row r="119" spans="1:27" x14ac:dyDescent="0.25">
      <c r="A119" s="1" t="s">
        <v>10</v>
      </c>
      <c r="B119" s="1" t="s">
        <v>12</v>
      </c>
      <c r="C119" s="6">
        <v>49</v>
      </c>
      <c r="D119" s="33">
        <v>67</v>
      </c>
      <c r="E119" s="34">
        <v>68</v>
      </c>
      <c r="F119" s="36">
        <v>83</v>
      </c>
      <c r="G119" s="36">
        <v>85</v>
      </c>
      <c r="H119" s="36">
        <v>86</v>
      </c>
      <c r="I119" s="36">
        <v>87</v>
      </c>
      <c r="J119" s="35">
        <v>8</v>
      </c>
      <c r="K119" s="52" t="s">
        <v>170</v>
      </c>
      <c r="L119" t="s">
        <v>168</v>
      </c>
      <c r="M119" t="s">
        <v>168</v>
      </c>
      <c r="N119" t="s">
        <v>168</v>
      </c>
      <c r="O119" t="s">
        <v>168</v>
      </c>
      <c r="P119" t="s">
        <v>168</v>
      </c>
      <c r="Q119" t="s">
        <v>168</v>
      </c>
      <c r="R119" t="s">
        <v>168</v>
      </c>
      <c r="S119" t="s">
        <v>168</v>
      </c>
      <c r="T119" t="s">
        <v>168</v>
      </c>
      <c r="U119" t="s">
        <v>168</v>
      </c>
      <c r="V119" t="s">
        <v>168</v>
      </c>
      <c r="W119" t="s">
        <v>168</v>
      </c>
      <c r="X119" t="s">
        <v>168</v>
      </c>
      <c r="Y119" t="s">
        <v>168</v>
      </c>
      <c r="Z119">
        <v>2</v>
      </c>
      <c r="AA119">
        <v>1</v>
      </c>
    </row>
    <row r="120" spans="1:27" x14ac:dyDescent="0.25">
      <c r="A120" s="1" t="s">
        <v>10</v>
      </c>
      <c r="B120" s="1" t="s">
        <v>13</v>
      </c>
      <c r="C120" s="6">
        <v>67</v>
      </c>
      <c r="D120" s="33">
        <v>79</v>
      </c>
      <c r="E120" s="34">
        <v>79</v>
      </c>
      <c r="F120" s="36">
        <v>96</v>
      </c>
      <c r="G120" s="36">
        <v>96</v>
      </c>
      <c r="H120" s="36" t="s">
        <v>168</v>
      </c>
      <c r="I120" s="36" t="s">
        <v>168</v>
      </c>
      <c r="J120" s="35">
        <v>6</v>
      </c>
      <c r="K120" s="52" t="s">
        <v>170</v>
      </c>
      <c r="L120" t="s">
        <v>168</v>
      </c>
      <c r="M120" t="s">
        <v>168</v>
      </c>
      <c r="N120" t="s">
        <v>168</v>
      </c>
      <c r="O120" t="s">
        <v>168</v>
      </c>
      <c r="P120" t="s">
        <v>168</v>
      </c>
      <c r="Q120" t="s">
        <v>168</v>
      </c>
      <c r="R120" t="s">
        <v>168</v>
      </c>
      <c r="S120" t="s">
        <v>168</v>
      </c>
      <c r="T120" t="s">
        <v>168</v>
      </c>
      <c r="U120" t="s">
        <v>168</v>
      </c>
      <c r="V120" t="s">
        <v>168</v>
      </c>
      <c r="W120" t="s">
        <v>168</v>
      </c>
      <c r="X120" t="s">
        <v>168</v>
      </c>
      <c r="Y120" t="s">
        <v>168</v>
      </c>
      <c r="Z120">
        <v>2</v>
      </c>
      <c r="AA120">
        <v>1</v>
      </c>
    </row>
    <row r="121" spans="1:27" x14ac:dyDescent="0.25">
      <c r="A121" s="1" t="s">
        <v>10</v>
      </c>
      <c r="B121" s="1" t="s">
        <v>81</v>
      </c>
      <c r="C121" s="6" t="s">
        <v>168</v>
      </c>
      <c r="D121" s="33" t="s">
        <v>168</v>
      </c>
      <c r="E121" s="34" t="s">
        <v>168</v>
      </c>
      <c r="F121" s="36" t="s">
        <v>168</v>
      </c>
      <c r="G121" s="36" t="s">
        <v>168</v>
      </c>
      <c r="H121" s="36" t="s">
        <v>168</v>
      </c>
      <c r="I121" s="36" t="s">
        <v>168</v>
      </c>
      <c r="J121" s="35">
        <v>20</v>
      </c>
      <c r="K121" s="52" t="s">
        <v>170</v>
      </c>
      <c r="L121" t="s">
        <v>168</v>
      </c>
      <c r="M121" t="s">
        <v>168</v>
      </c>
      <c r="N121" t="s">
        <v>168</v>
      </c>
      <c r="O121" t="s">
        <v>168</v>
      </c>
      <c r="P121" t="s">
        <v>168</v>
      </c>
      <c r="Q121" t="s">
        <v>168</v>
      </c>
      <c r="R121" t="s">
        <v>168</v>
      </c>
      <c r="S121" t="s">
        <v>168</v>
      </c>
      <c r="T121" t="s">
        <v>168</v>
      </c>
      <c r="U121" t="s">
        <v>168</v>
      </c>
      <c r="V121" t="s">
        <v>168</v>
      </c>
      <c r="W121" t="s">
        <v>168</v>
      </c>
      <c r="X121" t="s">
        <v>168</v>
      </c>
      <c r="Y121" t="s">
        <v>168</v>
      </c>
      <c r="Z121">
        <v>2</v>
      </c>
      <c r="AA121">
        <v>1</v>
      </c>
    </row>
    <row r="122" spans="1:27" x14ac:dyDescent="0.25">
      <c r="A122" s="1" t="s">
        <v>10</v>
      </c>
      <c r="B122" s="1" t="s">
        <v>88</v>
      </c>
      <c r="C122" s="6">
        <v>52</v>
      </c>
      <c r="D122" s="33">
        <v>69</v>
      </c>
      <c r="E122" s="34">
        <v>69</v>
      </c>
      <c r="F122" s="36">
        <v>92</v>
      </c>
      <c r="G122" s="36">
        <v>104</v>
      </c>
      <c r="H122" s="36">
        <v>106</v>
      </c>
      <c r="I122" s="36">
        <v>111</v>
      </c>
      <c r="J122" s="35">
        <v>5</v>
      </c>
      <c r="K122" s="52" t="s">
        <v>170</v>
      </c>
      <c r="L122" t="s">
        <v>168</v>
      </c>
      <c r="M122" t="s">
        <v>168</v>
      </c>
      <c r="N122" t="s">
        <v>168</v>
      </c>
      <c r="O122" t="s">
        <v>168</v>
      </c>
      <c r="P122" t="s">
        <v>168</v>
      </c>
      <c r="Q122" t="s">
        <v>168</v>
      </c>
      <c r="R122" t="s">
        <v>168</v>
      </c>
      <c r="S122" t="s">
        <v>168</v>
      </c>
      <c r="T122" t="s">
        <v>168</v>
      </c>
      <c r="U122" t="s">
        <v>168</v>
      </c>
      <c r="V122" t="s">
        <v>168</v>
      </c>
      <c r="W122" t="s">
        <v>168</v>
      </c>
      <c r="X122" t="s">
        <v>168</v>
      </c>
      <c r="Y122" t="s">
        <v>168</v>
      </c>
      <c r="Z122">
        <v>2</v>
      </c>
      <c r="AA122">
        <v>1</v>
      </c>
    </row>
    <row r="123" spans="1:27" x14ac:dyDescent="0.25">
      <c r="A123" s="1" t="s">
        <v>10</v>
      </c>
      <c r="B123" s="1" t="s">
        <v>16</v>
      </c>
      <c r="C123" s="6">
        <v>35</v>
      </c>
      <c r="D123" s="33">
        <v>47</v>
      </c>
      <c r="E123" s="34">
        <v>48</v>
      </c>
      <c r="F123" s="36">
        <v>58</v>
      </c>
      <c r="G123" s="36">
        <v>59</v>
      </c>
      <c r="H123" s="36">
        <v>59</v>
      </c>
      <c r="I123" s="36">
        <v>59</v>
      </c>
      <c r="J123" s="35">
        <v>22</v>
      </c>
      <c r="K123" s="52" t="s">
        <v>170</v>
      </c>
      <c r="L123" t="s">
        <v>168</v>
      </c>
      <c r="M123" t="s">
        <v>168</v>
      </c>
      <c r="N123" t="s">
        <v>168</v>
      </c>
      <c r="O123" t="s">
        <v>168</v>
      </c>
      <c r="P123" t="s">
        <v>168</v>
      </c>
      <c r="Q123" t="s">
        <v>168</v>
      </c>
      <c r="R123" t="s">
        <v>168</v>
      </c>
      <c r="S123" t="s">
        <v>168</v>
      </c>
      <c r="T123" t="s">
        <v>168</v>
      </c>
      <c r="U123" t="s">
        <v>168</v>
      </c>
      <c r="V123" t="s">
        <v>168</v>
      </c>
      <c r="W123" t="s">
        <v>168</v>
      </c>
      <c r="X123" t="s">
        <v>168</v>
      </c>
      <c r="Y123" t="s">
        <v>168</v>
      </c>
      <c r="Z123">
        <v>2</v>
      </c>
      <c r="AA123">
        <v>1</v>
      </c>
    </row>
    <row r="124" spans="1:27" x14ac:dyDescent="0.25">
      <c r="A124" s="1" t="s">
        <v>10</v>
      </c>
      <c r="B124" s="1" t="s">
        <v>47</v>
      </c>
      <c r="C124" s="6" t="s">
        <v>168</v>
      </c>
      <c r="D124" s="33" t="s">
        <v>168</v>
      </c>
      <c r="E124" s="34" t="s">
        <v>168</v>
      </c>
      <c r="F124" s="32" t="s">
        <v>168</v>
      </c>
      <c r="G124" s="32" t="s">
        <v>168</v>
      </c>
      <c r="H124" s="32" t="s">
        <v>168</v>
      </c>
      <c r="I124" s="32" t="s">
        <v>168</v>
      </c>
      <c r="J124" s="35">
        <v>21</v>
      </c>
      <c r="K124" s="52" t="s">
        <v>170</v>
      </c>
      <c r="L124" t="s">
        <v>168</v>
      </c>
      <c r="M124" t="s">
        <v>168</v>
      </c>
      <c r="N124" t="s">
        <v>168</v>
      </c>
      <c r="O124" t="s">
        <v>168</v>
      </c>
      <c r="P124" t="s">
        <v>168</v>
      </c>
      <c r="Q124" t="s">
        <v>168</v>
      </c>
      <c r="R124" t="s">
        <v>168</v>
      </c>
      <c r="S124" t="s">
        <v>168</v>
      </c>
      <c r="T124" t="s">
        <v>168</v>
      </c>
      <c r="U124" t="s">
        <v>168</v>
      </c>
      <c r="V124" t="s">
        <v>168</v>
      </c>
      <c r="W124" t="s">
        <v>168</v>
      </c>
      <c r="X124" t="s">
        <v>168</v>
      </c>
      <c r="Y124" t="s">
        <v>168</v>
      </c>
      <c r="Z124">
        <v>2</v>
      </c>
      <c r="AA124">
        <v>1</v>
      </c>
    </row>
    <row r="125" spans="1:27" x14ac:dyDescent="0.25">
      <c r="A125" s="1" t="s">
        <v>10</v>
      </c>
      <c r="B125" s="1" t="s">
        <v>49</v>
      </c>
      <c r="C125" s="6">
        <v>52</v>
      </c>
      <c r="D125" s="33">
        <v>63</v>
      </c>
      <c r="E125" s="34">
        <v>63</v>
      </c>
      <c r="F125" s="36">
        <v>80</v>
      </c>
      <c r="G125" s="36">
        <v>84</v>
      </c>
      <c r="H125" s="36">
        <v>86</v>
      </c>
      <c r="I125" s="36">
        <v>86</v>
      </c>
      <c r="J125" s="35">
        <v>8</v>
      </c>
      <c r="K125" s="52" t="s">
        <v>170</v>
      </c>
      <c r="L125" t="s">
        <v>168</v>
      </c>
      <c r="M125" t="s">
        <v>168</v>
      </c>
      <c r="N125" t="s">
        <v>168</v>
      </c>
      <c r="O125" t="s">
        <v>168</v>
      </c>
      <c r="P125" t="s">
        <v>168</v>
      </c>
      <c r="Q125" t="s">
        <v>168</v>
      </c>
      <c r="R125" t="s">
        <v>168</v>
      </c>
      <c r="S125" t="s">
        <v>168</v>
      </c>
      <c r="T125" t="s">
        <v>168</v>
      </c>
      <c r="U125" t="s">
        <v>168</v>
      </c>
      <c r="V125" t="s">
        <v>168</v>
      </c>
      <c r="W125" t="s">
        <v>168</v>
      </c>
      <c r="X125" t="s">
        <v>168</v>
      </c>
      <c r="Y125" t="s">
        <v>168</v>
      </c>
      <c r="Z125">
        <v>2</v>
      </c>
      <c r="AA125">
        <v>1</v>
      </c>
    </row>
    <row r="126" spans="1:27" x14ac:dyDescent="0.25">
      <c r="A126" s="1" t="s">
        <v>10</v>
      </c>
      <c r="B126" s="1" t="s">
        <v>82</v>
      </c>
      <c r="C126" s="6">
        <v>53</v>
      </c>
      <c r="D126" s="33">
        <v>60</v>
      </c>
      <c r="E126" s="34">
        <v>63</v>
      </c>
      <c r="F126" s="36">
        <v>79</v>
      </c>
      <c r="G126" s="36">
        <v>79</v>
      </c>
      <c r="H126" s="36">
        <v>79</v>
      </c>
      <c r="I126" s="36">
        <v>79</v>
      </c>
      <c r="J126" s="35">
        <v>16</v>
      </c>
      <c r="K126" s="52" t="s">
        <v>170</v>
      </c>
      <c r="L126" t="s">
        <v>168</v>
      </c>
      <c r="M126" t="s">
        <v>168</v>
      </c>
      <c r="N126" t="s">
        <v>168</v>
      </c>
      <c r="O126" t="s">
        <v>168</v>
      </c>
      <c r="P126" t="s">
        <v>168</v>
      </c>
      <c r="Q126" t="s">
        <v>168</v>
      </c>
      <c r="R126" t="s">
        <v>168</v>
      </c>
      <c r="S126" t="s">
        <v>168</v>
      </c>
      <c r="T126" t="s">
        <v>168</v>
      </c>
      <c r="U126" t="s">
        <v>168</v>
      </c>
      <c r="V126" t="s">
        <v>168</v>
      </c>
      <c r="W126" t="s">
        <v>168</v>
      </c>
      <c r="X126" t="s">
        <v>168</v>
      </c>
      <c r="Y126" t="s">
        <v>168</v>
      </c>
      <c r="Z126">
        <v>2</v>
      </c>
      <c r="AA126">
        <v>1</v>
      </c>
    </row>
    <row r="127" spans="1:27" x14ac:dyDescent="0.25">
      <c r="A127" s="1" t="s">
        <v>10</v>
      </c>
      <c r="B127" s="1" t="s">
        <v>20</v>
      </c>
      <c r="C127" s="6">
        <v>46</v>
      </c>
      <c r="D127" s="33">
        <v>67</v>
      </c>
      <c r="E127" s="34">
        <v>69</v>
      </c>
      <c r="F127" s="36">
        <v>81</v>
      </c>
      <c r="G127" s="36">
        <v>88</v>
      </c>
      <c r="H127" s="36">
        <v>90</v>
      </c>
      <c r="I127" s="36">
        <v>91</v>
      </c>
      <c r="J127" s="35">
        <v>8</v>
      </c>
      <c r="K127" s="52" t="s">
        <v>170</v>
      </c>
      <c r="L127" t="s">
        <v>168</v>
      </c>
      <c r="M127" t="s">
        <v>168</v>
      </c>
      <c r="N127" t="s">
        <v>168</v>
      </c>
      <c r="O127" t="s">
        <v>168</v>
      </c>
      <c r="P127" t="s">
        <v>168</v>
      </c>
      <c r="Q127" t="s">
        <v>168</v>
      </c>
      <c r="R127" t="s">
        <v>168</v>
      </c>
      <c r="S127" t="s">
        <v>168</v>
      </c>
      <c r="T127" t="s">
        <v>168</v>
      </c>
      <c r="U127" t="s">
        <v>168</v>
      </c>
      <c r="V127" t="s">
        <v>168</v>
      </c>
      <c r="W127" t="s">
        <v>168</v>
      </c>
      <c r="X127" t="s">
        <v>168</v>
      </c>
      <c r="Y127" t="s">
        <v>168</v>
      </c>
      <c r="Z127">
        <v>2</v>
      </c>
      <c r="AA127">
        <v>1</v>
      </c>
    </row>
    <row r="128" spans="1:27" x14ac:dyDescent="0.25">
      <c r="A128" s="1" t="s">
        <v>10</v>
      </c>
      <c r="B128" s="1" t="s">
        <v>51</v>
      </c>
      <c r="C128" s="6">
        <v>60</v>
      </c>
      <c r="D128" s="33">
        <v>90</v>
      </c>
      <c r="E128" s="34">
        <v>90</v>
      </c>
      <c r="F128" s="36">
        <v>143</v>
      </c>
      <c r="G128" s="36">
        <v>143</v>
      </c>
      <c r="H128" s="36">
        <v>143</v>
      </c>
      <c r="I128" s="36">
        <v>143</v>
      </c>
      <c r="J128" s="35">
        <v>4</v>
      </c>
      <c r="K128" s="52" t="s">
        <v>170</v>
      </c>
      <c r="L128" t="s">
        <v>168</v>
      </c>
      <c r="M128" t="s">
        <v>168</v>
      </c>
      <c r="N128" t="s">
        <v>168</v>
      </c>
      <c r="O128" t="s">
        <v>168</v>
      </c>
      <c r="P128" t="s">
        <v>168</v>
      </c>
      <c r="Q128" t="s">
        <v>168</v>
      </c>
      <c r="R128" t="s">
        <v>168</v>
      </c>
      <c r="S128" t="s">
        <v>168</v>
      </c>
      <c r="T128" t="s">
        <v>168</v>
      </c>
      <c r="U128" t="s">
        <v>168</v>
      </c>
      <c r="V128" t="s">
        <v>168</v>
      </c>
      <c r="W128" t="s">
        <v>168</v>
      </c>
      <c r="X128" t="s">
        <v>168</v>
      </c>
      <c r="Y128" t="s">
        <v>168</v>
      </c>
      <c r="Z128">
        <v>2</v>
      </c>
      <c r="AA128">
        <v>1</v>
      </c>
    </row>
    <row r="129" spans="1:27" x14ac:dyDescent="0.25">
      <c r="A129" s="1" t="s">
        <v>10</v>
      </c>
      <c r="B129" s="1" t="s">
        <v>21</v>
      </c>
      <c r="C129" s="6">
        <v>52</v>
      </c>
      <c r="D129" s="33">
        <v>67</v>
      </c>
      <c r="E129" s="34">
        <v>67</v>
      </c>
      <c r="F129" s="36">
        <v>77</v>
      </c>
      <c r="G129" s="36">
        <v>77</v>
      </c>
      <c r="H129" s="36">
        <v>79</v>
      </c>
      <c r="I129" s="36">
        <v>79</v>
      </c>
      <c r="J129" s="35">
        <v>16</v>
      </c>
      <c r="K129" s="52" t="s">
        <v>170</v>
      </c>
      <c r="L129" t="s">
        <v>168</v>
      </c>
      <c r="M129" t="s">
        <v>168</v>
      </c>
      <c r="N129" t="s">
        <v>168</v>
      </c>
      <c r="O129" t="s">
        <v>168</v>
      </c>
      <c r="P129" t="s">
        <v>168</v>
      </c>
      <c r="Q129" t="s">
        <v>168</v>
      </c>
      <c r="R129" t="s">
        <v>168</v>
      </c>
      <c r="S129" t="s">
        <v>168</v>
      </c>
      <c r="T129" t="s">
        <v>168</v>
      </c>
      <c r="U129" t="s">
        <v>168</v>
      </c>
      <c r="V129" t="s">
        <v>168</v>
      </c>
      <c r="W129" t="s">
        <v>168</v>
      </c>
      <c r="X129" t="s">
        <v>168</v>
      </c>
      <c r="Y129" t="s">
        <v>168</v>
      </c>
      <c r="Z129">
        <v>2</v>
      </c>
      <c r="AA129">
        <v>1</v>
      </c>
    </row>
    <row r="130" spans="1:27" x14ac:dyDescent="0.25">
      <c r="A130" s="1" t="s">
        <v>10</v>
      </c>
      <c r="B130" s="1" t="s">
        <v>52</v>
      </c>
      <c r="C130" s="6">
        <v>62</v>
      </c>
      <c r="D130" s="33">
        <v>79</v>
      </c>
      <c r="E130" s="34">
        <v>80</v>
      </c>
      <c r="F130" s="36">
        <v>95</v>
      </c>
      <c r="G130" s="36">
        <v>95</v>
      </c>
      <c r="H130" s="36">
        <v>97</v>
      </c>
      <c r="I130" s="36">
        <v>101</v>
      </c>
      <c r="J130" s="35">
        <v>6</v>
      </c>
      <c r="K130" s="52" t="s">
        <v>170</v>
      </c>
      <c r="L130" t="s">
        <v>168</v>
      </c>
      <c r="M130" t="s">
        <v>168</v>
      </c>
      <c r="N130" t="s">
        <v>168</v>
      </c>
      <c r="O130" t="s">
        <v>168</v>
      </c>
      <c r="P130" t="s">
        <v>168</v>
      </c>
      <c r="Q130" t="s">
        <v>168</v>
      </c>
      <c r="R130" t="s">
        <v>168</v>
      </c>
      <c r="S130" t="s">
        <v>168</v>
      </c>
      <c r="T130" t="s">
        <v>168</v>
      </c>
      <c r="U130" t="s">
        <v>168</v>
      </c>
      <c r="V130" t="s">
        <v>168</v>
      </c>
      <c r="W130" t="s">
        <v>168</v>
      </c>
      <c r="X130" t="s">
        <v>168</v>
      </c>
      <c r="Y130" t="s">
        <v>168</v>
      </c>
      <c r="Z130">
        <v>2</v>
      </c>
      <c r="AA130">
        <v>1</v>
      </c>
    </row>
    <row r="131" spans="1:27" x14ac:dyDescent="0.25">
      <c r="A131" s="1" t="s">
        <v>10</v>
      </c>
      <c r="B131" s="1" t="s">
        <v>22</v>
      </c>
      <c r="C131" s="6">
        <v>49</v>
      </c>
      <c r="D131" s="33">
        <v>70</v>
      </c>
      <c r="E131" s="34">
        <v>73</v>
      </c>
      <c r="F131" s="36">
        <v>94</v>
      </c>
      <c r="G131" s="36">
        <v>95</v>
      </c>
      <c r="H131" s="36">
        <v>100</v>
      </c>
      <c r="I131" s="36">
        <v>100</v>
      </c>
      <c r="J131" s="35">
        <v>6</v>
      </c>
      <c r="K131" s="52" t="s">
        <v>170</v>
      </c>
      <c r="L131" t="s">
        <v>168</v>
      </c>
      <c r="M131" t="s">
        <v>168</v>
      </c>
      <c r="N131" t="s">
        <v>168</v>
      </c>
      <c r="O131" t="s">
        <v>168</v>
      </c>
      <c r="P131" t="s">
        <v>168</v>
      </c>
      <c r="Q131" t="s">
        <v>168</v>
      </c>
      <c r="R131" t="s">
        <v>168</v>
      </c>
      <c r="S131" t="s">
        <v>168</v>
      </c>
      <c r="T131" t="s">
        <v>168</v>
      </c>
      <c r="U131" t="s">
        <v>168</v>
      </c>
      <c r="V131" t="s">
        <v>168</v>
      </c>
      <c r="W131" t="s">
        <v>168</v>
      </c>
      <c r="X131" t="s">
        <v>168</v>
      </c>
      <c r="Y131" t="s">
        <v>168</v>
      </c>
      <c r="Z131">
        <v>2</v>
      </c>
      <c r="AA131">
        <v>1</v>
      </c>
    </row>
    <row r="132" spans="1:27" x14ac:dyDescent="0.25">
      <c r="A132" s="1" t="s">
        <v>10</v>
      </c>
      <c r="B132" s="1" t="s">
        <v>54</v>
      </c>
      <c r="C132" s="6">
        <v>56</v>
      </c>
      <c r="D132" s="33">
        <v>79</v>
      </c>
      <c r="E132" s="34">
        <v>79</v>
      </c>
      <c r="F132" s="36">
        <v>102</v>
      </c>
      <c r="G132" s="36">
        <v>102</v>
      </c>
      <c r="H132" s="36">
        <v>105</v>
      </c>
      <c r="I132" s="36">
        <v>109</v>
      </c>
      <c r="J132" s="35">
        <v>4</v>
      </c>
      <c r="K132" s="52" t="s">
        <v>170</v>
      </c>
      <c r="L132" t="s">
        <v>168</v>
      </c>
      <c r="M132" t="s">
        <v>168</v>
      </c>
      <c r="N132" t="s">
        <v>168</v>
      </c>
      <c r="O132" t="s">
        <v>168</v>
      </c>
      <c r="P132" t="s">
        <v>168</v>
      </c>
      <c r="Q132" t="s">
        <v>168</v>
      </c>
      <c r="R132" t="s">
        <v>168</v>
      </c>
      <c r="S132" t="s">
        <v>168</v>
      </c>
      <c r="T132" t="s">
        <v>168</v>
      </c>
      <c r="U132" t="s">
        <v>168</v>
      </c>
      <c r="V132" t="s">
        <v>168</v>
      </c>
      <c r="W132" t="s">
        <v>168</v>
      </c>
      <c r="X132" t="s">
        <v>168</v>
      </c>
      <c r="Y132" t="s">
        <v>168</v>
      </c>
      <c r="Z132">
        <v>2</v>
      </c>
      <c r="AA132">
        <v>1</v>
      </c>
    </row>
    <row r="133" spans="1:27" x14ac:dyDescent="0.25">
      <c r="A133" s="1" t="s">
        <v>10</v>
      </c>
      <c r="B133" s="1" t="s">
        <v>24</v>
      </c>
      <c r="C133" s="6">
        <v>58</v>
      </c>
      <c r="D133" s="33" t="s">
        <v>168</v>
      </c>
      <c r="E133" s="34" t="s">
        <v>168</v>
      </c>
      <c r="F133" s="36">
        <v>102</v>
      </c>
      <c r="G133" s="36">
        <v>102</v>
      </c>
      <c r="H133" s="36">
        <v>104</v>
      </c>
      <c r="I133" s="36">
        <v>112</v>
      </c>
      <c r="J133" s="35">
        <v>6</v>
      </c>
      <c r="K133" s="52" t="s">
        <v>170</v>
      </c>
      <c r="L133" t="s">
        <v>168</v>
      </c>
      <c r="M133" t="s">
        <v>168</v>
      </c>
      <c r="N133" t="s">
        <v>168</v>
      </c>
      <c r="O133" t="s">
        <v>168</v>
      </c>
      <c r="P133" t="s">
        <v>168</v>
      </c>
      <c r="Q133" t="s">
        <v>168</v>
      </c>
      <c r="R133" t="s">
        <v>168</v>
      </c>
      <c r="S133" t="s">
        <v>168</v>
      </c>
      <c r="T133" t="s">
        <v>168</v>
      </c>
      <c r="U133" t="s">
        <v>168</v>
      </c>
      <c r="V133" t="s">
        <v>168</v>
      </c>
      <c r="W133" t="s">
        <v>168</v>
      </c>
      <c r="X133" t="s">
        <v>168</v>
      </c>
      <c r="Y133" t="s">
        <v>168</v>
      </c>
      <c r="Z133">
        <v>2</v>
      </c>
      <c r="AA133">
        <v>1</v>
      </c>
    </row>
    <row r="134" spans="1:27" x14ac:dyDescent="0.25">
      <c r="A134" s="1" t="s">
        <v>10</v>
      </c>
      <c r="B134" s="1" t="s">
        <v>25</v>
      </c>
      <c r="C134" s="6">
        <v>42</v>
      </c>
      <c r="D134" s="33">
        <v>71</v>
      </c>
      <c r="E134" s="34">
        <v>71</v>
      </c>
      <c r="F134" s="36">
        <v>101</v>
      </c>
      <c r="G134" s="36">
        <v>101</v>
      </c>
      <c r="H134" s="36">
        <v>121</v>
      </c>
      <c r="I134" s="36">
        <v>121</v>
      </c>
      <c r="J134" s="35">
        <v>4</v>
      </c>
      <c r="K134" s="52" t="s">
        <v>170</v>
      </c>
      <c r="L134" t="s">
        <v>168</v>
      </c>
      <c r="M134" t="s">
        <v>168</v>
      </c>
      <c r="N134" t="s">
        <v>168</v>
      </c>
      <c r="O134" t="s">
        <v>168</v>
      </c>
      <c r="P134" t="s">
        <v>168</v>
      </c>
      <c r="Q134" t="s">
        <v>168</v>
      </c>
      <c r="R134" t="s">
        <v>168</v>
      </c>
      <c r="S134" t="s">
        <v>168</v>
      </c>
      <c r="T134" t="s">
        <v>168</v>
      </c>
      <c r="U134" t="s">
        <v>168</v>
      </c>
      <c r="V134" t="s">
        <v>168</v>
      </c>
      <c r="W134" t="s">
        <v>168</v>
      </c>
      <c r="X134" t="s">
        <v>168</v>
      </c>
      <c r="Y134" t="s">
        <v>168</v>
      </c>
      <c r="Z134">
        <v>2</v>
      </c>
      <c r="AA134">
        <v>1</v>
      </c>
    </row>
    <row r="135" spans="1:27" x14ac:dyDescent="0.25">
      <c r="A135" s="1" t="s">
        <v>10</v>
      </c>
      <c r="B135" s="1" t="s">
        <v>26</v>
      </c>
      <c r="C135" s="6">
        <v>48</v>
      </c>
      <c r="D135" s="33">
        <v>67</v>
      </c>
      <c r="E135" s="34">
        <v>67</v>
      </c>
      <c r="F135" s="36">
        <v>92</v>
      </c>
      <c r="G135" s="36">
        <v>92</v>
      </c>
      <c r="H135" s="36">
        <v>96</v>
      </c>
      <c r="I135" s="36">
        <v>98</v>
      </c>
      <c r="J135" s="35">
        <v>7</v>
      </c>
      <c r="K135" s="52" t="s">
        <v>170</v>
      </c>
      <c r="L135" t="s">
        <v>168</v>
      </c>
      <c r="M135" t="s">
        <v>168</v>
      </c>
      <c r="N135" t="s">
        <v>168</v>
      </c>
      <c r="O135" t="s">
        <v>168</v>
      </c>
      <c r="P135" t="s">
        <v>168</v>
      </c>
      <c r="Q135" t="s">
        <v>168</v>
      </c>
      <c r="R135" t="s">
        <v>168</v>
      </c>
      <c r="S135" t="s">
        <v>168</v>
      </c>
      <c r="T135" t="s">
        <v>168</v>
      </c>
      <c r="U135" t="s">
        <v>168</v>
      </c>
      <c r="V135" t="s">
        <v>168</v>
      </c>
      <c r="W135" t="s">
        <v>168</v>
      </c>
      <c r="X135" t="s">
        <v>168</v>
      </c>
      <c r="Y135" t="s">
        <v>168</v>
      </c>
      <c r="Z135">
        <v>2</v>
      </c>
      <c r="AA135">
        <v>1</v>
      </c>
    </row>
    <row r="136" spans="1:27" x14ac:dyDescent="0.25">
      <c r="A136" s="1" t="s">
        <v>10</v>
      </c>
      <c r="B136" s="1" t="s">
        <v>56</v>
      </c>
      <c r="C136" s="6">
        <v>53</v>
      </c>
      <c r="D136" s="33">
        <v>79</v>
      </c>
      <c r="E136" s="34">
        <v>79</v>
      </c>
      <c r="F136" s="36">
        <v>107</v>
      </c>
      <c r="G136" s="36">
        <v>107</v>
      </c>
      <c r="H136" s="36">
        <v>107</v>
      </c>
      <c r="I136" s="36">
        <v>107</v>
      </c>
      <c r="J136" s="35">
        <v>4</v>
      </c>
      <c r="K136" s="52" t="s">
        <v>170</v>
      </c>
      <c r="L136" t="s">
        <v>168</v>
      </c>
      <c r="M136" t="s">
        <v>168</v>
      </c>
      <c r="N136" t="s">
        <v>168</v>
      </c>
      <c r="O136" t="s">
        <v>168</v>
      </c>
      <c r="P136" t="s">
        <v>168</v>
      </c>
      <c r="Q136" t="s">
        <v>168</v>
      </c>
      <c r="R136" t="s">
        <v>168</v>
      </c>
      <c r="S136" t="s">
        <v>168</v>
      </c>
      <c r="T136" t="s">
        <v>168</v>
      </c>
      <c r="U136" t="s">
        <v>168</v>
      </c>
      <c r="V136" t="s">
        <v>168</v>
      </c>
      <c r="W136" t="s">
        <v>168</v>
      </c>
      <c r="X136" t="s">
        <v>168</v>
      </c>
      <c r="Y136" t="s">
        <v>168</v>
      </c>
      <c r="Z136">
        <v>2</v>
      </c>
      <c r="AA136">
        <v>1</v>
      </c>
    </row>
    <row r="137" spans="1:27" x14ac:dyDescent="0.25">
      <c r="A137" s="1" t="s">
        <v>10</v>
      </c>
      <c r="B137" s="1" t="s">
        <v>30</v>
      </c>
      <c r="C137" s="6">
        <v>52</v>
      </c>
      <c r="D137" s="33">
        <v>73</v>
      </c>
      <c r="E137" s="34">
        <v>76</v>
      </c>
      <c r="F137" s="36">
        <v>90</v>
      </c>
      <c r="G137" s="36">
        <v>96</v>
      </c>
      <c r="H137" s="36">
        <v>100</v>
      </c>
      <c r="I137" s="36">
        <v>103</v>
      </c>
      <c r="J137" s="35">
        <v>6</v>
      </c>
      <c r="K137" s="52" t="s">
        <v>170</v>
      </c>
      <c r="L137" t="s">
        <v>168</v>
      </c>
      <c r="M137" t="s">
        <v>168</v>
      </c>
      <c r="N137" t="s">
        <v>168</v>
      </c>
      <c r="O137" t="s">
        <v>168</v>
      </c>
      <c r="P137" t="s">
        <v>168</v>
      </c>
      <c r="Q137" t="s">
        <v>168</v>
      </c>
      <c r="R137" t="s">
        <v>168</v>
      </c>
      <c r="S137" t="s">
        <v>168</v>
      </c>
      <c r="T137" t="s">
        <v>168</v>
      </c>
      <c r="U137" t="s">
        <v>168</v>
      </c>
      <c r="V137" t="s">
        <v>168</v>
      </c>
      <c r="W137" t="s">
        <v>168</v>
      </c>
      <c r="X137" t="s">
        <v>168</v>
      </c>
      <c r="Y137" t="s">
        <v>168</v>
      </c>
      <c r="Z137">
        <v>2</v>
      </c>
      <c r="AA137">
        <v>1</v>
      </c>
    </row>
    <row r="138" spans="1:27" x14ac:dyDescent="0.25">
      <c r="A138" s="1" t="s">
        <v>10</v>
      </c>
      <c r="B138" s="1" t="s">
        <v>31</v>
      </c>
      <c r="C138" s="6">
        <v>45</v>
      </c>
      <c r="D138" s="33">
        <v>63</v>
      </c>
      <c r="E138" s="34">
        <v>64</v>
      </c>
      <c r="F138" s="36">
        <v>79</v>
      </c>
      <c r="G138" s="36">
        <v>79</v>
      </c>
      <c r="H138" s="36">
        <v>82</v>
      </c>
      <c r="I138" s="36">
        <v>85</v>
      </c>
      <c r="J138" s="35">
        <v>11</v>
      </c>
      <c r="K138" s="52" t="s">
        <v>170</v>
      </c>
      <c r="L138" t="s">
        <v>168</v>
      </c>
      <c r="M138" t="s">
        <v>168</v>
      </c>
      <c r="N138" t="s">
        <v>168</v>
      </c>
      <c r="O138" t="s">
        <v>168</v>
      </c>
      <c r="P138" t="s">
        <v>168</v>
      </c>
      <c r="Q138" t="s">
        <v>168</v>
      </c>
      <c r="R138" t="s">
        <v>168</v>
      </c>
      <c r="S138" t="s">
        <v>168</v>
      </c>
      <c r="T138" t="s">
        <v>168</v>
      </c>
      <c r="U138" t="s">
        <v>168</v>
      </c>
      <c r="V138" t="s">
        <v>168</v>
      </c>
      <c r="W138" t="s">
        <v>168</v>
      </c>
      <c r="X138" t="s">
        <v>168</v>
      </c>
      <c r="Y138" t="s">
        <v>168</v>
      </c>
      <c r="Z138">
        <v>2</v>
      </c>
      <c r="AA138">
        <v>1</v>
      </c>
    </row>
    <row r="139" spans="1:27" x14ac:dyDescent="0.25">
      <c r="A139" s="1" t="s">
        <v>10</v>
      </c>
      <c r="B139" s="1" t="s">
        <v>33</v>
      </c>
      <c r="C139" s="6">
        <v>52</v>
      </c>
      <c r="D139" s="33">
        <v>69</v>
      </c>
      <c r="E139" s="34">
        <v>71</v>
      </c>
      <c r="F139" s="36">
        <v>87</v>
      </c>
      <c r="G139" s="36">
        <v>88</v>
      </c>
      <c r="H139" s="36">
        <v>95</v>
      </c>
      <c r="I139" s="36">
        <v>95</v>
      </c>
      <c r="J139" s="35">
        <v>8</v>
      </c>
      <c r="K139" s="52" t="s">
        <v>170</v>
      </c>
      <c r="L139" t="s">
        <v>168</v>
      </c>
      <c r="M139" t="s">
        <v>168</v>
      </c>
      <c r="N139" t="s">
        <v>168</v>
      </c>
      <c r="O139" t="s">
        <v>168</v>
      </c>
      <c r="P139" t="s">
        <v>168</v>
      </c>
      <c r="Q139" t="s">
        <v>168</v>
      </c>
      <c r="R139" t="s">
        <v>168</v>
      </c>
      <c r="S139" t="s">
        <v>168</v>
      </c>
      <c r="T139" t="s">
        <v>168</v>
      </c>
      <c r="U139" t="s">
        <v>168</v>
      </c>
      <c r="V139" t="s">
        <v>168</v>
      </c>
      <c r="W139" t="s">
        <v>168</v>
      </c>
      <c r="X139" t="s">
        <v>168</v>
      </c>
      <c r="Y139" t="s">
        <v>168</v>
      </c>
      <c r="Z139">
        <v>2</v>
      </c>
      <c r="AA139">
        <v>1</v>
      </c>
    </row>
    <row r="140" spans="1:27" x14ac:dyDescent="0.25">
      <c r="A140" s="1" t="s">
        <v>10</v>
      </c>
      <c r="B140" s="1" t="s">
        <v>58</v>
      </c>
      <c r="C140" s="6">
        <v>52</v>
      </c>
      <c r="D140" s="33">
        <v>72</v>
      </c>
      <c r="E140" s="34">
        <v>73</v>
      </c>
      <c r="F140" s="36">
        <v>97</v>
      </c>
      <c r="G140" s="36">
        <v>100</v>
      </c>
      <c r="H140" s="36">
        <v>101</v>
      </c>
      <c r="I140" s="36">
        <v>101</v>
      </c>
      <c r="J140" s="35">
        <v>4</v>
      </c>
      <c r="K140" s="52" t="s">
        <v>170</v>
      </c>
      <c r="L140" t="s">
        <v>168</v>
      </c>
      <c r="M140" t="s">
        <v>168</v>
      </c>
      <c r="N140" t="s">
        <v>168</v>
      </c>
      <c r="O140" t="s">
        <v>168</v>
      </c>
      <c r="P140" t="s">
        <v>168</v>
      </c>
      <c r="Q140" t="s">
        <v>168</v>
      </c>
      <c r="R140" t="s">
        <v>168</v>
      </c>
      <c r="S140" t="s">
        <v>168</v>
      </c>
      <c r="T140" t="s">
        <v>168</v>
      </c>
      <c r="U140" t="s">
        <v>168</v>
      </c>
      <c r="V140" t="s">
        <v>168</v>
      </c>
      <c r="W140" t="s">
        <v>168</v>
      </c>
      <c r="X140" t="s">
        <v>168</v>
      </c>
      <c r="Y140" t="s">
        <v>168</v>
      </c>
      <c r="Z140">
        <v>2</v>
      </c>
      <c r="AA140">
        <v>1</v>
      </c>
    </row>
    <row r="141" spans="1:27" x14ac:dyDescent="0.25">
      <c r="A141" s="1" t="s">
        <v>10</v>
      </c>
      <c r="B141" s="1" t="s">
        <v>84</v>
      </c>
      <c r="C141" s="6">
        <v>47</v>
      </c>
      <c r="D141" s="33">
        <v>72</v>
      </c>
      <c r="E141" s="34">
        <v>72</v>
      </c>
      <c r="F141" s="36">
        <v>83</v>
      </c>
      <c r="G141" s="36">
        <v>84</v>
      </c>
      <c r="H141" s="36">
        <v>85</v>
      </c>
      <c r="I141" s="36">
        <v>85</v>
      </c>
      <c r="J141" s="35">
        <v>8</v>
      </c>
      <c r="K141" s="52" t="s">
        <v>170</v>
      </c>
      <c r="L141" t="s">
        <v>168</v>
      </c>
      <c r="M141" t="s">
        <v>168</v>
      </c>
      <c r="N141" t="s">
        <v>168</v>
      </c>
      <c r="O141" t="s">
        <v>168</v>
      </c>
      <c r="P141" t="s">
        <v>168</v>
      </c>
      <c r="Q141" t="s">
        <v>168</v>
      </c>
      <c r="R141" t="s">
        <v>168</v>
      </c>
      <c r="S141" t="s">
        <v>168</v>
      </c>
      <c r="T141" t="s">
        <v>168</v>
      </c>
      <c r="U141" t="s">
        <v>168</v>
      </c>
      <c r="V141" t="s">
        <v>168</v>
      </c>
      <c r="W141" t="s">
        <v>168</v>
      </c>
      <c r="X141" t="s">
        <v>168</v>
      </c>
      <c r="Y141" t="s">
        <v>168</v>
      </c>
      <c r="Z141">
        <v>2</v>
      </c>
      <c r="AA141">
        <v>1</v>
      </c>
    </row>
    <row r="142" spans="1:27" x14ac:dyDescent="0.25">
      <c r="A142" s="1" t="s">
        <v>10</v>
      </c>
      <c r="B142" s="1" t="s">
        <v>34</v>
      </c>
      <c r="C142" s="6">
        <v>38</v>
      </c>
      <c r="D142" s="33">
        <v>54</v>
      </c>
      <c r="E142" s="34">
        <v>56</v>
      </c>
      <c r="F142" s="36">
        <v>72</v>
      </c>
      <c r="G142" s="36">
        <v>72</v>
      </c>
      <c r="H142" s="36">
        <v>72</v>
      </c>
      <c r="I142" s="36">
        <v>73</v>
      </c>
      <c r="J142" s="35">
        <v>14</v>
      </c>
      <c r="K142" s="52" t="s">
        <v>170</v>
      </c>
      <c r="L142" t="s">
        <v>168</v>
      </c>
      <c r="M142" t="s">
        <v>168</v>
      </c>
      <c r="N142" t="s">
        <v>168</v>
      </c>
      <c r="O142" t="s">
        <v>168</v>
      </c>
      <c r="P142" t="s">
        <v>168</v>
      </c>
      <c r="Q142" t="s">
        <v>168</v>
      </c>
      <c r="R142" t="s">
        <v>168</v>
      </c>
      <c r="S142" t="s">
        <v>168</v>
      </c>
      <c r="T142" t="s">
        <v>168</v>
      </c>
      <c r="U142" t="s">
        <v>168</v>
      </c>
      <c r="V142" t="s">
        <v>168</v>
      </c>
      <c r="W142" t="s">
        <v>168</v>
      </c>
      <c r="X142" t="s">
        <v>168</v>
      </c>
      <c r="Y142" t="s">
        <v>168</v>
      </c>
      <c r="Z142">
        <v>2</v>
      </c>
      <c r="AA142">
        <v>1</v>
      </c>
    </row>
    <row r="143" spans="1:27" x14ac:dyDescent="0.25">
      <c r="A143" s="1" t="s">
        <v>10</v>
      </c>
      <c r="B143" s="1" t="s">
        <v>59</v>
      </c>
      <c r="C143" s="6">
        <v>38</v>
      </c>
      <c r="D143" s="33">
        <v>57</v>
      </c>
      <c r="E143" s="34">
        <v>65</v>
      </c>
      <c r="F143" s="36">
        <v>67</v>
      </c>
      <c r="G143" s="36">
        <v>77</v>
      </c>
      <c r="H143" s="36">
        <v>86</v>
      </c>
      <c r="I143" s="36">
        <v>86</v>
      </c>
      <c r="J143" s="35">
        <v>10</v>
      </c>
      <c r="K143" s="52" t="s">
        <v>170</v>
      </c>
      <c r="L143" t="s">
        <v>168</v>
      </c>
      <c r="M143" t="s">
        <v>168</v>
      </c>
      <c r="N143" t="s">
        <v>168</v>
      </c>
      <c r="O143" t="s">
        <v>168</v>
      </c>
      <c r="P143" t="s">
        <v>168</v>
      </c>
      <c r="Q143" t="s">
        <v>168</v>
      </c>
      <c r="R143" t="s">
        <v>168</v>
      </c>
      <c r="S143" t="s">
        <v>168</v>
      </c>
      <c r="T143" t="s">
        <v>168</v>
      </c>
      <c r="U143" t="s">
        <v>168</v>
      </c>
      <c r="V143" t="s">
        <v>168</v>
      </c>
      <c r="W143" t="s">
        <v>168</v>
      </c>
      <c r="X143" t="s">
        <v>168</v>
      </c>
      <c r="Y143" t="s">
        <v>168</v>
      </c>
      <c r="Z143">
        <v>2</v>
      </c>
      <c r="AA143">
        <v>1</v>
      </c>
    </row>
    <row r="144" spans="1:27" x14ac:dyDescent="0.25">
      <c r="A144" s="1" t="s">
        <v>10</v>
      </c>
      <c r="B144" s="1" t="s">
        <v>60</v>
      </c>
      <c r="C144" s="6">
        <v>45</v>
      </c>
      <c r="D144" s="33">
        <v>63</v>
      </c>
      <c r="E144" s="34">
        <v>67</v>
      </c>
      <c r="F144" s="36">
        <v>87</v>
      </c>
      <c r="G144" s="36">
        <v>90</v>
      </c>
      <c r="H144" s="36">
        <v>104</v>
      </c>
      <c r="I144" s="36">
        <v>104</v>
      </c>
      <c r="J144" s="35">
        <v>6</v>
      </c>
      <c r="K144" s="52" t="s">
        <v>170</v>
      </c>
      <c r="L144" t="s">
        <v>168</v>
      </c>
      <c r="M144" t="s">
        <v>168</v>
      </c>
      <c r="N144" t="s">
        <v>168</v>
      </c>
      <c r="O144" t="s">
        <v>168</v>
      </c>
      <c r="P144" t="s">
        <v>168</v>
      </c>
      <c r="Q144" t="s">
        <v>168</v>
      </c>
      <c r="R144" t="s">
        <v>168</v>
      </c>
      <c r="S144" t="s">
        <v>168</v>
      </c>
      <c r="T144" t="s">
        <v>168</v>
      </c>
      <c r="U144" t="s">
        <v>168</v>
      </c>
      <c r="V144" t="s">
        <v>168</v>
      </c>
      <c r="W144" t="s">
        <v>168</v>
      </c>
      <c r="X144" t="s">
        <v>168</v>
      </c>
      <c r="Y144" t="s">
        <v>168</v>
      </c>
      <c r="Z144">
        <v>2</v>
      </c>
      <c r="AA144">
        <v>1</v>
      </c>
    </row>
    <row r="145" spans="1:27" x14ac:dyDescent="0.25">
      <c r="A145" s="1" t="s">
        <v>10</v>
      </c>
      <c r="B145" s="1" t="s">
        <v>96</v>
      </c>
      <c r="C145" s="6">
        <v>46</v>
      </c>
      <c r="D145" s="33">
        <v>59</v>
      </c>
      <c r="E145" s="34">
        <v>59</v>
      </c>
      <c r="F145" s="36">
        <v>75</v>
      </c>
      <c r="G145" s="36">
        <v>75</v>
      </c>
      <c r="H145" s="36">
        <v>77</v>
      </c>
      <c r="I145" s="36">
        <v>78</v>
      </c>
      <c r="J145" s="35">
        <v>13</v>
      </c>
      <c r="K145" s="52" t="s">
        <v>170</v>
      </c>
      <c r="L145" t="s">
        <v>168</v>
      </c>
      <c r="M145" t="s">
        <v>168</v>
      </c>
      <c r="N145" t="s">
        <v>168</v>
      </c>
      <c r="O145" t="s">
        <v>168</v>
      </c>
      <c r="P145" t="s">
        <v>168</v>
      </c>
      <c r="Q145" t="s">
        <v>168</v>
      </c>
      <c r="R145" t="s">
        <v>168</v>
      </c>
      <c r="S145" t="s">
        <v>168</v>
      </c>
      <c r="T145" t="s">
        <v>168</v>
      </c>
      <c r="U145" t="s">
        <v>168</v>
      </c>
      <c r="V145" t="s">
        <v>168</v>
      </c>
      <c r="W145" t="s">
        <v>168</v>
      </c>
      <c r="X145" t="s">
        <v>168</v>
      </c>
      <c r="Y145" t="s">
        <v>168</v>
      </c>
      <c r="Z145">
        <v>2</v>
      </c>
      <c r="AA145">
        <v>1</v>
      </c>
    </row>
    <row r="146" spans="1:27" x14ac:dyDescent="0.25">
      <c r="A146" s="1" t="s">
        <v>10</v>
      </c>
      <c r="B146" s="1" t="s">
        <v>61</v>
      </c>
      <c r="C146" s="6">
        <v>44</v>
      </c>
      <c r="D146" s="33">
        <v>61</v>
      </c>
      <c r="E146" s="34">
        <v>62</v>
      </c>
      <c r="F146" s="36">
        <v>75</v>
      </c>
      <c r="G146" s="36">
        <v>77</v>
      </c>
      <c r="H146" s="36">
        <v>79</v>
      </c>
      <c r="I146" s="36">
        <v>81</v>
      </c>
      <c r="J146" s="35">
        <v>15</v>
      </c>
      <c r="K146" s="52" t="s">
        <v>170</v>
      </c>
      <c r="L146" t="s">
        <v>168</v>
      </c>
      <c r="M146" t="s">
        <v>168</v>
      </c>
      <c r="N146" t="s">
        <v>168</v>
      </c>
      <c r="O146" t="s">
        <v>168</v>
      </c>
      <c r="P146" t="s">
        <v>168</v>
      </c>
      <c r="Q146" t="s">
        <v>168</v>
      </c>
      <c r="R146" t="s">
        <v>168</v>
      </c>
      <c r="S146" t="s">
        <v>168</v>
      </c>
      <c r="T146" t="s">
        <v>168</v>
      </c>
      <c r="U146" t="s">
        <v>168</v>
      </c>
      <c r="V146" t="s">
        <v>168</v>
      </c>
      <c r="W146" t="s">
        <v>168</v>
      </c>
      <c r="X146" t="s">
        <v>168</v>
      </c>
      <c r="Y146" t="s">
        <v>168</v>
      </c>
      <c r="Z146">
        <v>2</v>
      </c>
      <c r="AA146">
        <v>1</v>
      </c>
    </row>
    <row r="147" spans="1:27" x14ac:dyDescent="0.25">
      <c r="A147" s="1" t="s">
        <v>10</v>
      </c>
      <c r="B147" s="1" t="s">
        <v>86</v>
      </c>
      <c r="C147" s="6">
        <v>60</v>
      </c>
      <c r="D147" s="33">
        <v>78</v>
      </c>
      <c r="E147" s="34">
        <v>78</v>
      </c>
      <c r="F147" s="36">
        <v>95</v>
      </c>
      <c r="G147" s="36">
        <v>95</v>
      </c>
      <c r="H147" s="36">
        <v>97</v>
      </c>
      <c r="I147" s="36">
        <v>105</v>
      </c>
      <c r="J147" s="35">
        <v>6</v>
      </c>
      <c r="K147" s="52" t="s">
        <v>170</v>
      </c>
      <c r="L147" t="s">
        <v>168</v>
      </c>
      <c r="M147" t="s">
        <v>168</v>
      </c>
      <c r="N147" t="s">
        <v>168</v>
      </c>
      <c r="O147" t="s">
        <v>168</v>
      </c>
      <c r="P147" t="s">
        <v>168</v>
      </c>
      <c r="Q147" t="s">
        <v>168</v>
      </c>
      <c r="R147" t="s">
        <v>168</v>
      </c>
      <c r="S147" t="s">
        <v>168</v>
      </c>
      <c r="T147" t="s">
        <v>168</v>
      </c>
      <c r="U147" t="s">
        <v>168</v>
      </c>
      <c r="V147" t="s">
        <v>168</v>
      </c>
      <c r="W147" t="s">
        <v>168</v>
      </c>
      <c r="X147" t="s">
        <v>168</v>
      </c>
      <c r="Y147" t="s">
        <v>168</v>
      </c>
      <c r="Z147">
        <v>2</v>
      </c>
      <c r="AA147">
        <v>1</v>
      </c>
    </row>
    <row r="148" spans="1:27" x14ac:dyDescent="0.25">
      <c r="A148" s="1" t="s">
        <v>10</v>
      </c>
      <c r="B148" s="1" t="s">
        <v>63</v>
      </c>
      <c r="C148" s="6">
        <v>52</v>
      </c>
      <c r="D148" s="33">
        <v>69</v>
      </c>
      <c r="E148" s="34">
        <v>71</v>
      </c>
      <c r="F148" s="36">
        <v>92</v>
      </c>
      <c r="G148" s="36">
        <v>97</v>
      </c>
      <c r="H148" s="36">
        <v>98</v>
      </c>
      <c r="I148" s="36">
        <v>98</v>
      </c>
      <c r="J148" s="35">
        <v>5</v>
      </c>
      <c r="K148" s="52" t="s">
        <v>170</v>
      </c>
      <c r="L148" t="s">
        <v>168</v>
      </c>
      <c r="M148" t="s">
        <v>168</v>
      </c>
      <c r="N148" t="s">
        <v>168</v>
      </c>
      <c r="O148" t="s">
        <v>168</v>
      </c>
      <c r="P148" t="s">
        <v>168</v>
      </c>
      <c r="Q148" t="s">
        <v>168</v>
      </c>
      <c r="R148" t="s">
        <v>168</v>
      </c>
      <c r="S148" t="s">
        <v>168</v>
      </c>
      <c r="T148" t="s">
        <v>168</v>
      </c>
      <c r="U148" t="s">
        <v>168</v>
      </c>
      <c r="V148" t="s">
        <v>168</v>
      </c>
      <c r="W148" t="s">
        <v>168</v>
      </c>
      <c r="X148" t="s">
        <v>168</v>
      </c>
      <c r="Y148" t="s">
        <v>168</v>
      </c>
      <c r="Z148">
        <v>2</v>
      </c>
      <c r="AA148">
        <v>1</v>
      </c>
    </row>
    <row r="149" spans="1:27" x14ac:dyDescent="0.25">
      <c r="A149" s="1" t="s">
        <v>10</v>
      </c>
      <c r="B149" s="1" t="s">
        <v>78</v>
      </c>
      <c r="C149" s="6">
        <v>58</v>
      </c>
      <c r="D149" s="33">
        <v>77</v>
      </c>
      <c r="E149" s="34">
        <v>78</v>
      </c>
      <c r="F149" s="36">
        <v>102</v>
      </c>
      <c r="G149" s="36">
        <v>105</v>
      </c>
      <c r="H149" s="36">
        <v>106</v>
      </c>
      <c r="I149" s="36">
        <v>111</v>
      </c>
      <c r="J149" s="35">
        <v>4</v>
      </c>
      <c r="K149" s="52" t="s">
        <v>170</v>
      </c>
      <c r="L149" t="s">
        <v>168</v>
      </c>
      <c r="M149" t="s">
        <v>168</v>
      </c>
      <c r="N149" t="s">
        <v>168</v>
      </c>
      <c r="O149" t="s">
        <v>168</v>
      </c>
      <c r="P149" t="s">
        <v>168</v>
      </c>
      <c r="Q149" t="s">
        <v>168</v>
      </c>
      <c r="R149" t="s">
        <v>168</v>
      </c>
      <c r="S149" t="s">
        <v>168</v>
      </c>
      <c r="T149" t="s">
        <v>168</v>
      </c>
      <c r="U149" t="s">
        <v>168</v>
      </c>
      <c r="V149" t="s">
        <v>168</v>
      </c>
      <c r="W149" t="s">
        <v>168</v>
      </c>
      <c r="X149" t="s">
        <v>168</v>
      </c>
      <c r="Y149" t="s">
        <v>168</v>
      </c>
      <c r="Z149">
        <v>2</v>
      </c>
      <c r="AA149">
        <v>1</v>
      </c>
    </row>
    <row r="150" spans="1:27" x14ac:dyDescent="0.25">
      <c r="A150" s="1" t="s">
        <v>10</v>
      </c>
      <c r="B150" s="1" t="s">
        <v>37</v>
      </c>
      <c r="C150" s="6">
        <v>42</v>
      </c>
      <c r="D150" s="33">
        <v>60</v>
      </c>
      <c r="E150" s="34">
        <v>62</v>
      </c>
      <c r="F150" s="36">
        <v>79</v>
      </c>
      <c r="G150" s="36">
        <v>80</v>
      </c>
      <c r="H150" s="36">
        <v>80</v>
      </c>
      <c r="I150" s="36">
        <v>83</v>
      </c>
      <c r="J150" s="35">
        <v>8</v>
      </c>
      <c r="K150" s="52" t="s">
        <v>170</v>
      </c>
      <c r="L150" t="s">
        <v>168</v>
      </c>
      <c r="M150" t="s">
        <v>168</v>
      </c>
      <c r="N150" t="s">
        <v>168</v>
      </c>
      <c r="O150" t="s">
        <v>168</v>
      </c>
      <c r="P150" t="s">
        <v>168</v>
      </c>
      <c r="Q150" t="s">
        <v>168</v>
      </c>
      <c r="R150" t="s">
        <v>168</v>
      </c>
      <c r="S150" t="s">
        <v>168</v>
      </c>
      <c r="T150" t="s">
        <v>168</v>
      </c>
      <c r="U150" t="s">
        <v>168</v>
      </c>
      <c r="V150" t="s">
        <v>168</v>
      </c>
      <c r="W150" t="s">
        <v>168</v>
      </c>
      <c r="X150" t="s">
        <v>168</v>
      </c>
      <c r="Y150" t="s">
        <v>168</v>
      </c>
      <c r="Z150">
        <v>2</v>
      </c>
      <c r="AA150">
        <v>1</v>
      </c>
    </row>
    <row r="151" spans="1:27" x14ac:dyDescent="0.25">
      <c r="A151" s="1" t="s">
        <v>10</v>
      </c>
      <c r="B151" s="1" t="s">
        <v>64</v>
      </c>
      <c r="C151" s="6">
        <v>60</v>
      </c>
      <c r="D151" s="33">
        <v>78</v>
      </c>
      <c r="E151" s="34">
        <v>78</v>
      </c>
      <c r="F151" s="36">
        <v>98</v>
      </c>
      <c r="G151" s="36">
        <v>100</v>
      </c>
      <c r="H151" s="36">
        <v>104</v>
      </c>
      <c r="I151" s="36">
        <v>104</v>
      </c>
      <c r="J151" s="35">
        <v>4</v>
      </c>
      <c r="K151" s="52" t="s">
        <v>170</v>
      </c>
      <c r="L151" t="s">
        <v>168</v>
      </c>
      <c r="M151" t="s">
        <v>168</v>
      </c>
      <c r="N151" t="s">
        <v>168</v>
      </c>
      <c r="O151" t="s">
        <v>168</v>
      </c>
      <c r="P151" t="s">
        <v>168</v>
      </c>
      <c r="Q151" t="s">
        <v>168</v>
      </c>
      <c r="R151" t="s">
        <v>168</v>
      </c>
      <c r="S151" t="s">
        <v>168</v>
      </c>
      <c r="T151" t="s">
        <v>168</v>
      </c>
      <c r="U151" t="s">
        <v>168</v>
      </c>
      <c r="V151" t="s">
        <v>168</v>
      </c>
      <c r="W151" t="s">
        <v>168</v>
      </c>
      <c r="X151" t="s">
        <v>168</v>
      </c>
      <c r="Y151" t="s">
        <v>168</v>
      </c>
      <c r="Z151">
        <v>2</v>
      </c>
      <c r="AA151">
        <v>1</v>
      </c>
    </row>
    <row r="152" spans="1:27" x14ac:dyDescent="0.25">
      <c r="A152" s="1" t="s">
        <v>10</v>
      </c>
      <c r="B152" s="1" t="s">
        <v>38</v>
      </c>
      <c r="C152" s="6">
        <v>59</v>
      </c>
      <c r="D152" s="33">
        <v>75</v>
      </c>
      <c r="E152" s="34">
        <v>76</v>
      </c>
      <c r="F152" s="36">
        <v>92</v>
      </c>
      <c r="G152" s="36">
        <v>95</v>
      </c>
      <c r="H152" s="36">
        <v>96</v>
      </c>
      <c r="I152" s="36">
        <v>98</v>
      </c>
      <c r="J152" s="35">
        <v>7</v>
      </c>
      <c r="K152" s="52" t="s">
        <v>170</v>
      </c>
      <c r="L152" t="s">
        <v>168</v>
      </c>
      <c r="M152" t="s">
        <v>168</v>
      </c>
      <c r="N152" t="s">
        <v>168</v>
      </c>
      <c r="O152" t="s">
        <v>168</v>
      </c>
      <c r="P152" t="s">
        <v>168</v>
      </c>
      <c r="Q152" t="s">
        <v>168</v>
      </c>
      <c r="R152" t="s">
        <v>168</v>
      </c>
      <c r="S152" t="s">
        <v>168</v>
      </c>
      <c r="T152" t="s">
        <v>168</v>
      </c>
      <c r="U152" t="s">
        <v>168</v>
      </c>
      <c r="V152" t="s">
        <v>168</v>
      </c>
      <c r="W152" t="s">
        <v>168</v>
      </c>
      <c r="X152" t="s">
        <v>168</v>
      </c>
      <c r="Y152" t="s">
        <v>168</v>
      </c>
      <c r="Z152">
        <v>2</v>
      </c>
      <c r="AA152">
        <v>1</v>
      </c>
    </row>
    <row r="153" spans="1:27" x14ac:dyDescent="0.25">
      <c r="A153" s="1" t="s">
        <v>10</v>
      </c>
      <c r="B153" s="1" t="s">
        <v>87</v>
      </c>
      <c r="C153" s="6">
        <v>71</v>
      </c>
      <c r="D153" s="33">
        <v>105</v>
      </c>
      <c r="E153" s="34">
        <v>113</v>
      </c>
      <c r="F153" s="36">
        <v>148</v>
      </c>
      <c r="G153" s="36">
        <v>148</v>
      </c>
      <c r="H153" s="36">
        <v>161</v>
      </c>
      <c r="I153" s="36">
        <v>161</v>
      </c>
      <c r="J153" s="35">
        <v>2</v>
      </c>
      <c r="K153" s="52" t="s">
        <v>170</v>
      </c>
      <c r="L153" t="s">
        <v>168</v>
      </c>
      <c r="M153" t="s">
        <v>168</v>
      </c>
      <c r="N153" t="s">
        <v>168</v>
      </c>
      <c r="O153" t="s">
        <v>168</v>
      </c>
      <c r="P153" t="s">
        <v>168</v>
      </c>
      <c r="Q153" t="s">
        <v>168</v>
      </c>
      <c r="R153" t="s">
        <v>168</v>
      </c>
      <c r="S153" t="s">
        <v>168</v>
      </c>
      <c r="T153" t="s">
        <v>168</v>
      </c>
      <c r="U153" t="s">
        <v>168</v>
      </c>
      <c r="V153" t="s">
        <v>168</v>
      </c>
      <c r="W153" t="s">
        <v>168</v>
      </c>
      <c r="X153" t="s">
        <v>168</v>
      </c>
      <c r="Y153" t="s">
        <v>168</v>
      </c>
      <c r="Z153">
        <v>2</v>
      </c>
      <c r="AA153">
        <v>1</v>
      </c>
    </row>
    <row r="154" spans="1:27" x14ac:dyDescent="0.25">
      <c r="A154" s="1" t="s">
        <v>10</v>
      </c>
      <c r="B154" s="1" t="s">
        <v>65</v>
      </c>
      <c r="C154" s="6">
        <v>48</v>
      </c>
      <c r="D154" s="33">
        <v>70</v>
      </c>
      <c r="E154" s="34">
        <v>70</v>
      </c>
      <c r="F154" s="36">
        <v>84</v>
      </c>
      <c r="G154" s="36">
        <v>84</v>
      </c>
      <c r="H154" s="36">
        <v>84</v>
      </c>
      <c r="I154" s="36">
        <v>86</v>
      </c>
      <c r="J154" s="35">
        <v>8</v>
      </c>
      <c r="K154" s="52" t="s">
        <v>170</v>
      </c>
      <c r="L154" t="s">
        <v>168</v>
      </c>
      <c r="M154" t="s">
        <v>168</v>
      </c>
      <c r="N154" t="s">
        <v>168</v>
      </c>
      <c r="O154" t="s">
        <v>168</v>
      </c>
      <c r="P154" t="s">
        <v>168</v>
      </c>
      <c r="Q154" t="s">
        <v>168</v>
      </c>
      <c r="R154" t="s">
        <v>168</v>
      </c>
      <c r="S154" t="s">
        <v>168</v>
      </c>
      <c r="T154" t="s">
        <v>168</v>
      </c>
      <c r="U154" t="s">
        <v>168</v>
      </c>
      <c r="V154" t="s">
        <v>168</v>
      </c>
      <c r="W154" t="s">
        <v>168</v>
      </c>
      <c r="X154" t="s">
        <v>168</v>
      </c>
      <c r="Y154" t="s">
        <v>168</v>
      </c>
      <c r="Z154">
        <v>2</v>
      </c>
      <c r="AA154">
        <v>1</v>
      </c>
    </row>
    <row r="155" spans="1:27" x14ac:dyDescent="0.25">
      <c r="A155" s="1" t="s">
        <v>10</v>
      </c>
      <c r="B155" s="1" t="s">
        <v>66</v>
      </c>
      <c r="C155" s="6">
        <v>46</v>
      </c>
      <c r="D155" s="33">
        <v>64</v>
      </c>
      <c r="E155" s="34">
        <v>64</v>
      </c>
      <c r="F155" s="36">
        <v>79</v>
      </c>
      <c r="G155" s="36">
        <v>79</v>
      </c>
      <c r="H155" s="36">
        <v>82</v>
      </c>
      <c r="I155" s="36">
        <v>82</v>
      </c>
      <c r="J155" s="35">
        <v>8</v>
      </c>
      <c r="K155" s="52" t="s">
        <v>170</v>
      </c>
      <c r="L155" t="s">
        <v>168</v>
      </c>
      <c r="M155" t="s">
        <v>168</v>
      </c>
      <c r="N155" t="s">
        <v>168</v>
      </c>
      <c r="O155" t="s">
        <v>168</v>
      </c>
      <c r="P155" t="s">
        <v>168</v>
      </c>
      <c r="Q155" t="s">
        <v>168</v>
      </c>
      <c r="R155" t="s">
        <v>168</v>
      </c>
      <c r="S155" t="s">
        <v>168</v>
      </c>
      <c r="T155" t="s">
        <v>168</v>
      </c>
      <c r="U155" t="s">
        <v>168</v>
      </c>
      <c r="V155" t="s">
        <v>168</v>
      </c>
      <c r="W155" t="s">
        <v>168</v>
      </c>
      <c r="X155" t="s">
        <v>168</v>
      </c>
      <c r="Y155" t="s">
        <v>168</v>
      </c>
      <c r="Z155">
        <v>2</v>
      </c>
      <c r="AA155">
        <v>1</v>
      </c>
    </row>
    <row r="156" spans="1:27" x14ac:dyDescent="0.25">
      <c r="A156" s="1" t="s">
        <v>10</v>
      </c>
      <c r="B156" s="1" t="s">
        <v>92</v>
      </c>
      <c r="C156" s="6" t="s">
        <v>168</v>
      </c>
      <c r="D156" s="33" t="s">
        <v>168</v>
      </c>
      <c r="E156" s="34" t="s">
        <v>168</v>
      </c>
      <c r="F156" s="36">
        <v>68</v>
      </c>
      <c r="G156" s="36">
        <v>69</v>
      </c>
      <c r="H156" s="36">
        <v>70</v>
      </c>
      <c r="I156" s="36">
        <v>73</v>
      </c>
      <c r="J156" s="35">
        <v>25</v>
      </c>
      <c r="K156" s="52" t="s">
        <v>170</v>
      </c>
      <c r="L156" t="s">
        <v>168</v>
      </c>
      <c r="M156" t="s">
        <v>168</v>
      </c>
      <c r="N156" t="s">
        <v>168</v>
      </c>
      <c r="O156" t="s">
        <v>168</v>
      </c>
      <c r="P156" t="s">
        <v>168</v>
      </c>
      <c r="Q156" t="s">
        <v>168</v>
      </c>
      <c r="R156" t="s">
        <v>168</v>
      </c>
      <c r="S156" t="s">
        <v>168</v>
      </c>
      <c r="T156" t="s">
        <v>168</v>
      </c>
      <c r="U156" t="s">
        <v>168</v>
      </c>
      <c r="V156" t="s">
        <v>168</v>
      </c>
      <c r="W156" t="s">
        <v>168</v>
      </c>
      <c r="X156" t="s">
        <v>168</v>
      </c>
      <c r="Y156" t="s">
        <v>168</v>
      </c>
      <c r="Z156">
        <v>2</v>
      </c>
      <c r="AA156">
        <v>1</v>
      </c>
    </row>
    <row r="157" spans="1:27" x14ac:dyDescent="0.25">
      <c r="A157" s="1" t="s">
        <v>10</v>
      </c>
      <c r="B157" s="1" t="s">
        <v>69</v>
      </c>
      <c r="C157" s="6">
        <v>61</v>
      </c>
      <c r="D157" s="33">
        <v>72</v>
      </c>
      <c r="E157" s="34">
        <v>74</v>
      </c>
      <c r="F157" s="36">
        <v>89</v>
      </c>
      <c r="G157" s="36">
        <v>89</v>
      </c>
      <c r="H157" s="36">
        <v>97</v>
      </c>
      <c r="I157" s="36">
        <v>100</v>
      </c>
      <c r="J157" s="35">
        <v>6</v>
      </c>
      <c r="K157" s="52" t="s">
        <v>170</v>
      </c>
      <c r="L157" t="s">
        <v>168</v>
      </c>
      <c r="M157" t="s">
        <v>168</v>
      </c>
      <c r="N157" t="s">
        <v>168</v>
      </c>
      <c r="O157" t="s">
        <v>168</v>
      </c>
      <c r="P157" t="s">
        <v>168</v>
      </c>
      <c r="Q157" t="s">
        <v>168</v>
      </c>
      <c r="R157" t="s">
        <v>168</v>
      </c>
      <c r="S157" t="s">
        <v>168</v>
      </c>
      <c r="T157" t="s">
        <v>168</v>
      </c>
      <c r="U157" t="s">
        <v>168</v>
      </c>
      <c r="V157" t="s">
        <v>168</v>
      </c>
      <c r="W157" t="s">
        <v>168</v>
      </c>
      <c r="X157" t="s">
        <v>168</v>
      </c>
      <c r="Y157" t="s">
        <v>168</v>
      </c>
      <c r="Z157">
        <v>2</v>
      </c>
      <c r="AA157">
        <v>1</v>
      </c>
    </row>
    <row r="158" spans="1:27" x14ac:dyDescent="0.25">
      <c r="A158" s="1" t="s">
        <v>10</v>
      </c>
      <c r="B158" s="1" t="s">
        <v>41</v>
      </c>
      <c r="C158" s="6">
        <v>47</v>
      </c>
      <c r="D158" s="33">
        <v>64</v>
      </c>
      <c r="E158" s="34">
        <v>64</v>
      </c>
      <c r="F158" s="36">
        <v>80</v>
      </c>
      <c r="G158" s="36">
        <v>82</v>
      </c>
      <c r="H158" s="36">
        <v>87</v>
      </c>
      <c r="I158" s="36">
        <v>95</v>
      </c>
      <c r="J158" s="35">
        <v>8</v>
      </c>
      <c r="K158" s="52" t="s">
        <v>170</v>
      </c>
      <c r="L158" t="s">
        <v>168</v>
      </c>
      <c r="M158" t="s">
        <v>168</v>
      </c>
      <c r="N158" t="s">
        <v>168</v>
      </c>
      <c r="O158" t="s">
        <v>168</v>
      </c>
      <c r="P158" t="s">
        <v>168</v>
      </c>
      <c r="Q158" t="s">
        <v>168</v>
      </c>
      <c r="R158" t="s">
        <v>168</v>
      </c>
      <c r="S158" t="s">
        <v>168</v>
      </c>
      <c r="T158" t="s">
        <v>168</v>
      </c>
      <c r="U158" t="s">
        <v>168</v>
      </c>
      <c r="V158" t="s">
        <v>168</v>
      </c>
      <c r="W158" t="s">
        <v>168</v>
      </c>
      <c r="X158" t="s">
        <v>168</v>
      </c>
      <c r="Y158" t="s">
        <v>168</v>
      </c>
      <c r="Z158">
        <v>2</v>
      </c>
      <c r="AA158">
        <v>1</v>
      </c>
    </row>
    <row r="159" spans="1:27" x14ac:dyDescent="0.25">
      <c r="A159" s="1" t="s">
        <v>10</v>
      </c>
      <c r="B159" s="1" t="s">
        <v>42</v>
      </c>
      <c r="C159" s="6">
        <v>62</v>
      </c>
      <c r="D159" s="33">
        <v>71</v>
      </c>
      <c r="E159" s="34">
        <v>77</v>
      </c>
      <c r="F159" s="36">
        <v>112</v>
      </c>
      <c r="G159" s="36">
        <v>112</v>
      </c>
      <c r="H159" s="36">
        <v>117</v>
      </c>
      <c r="I159" s="36">
        <v>117</v>
      </c>
      <c r="J159" s="35">
        <v>4</v>
      </c>
      <c r="K159" s="52" t="s">
        <v>170</v>
      </c>
      <c r="L159" t="s">
        <v>168</v>
      </c>
      <c r="M159" t="s">
        <v>168</v>
      </c>
      <c r="N159" t="s">
        <v>168</v>
      </c>
      <c r="O159" t="s">
        <v>168</v>
      </c>
      <c r="P159" t="s">
        <v>168</v>
      </c>
      <c r="Q159" t="s">
        <v>168</v>
      </c>
      <c r="R159" t="s">
        <v>168</v>
      </c>
      <c r="S159" t="s">
        <v>168</v>
      </c>
      <c r="T159" t="s">
        <v>168</v>
      </c>
      <c r="U159" t="s">
        <v>168</v>
      </c>
      <c r="V159" t="s">
        <v>168</v>
      </c>
      <c r="W159" t="s">
        <v>168</v>
      </c>
      <c r="X159" t="s">
        <v>168</v>
      </c>
      <c r="Y159" t="s">
        <v>168</v>
      </c>
      <c r="Z159">
        <v>2</v>
      </c>
      <c r="AA159">
        <v>1</v>
      </c>
    </row>
    <row r="160" spans="1:27" x14ac:dyDescent="0.25">
      <c r="A160" s="1" t="s">
        <v>10</v>
      </c>
      <c r="B160" s="1" t="s">
        <v>43</v>
      </c>
      <c r="C160" s="6">
        <v>45</v>
      </c>
      <c r="D160" s="33">
        <v>67</v>
      </c>
      <c r="E160" s="34">
        <v>68</v>
      </c>
      <c r="F160" s="36">
        <v>87</v>
      </c>
      <c r="G160" s="36">
        <v>87</v>
      </c>
      <c r="H160" s="36">
        <v>88</v>
      </c>
      <c r="I160" s="36">
        <v>88</v>
      </c>
      <c r="J160" s="35">
        <v>8</v>
      </c>
      <c r="K160" s="52" t="s">
        <v>170</v>
      </c>
      <c r="L160" t="s">
        <v>168</v>
      </c>
      <c r="M160" t="s">
        <v>168</v>
      </c>
      <c r="N160" t="s">
        <v>168</v>
      </c>
      <c r="O160" t="s">
        <v>168</v>
      </c>
      <c r="P160" t="s">
        <v>168</v>
      </c>
      <c r="Q160" t="s">
        <v>168</v>
      </c>
      <c r="R160" t="s">
        <v>168</v>
      </c>
      <c r="S160" t="s">
        <v>168</v>
      </c>
      <c r="T160" t="s">
        <v>168</v>
      </c>
      <c r="U160" t="s">
        <v>168</v>
      </c>
      <c r="V160" t="s">
        <v>168</v>
      </c>
      <c r="W160" t="s">
        <v>168</v>
      </c>
      <c r="X160" t="s">
        <v>168</v>
      </c>
      <c r="Y160" t="s">
        <v>168</v>
      </c>
      <c r="Z160">
        <v>2</v>
      </c>
      <c r="AA160">
        <v>1</v>
      </c>
    </row>
    <row r="161" spans="1:27" x14ac:dyDescent="0.25">
      <c r="A161" s="1" t="s">
        <v>10</v>
      </c>
      <c r="B161" s="1" t="s">
        <v>70</v>
      </c>
      <c r="C161" s="6" t="s">
        <v>168</v>
      </c>
      <c r="D161" s="33" t="s">
        <v>168</v>
      </c>
      <c r="E161" s="34" t="s">
        <v>168</v>
      </c>
      <c r="F161" s="32" t="s">
        <v>168</v>
      </c>
      <c r="G161" s="32" t="s">
        <v>168</v>
      </c>
      <c r="H161" s="32" t="s">
        <v>168</v>
      </c>
      <c r="I161" s="32" t="s">
        <v>168</v>
      </c>
      <c r="J161" s="35" t="s">
        <v>168</v>
      </c>
      <c r="K161" s="52" t="s">
        <v>170</v>
      </c>
      <c r="L161" t="s">
        <v>168</v>
      </c>
      <c r="M161" t="s">
        <v>168</v>
      </c>
      <c r="N161" t="s">
        <v>168</v>
      </c>
      <c r="O161" t="s">
        <v>168</v>
      </c>
      <c r="P161" t="s">
        <v>168</v>
      </c>
      <c r="Q161" t="s">
        <v>168</v>
      </c>
      <c r="R161" t="s">
        <v>168</v>
      </c>
      <c r="S161" t="s">
        <v>168</v>
      </c>
      <c r="T161" t="s">
        <v>168</v>
      </c>
      <c r="U161" t="s">
        <v>168</v>
      </c>
      <c r="V161" t="s">
        <v>168</v>
      </c>
      <c r="W161" t="s">
        <v>168</v>
      </c>
      <c r="X161" t="s">
        <v>168</v>
      </c>
      <c r="Y161" t="s">
        <v>168</v>
      </c>
      <c r="Z161">
        <v>2</v>
      </c>
      <c r="AA161">
        <v>1</v>
      </c>
    </row>
    <row r="162" spans="1:27" x14ac:dyDescent="0.25">
      <c r="A162" s="1" t="s">
        <v>10</v>
      </c>
      <c r="B162" s="1" t="s">
        <v>80</v>
      </c>
      <c r="C162" s="6">
        <v>67</v>
      </c>
      <c r="D162" s="33">
        <v>80</v>
      </c>
      <c r="E162" s="34">
        <v>80</v>
      </c>
      <c r="F162" s="36">
        <v>158</v>
      </c>
      <c r="G162" s="36">
        <v>158</v>
      </c>
      <c r="H162" s="36">
        <v>158</v>
      </c>
      <c r="I162" s="36">
        <v>158</v>
      </c>
      <c r="J162" s="35">
        <v>4</v>
      </c>
      <c r="K162" s="52" t="s">
        <v>170</v>
      </c>
      <c r="L162" t="s">
        <v>168</v>
      </c>
      <c r="M162" t="s">
        <v>168</v>
      </c>
      <c r="N162" t="s">
        <v>168</v>
      </c>
      <c r="O162" t="s">
        <v>168</v>
      </c>
      <c r="P162" t="s">
        <v>168</v>
      </c>
      <c r="Q162" t="s">
        <v>168</v>
      </c>
      <c r="R162" t="s">
        <v>168</v>
      </c>
      <c r="S162" t="s">
        <v>168</v>
      </c>
      <c r="T162" t="s">
        <v>168</v>
      </c>
      <c r="U162" t="s">
        <v>168</v>
      </c>
      <c r="V162" t="s">
        <v>168</v>
      </c>
      <c r="W162" t="s">
        <v>168</v>
      </c>
      <c r="X162" t="s">
        <v>168</v>
      </c>
      <c r="Y162" t="s">
        <v>168</v>
      </c>
      <c r="Z162">
        <v>2</v>
      </c>
      <c r="AA162">
        <v>1</v>
      </c>
    </row>
    <row r="163" spans="1:27" x14ac:dyDescent="0.25">
      <c r="A163" s="1" t="s">
        <v>10</v>
      </c>
      <c r="B163" s="1" t="s">
        <v>99</v>
      </c>
      <c r="C163" s="6">
        <v>47</v>
      </c>
      <c r="D163" s="33">
        <v>61</v>
      </c>
      <c r="E163" s="34">
        <v>62</v>
      </c>
      <c r="F163" s="36">
        <v>77</v>
      </c>
      <c r="G163" s="36">
        <v>77</v>
      </c>
      <c r="H163" s="36">
        <v>79</v>
      </c>
      <c r="I163" s="36">
        <v>81</v>
      </c>
      <c r="J163" s="35">
        <v>13</v>
      </c>
      <c r="K163" s="52" t="s">
        <v>170</v>
      </c>
      <c r="L163" t="s">
        <v>168</v>
      </c>
      <c r="M163" t="s">
        <v>168</v>
      </c>
      <c r="N163" t="s">
        <v>168</v>
      </c>
      <c r="O163" t="s">
        <v>168</v>
      </c>
      <c r="P163" t="s">
        <v>168</v>
      </c>
      <c r="Q163" t="s">
        <v>168</v>
      </c>
      <c r="R163" t="s">
        <v>168</v>
      </c>
      <c r="S163" t="s">
        <v>168</v>
      </c>
      <c r="T163" t="s">
        <v>168</v>
      </c>
      <c r="U163" t="s">
        <v>168</v>
      </c>
      <c r="V163" t="s">
        <v>168</v>
      </c>
      <c r="W163" t="s">
        <v>168</v>
      </c>
      <c r="X163" t="s">
        <v>168</v>
      </c>
      <c r="Y163" t="s">
        <v>168</v>
      </c>
      <c r="Z163">
        <v>2</v>
      </c>
      <c r="AA163">
        <v>1</v>
      </c>
    </row>
    <row r="164" spans="1:27" x14ac:dyDescent="0.25">
      <c r="A164" s="1" t="s">
        <v>10</v>
      </c>
      <c r="B164" s="1" t="s">
        <v>97</v>
      </c>
      <c r="C164" s="6" t="s">
        <v>168</v>
      </c>
      <c r="D164" s="33" t="s">
        <v>168</v>
      </c>
      <c r="E164" s="34" t="s">
        <v>168</v>
      </c>
      <c r="F164" s="32" t="s">
        <v>168</v>
      </c>
      <c r="G164" s="32" t="s">
        <v>168</v>
      </c>
      <c r="H164" s="32" t="s">
        <v>168</v>
      </c>
      <c r="I164" s="32" t="s">
        <v>168</v>
      </c>
      <c r="J164" s="35">
        <v>12</v>
      </c>
      <c r="K164" s="52" t="s">
        <v>170</v>
      </c>
      <c r="L164" t="s">
        <v>168</v>
      </c>
      <c r="M164" t="s">
        <v>168</v>
      </c>
      <c r="N164" t="s">
        <v>168</v>
      </c>
      <c r="O164" t="s">
        <v>168</v>
      </c>
      <c r="P164" t="s">
        <v>168</v>
      </c>
      <c r="Q164" t="s">
        <v>168</v>
      </c>
      <c r="R164" t="s">
        <v>168</v>
      </c>
      <c r="S164" t="s">
        <v>168</v>
      </c>
      <c r="T164" t="s">
        <v>168</v>
      </c>
      <c r="U164" t="s">
        <v>168</v>
      </c>
      <c r="V164" t="s">
        <v>168</v>
      </c>
      <c r="W164" t="s">
        <v>168</v>
      </c>
      <c r="X164" t="s">
        <v>168</v>
      </c>
      <c r="Y164" t="s">
        <v>168</v>
      </c>
      <c r="Z164">
        <v>2</v>
      </c>
      <c r="AA164">
        <v>1</v>
      </c>
    </row>
    <row r="165" spans="1:27" x14ac:dyDescent="0.25">
      <c r="A165" s="1" t="s">
        <v>10</v>
      </c>
      <c r="B165" s="1" t="s">
        <v>71</v>
      </c>
      <c r="C165" s="6">
        <v>68</v>
      </c>
      <c r="D165" s="33">
        <v>81</v>
      </c>
      <c r="E165" s="34">
        <v>81</v>
      </c>
      <c r="F165" s="36">
        <v>90</v>
      </c>
      <c r="G165" s="36">
        <v>90</v>
      </c>
      <c r="H165" s="36">
        <v>90</v>
      </c>
      <c r="I165" s="36">
        <v>90</v>
      </c>
      <c r="J165" s="35">
        <v>8</v>
      </c>
      <c r="K165" s="52" t="s">
        <v>170</v>
      </c>
      <c r="L165" t="s">
        <v>168</v>
      </c>
      <c r="M165" t="s">
        <v>168</v>
      </c>
      <c r="N165" t="s">
        <v>168</v>
      </c>
      <c r="O165" t="s">
        <v>168</v>
      </c>
      <c r="P165" t="s">
        <v>168</v>
      </c>
      <c r="Q165" t="s">
        <v>168</v>
      </c>
      <c r="R165" t="s">
        <v>168</v>
      </c>
      <c r="S165" t="s">
        <v>168</v>
      </c>
      <c r="T165" t="s">
        <v>168</v>
      </c>
      <c r="U165" t="s">
        <v>168</v>
      </c>
      <c r="V165" t="s">
        <v>168</v>
      </c>
      <c r="W165" t="s">
        <v>168</v>
      </c>
      <c r="X165" t="s">
        <v>168</v>
      </c>
      <c r="Y165" t="s">
        <v>168</v>
      </c>
      <c r="Z165">
        <v>2</v>
      </c>
      <c r="AA165">
        <v>1</v>
      </c>
    </row>
    <row r="166" spans="1:27" x14ac:dyDescent="0.25">
      <c r="A166" s="1" t="s">
        <v>10</v>
      </c>
      <c r="B166" s="1" t="s">
        <v>45</v>
      </c>
      <c r="C166" s="6">
        <v>47</v>
      </c>
      <c r="D166" s="33">
        <v>62</v>
      </c>
      <c r="E166" s="34">
        <v>62</v>
      </c>
      <c r="F166" s="36">
        <v>82</v>
      </c>
      <c r="G166" s="36">
        <v>82</v>
      </c>
      <c r="H166" s="36">
        <v>88</v>
      </c>
      <c r="I166" s="36">
        <v>95</v>
      </c>
      <c r="J166" s="35">
        <v>8</v>
      </c>
      <c r="K166" s="52" t="s">
        <v>170</v>
      </c>
      <c r="L166" t="s">
        <v>168</v>
      </c>
      <c r="M166" t="s">
        <v>168</v>
      </c>
      <c r="N166" t="s">
        <v>168</v>
      </c>
      <c r="O166" t="s">
        <v>168</v>
      </c>
      <c r="P166" t="s">
        <v>168</v>
      </c>
      <c r="Q166" t="s">
        <v>168</v>
      </c>
      <c r="R166" t="s">
        <v>168</v>
      </c>
      <c r="S166" t="s">
        <v>168</v>
      </c>
      <c r="T166" t="s">
        <v>168</v>
      </c>
      <c r="U166" t="s">
        <v>168</v>
      </c>
      <c r="V166" t="s">
        <v>168</v>
      </c>
      <c r="W166" t="s">
        <v>168</v>
      </c>
      <c r="X166" t="s">
        <v>168</v>
      </c>
      <c r="Y166" t="s">
        <v>168</v>
      </c>
      <c r="Z166">
        <v>2</v>
      </c>
      <c r="AA166">
        <v>1</v>
      </c>
    </row>
    <row r="167" spans="1:27" x14ac:dyDescent="0.25">
      <c r="A167" s="1" t="s">
        <v>10</v>
      </c>
      <c r="B167" s="1" t="s">
        <v>93</v>
      </c>
      <c r="C167" s="6">
        <v>61</v>
      </c>
      <c r="D167" s="33">
        <v>83</v>
      </c>
      <c r="E167" s="34">
        <v>88</v>
      </c>
      <c r="F167" s="36">
        <v>111</v>
      </c>
      <c r="G167" s="36">
        <v>113</v>
      </c>
      <c r="H167" s="36">
        <v>114</v>
      </c>
      <c r="I167" s="36">
        <v>118</v>
      </c>
      <c r="J167" s="35">
        <v>4</v>
      </c>
      <c r="K167" s="52" t="s">
        <v>170</v>
      </c>
      <c r="L167" t="s">
        <v>168</v>
      </c>
      <c r="M167" t="s">
        <v>168</v>
      </c>
      <c r="N167" t="s">
        <v>168</v>
      </c>
      <c r="O167" t="s">
        <v>168</v>
      </c>
      <c r="P167" t="s">
        <v>168</v>
      </c>
      <c r="Q167" t="s">
        <v>168</v>
      </c>
      <c r="R167" t="s">
        <v>168</v>
      </c>
      <c r="S167" t="s">
        <v>168</v>
      </c>
      <c r="T167" t="s">
        <v>168</v>
      </c>
      <c r="U167" t="s">
        <v>168</v>
      </c>
      <c r="V167" t="s">
        <v>168</v>
      </c>
      <c r="W167" t="s">
        <v>168</v>
      </c>
      <c r="X167" t="s">
        <v>168</v>
      </c>
      <c r="Y167" t="s">
        <v>168</v>
      </c>
      <c r="Z167">
        <v>2</v>
      </c>
      <c r="AA167">
        <v>1</v>
      </c>
    </row>
    <row r="168" spans="1:27" x14ac:dyDescent="0.25">
      <c r="A168" s="1" t="s">
        <v>10</v>
      </c>
      <c r="B168" s="1" t="s">
        <v>94</v>
      </c>
      <c r="C168" s="6" t="s">
        <v>168</v>
      </c>
      <c r="D168" s="33" t="s">
        <v>168</v>
      </c>
      <c r="E168" s="34" t="s">
        <v>168</v>
      </c>
      <c r="F168" s="32" t="s">
        <v>168</v>
      </c>
      <c r="G168" s="32" t="s">
        <v>168</v>
      </c>
      <c r="H168" s="32" t="s">
        <v>168</v>
      </c>
      <c r="I168" s="32" t="s">
        <v>168</v>
      </c>
      <c r="J168" s="35" t="s">
        <v>168</v>
      </c>
      <c r="K168" s="52" t="s">
        <v>170</v>
      </c>
      <c r="L168" t="s">
        <v>168</v>
      </c>
      <c r="M168" t="s">
        <v>168</v>
      </c>
      <c r="N168" t="s">
        <v>168</v>
      </c>
      <c r="O168" t="s">
        <v>168</v>
      </c>
      <c r="P168" t="s">
        <v>168</v>
      </c>
      <c r="Q168" t="s">
        <v>168</v>
      </c>
      <c r="R168" t="s">
        <v>168</v>
      </c>
      <c r="S168" t="s">
        <v>168</v>
      </c>
      <c r="T168" t="s">
        <v>168</v>
      </c>
      <c r="U168" t="s">
        <v>168</v>
      </c>
      <c r="V168" t="s">
        <v>168</v>
      </c>
      <c r="W168" t="s">
        <v>168</v>
      </c>
      <c r="X168" t="s">
        <v>168</v>
      </c>
      <c r="Y168" t="s">
        <v>168</v>
      </c>
      <c r="Z168">
        <v>2</v>
      </c>
      <c r="AA168">
        <v>1</v>
      </c>
    </row>
    <row r="169" spans="1:27" x14ac:dyDescent="0.25">
      <c r="A169" s="1" t="s">
        <v>10</v>
      </c>
      <c r="B169" s="1" t="s">
        <v>72</v>
      </c>
      <c r="C169" s="6">
        <v>46</v>
      </c>
      <c r="D169" s="33">
        <v>69</v>
      </c>
      <c r="E169" s="34">
        <v>71</v>
      </c>
      <c r="F169" s="36">
        <v>84</v>
      </c>
      <c r="G169" s="36">
        <v>84</v>
      </c>
      <c r="H169" s="36">
        <v>84</v>
      </c>
      <c r="I169" s="36">
        <v>84</v>
      </c>
      <c r="J169" s="35">
        <v>8</v>
      </c>
      <c r="K169" s="52" t="s">
        <v>196</v>
      </c>
      <c r="L169" t="s">
        <v>168</v>
      </c>
      <c r="M169" t="s">
        <v>168</v>
      </c>
      <c r="N169" t="s">
        <v>168</v>
      </c>
      <c r="O169" t="s">
        <v>168</v>
      </c>
      <c r="P169" t="s">
        <v>168</v>
      </c>
      <c r="Q169" t="s">
        <v>168</v>
      </c>
      <c r="R169" t="s">
        <v>168</v>
      </c>
      <c r="S169" t="s">
        <v>168</v>
      </c>
      <c r="T169" t="s">
        <v>168</v>
      </c>
      <c r="U169" t="s">
        <v>168</v>
      </c>
      <c r="V169" t="s">
        <v>168</v>
      </c>
      <c r="W169" t="s">
        <v>168</v>
      </c>
      <c r="X169" t="s">
        <v>168</v>
      </c>
      <c r="Y169" t="s">
        <v>168</v>
      </c>
      <c r="Z169">
        <v>2</v>
      </c>
      <c r="AA169">
        <v>1</v>
      </c>
    </row>
    <row r="170" spans="1:27" x14ac:dyDescent="0.25">
      <c r="A170" s="1" t="s">
        <v>10</v>
      </c>
      <c r="B170" s="1" t="s">
        <v>11</v>
      </c>
      <c r="C170" s="6">
        <v>44</v>
      </c>
      <c r="D170" s="33">
        <v>58</v>
      </c>
      <c r="E170" s="34">
        <v>72</v>
      </c>
      <c r="F170" s="36">
        <v>73</v>
      </c>
      <c r="G170" s="36">
        <v>75</v>
      </c>
      <c r="H170" s="36">
        <v>76</v>
      </c>
      <c r="I170" s="36">
        <v>76</v>
      </c>
      <c r="J170" s="35">
        <v>12</v>
      </c>
      <c r="K170" s="52" t="s">
        <v>196</v>
      </c>
      <c r="L170" t="s">
        <v>168</v>
      </c>
      <c r="M170" t="s">
        <v>168</v>
      </c>
      <c r="N170" t="s">
        <v>168</v>
      </c>
      <c r="O170" t="s">
        <v>168</v>
      </c>
      <c r="P170" t="s">
        <v>168</v>
      </c>
      <c r="Q170" t="s">
        <v>168</v>
      </c>
      <c r="R170" t="s">
        <v>168</v>
      </c>
      <c r="S170" t="s">
        <v>168</v>
      </c>
      <c r="T170" t="s">
        <v>168</v>
      </c>
      <c r="U170" t="s">
        <v>168</v>
      </c>
      <c r="V170" t="s">
        <v>168</v>
      </c>
      <c r="W170" t="s">
        <v>168</v>
      </c>
      <c r="X170" t="s">
        <v>168</v>
      </c>
      <c r="Y170" t="s">
        <v>168</v>
      </c>
      <c r="Z170">
        <v>2</v>
      </c>
      <c r="AA170">
        <v>1</v>
      </c>
    </row>
    <row r="171" spans="1:27" x14ac:dyDescent="0.25">
      <c r="A171" s="1" t="s">
        <v>10</v>
      </c>
      <c r="B171" s="1" t="s">
        <v>12</v>
      </c>
      <c r="C171" s="6">
        <v>43</v>
      </c>
      <c r="D171" s="33">
        <v>56</v>
      </c>
      <c r="E171" s="34">
        <v>58</v>
      </c>
      <c r="F171" s="36">
        <v>68</v>
      </c>
      <c r="G171" s="36">
        <v>71</v>
      </c>
      <c r="H171" s="36">
        <v>72</v>
      </c>
      <c r="I171" s="36">
        <v>74</v>
      </c>
      <c r="J171" s="35">
        <v>14</v>
      </c>
      <c r="K171" s="52" t="s">
        <v>196</v>
      </c>
      <c r="L171" t="s">
        <v>168</v>
      </c>
      <c r="M171" t="s">
        <v>168</v>
      </c>
      <c r="N171" t="s">
        <v>168</v>
      </c>
      <c r="O171" t="s">
        <v>168</v>
      </c>
      <c r="P171" t="s">
        <v>168</v>
      </c>
      <c r="Q171" t="s">
        <v>168</v>
      </c>
      <c r="R171" t="s">
        <v>168</v>
      </c>
      <c r="S171" t="s">
        <v>168</v>
      </c>
      <c r="T171" t="s">
        <v>168</v>
      </c>
      <c r="U171" t="s">
        <v>168</v>
      </c>
      <c r="V171" t="s">
        <v>168</v>
      </c>
      <c r="W171" t="s">
        <v>168</v>
      </c>
      <c r="X171" t="s">
        <v>168</v>
      </c>
      <c r="Y171" t="s">
        <v>168</v>
      </c>
      <c r="Z171">
        <v>2</v>
      </c>
      <c r="AA171">
        <v>1</v>
      </c>
    </row>
    <row r="172" spans="1:27" x14ac:dyDescent="0.25">
      <c r="A172" s="1" t="s">
        <v>10</v>
      </c>
      <c r="B172" s="1" t="s">
        <v>13</v>
      </c>
      <c r="C172" s="6">
        <v>48</v>
      </c>
      <c r="D172" s="33">
        <v>72</v>
      </c>
      <c r="E172" s="34">
        <v>83</v>
      </c>
      <c r="F172" s="36">
        <v>89</v>
      </c>
      <c r="G172" s="36">
        <v>89</v>
      </c>
      <c r="H172" s="36" t="s">
        <v>168</v>
      </c>
      <c r="I172" s="36" t="s">
        <v>168</v>
      </c>
      <c r="J172" s="35">
        <v>6</v>
      </c>
      <c r="K172" s="52" t="s">
        <v>196</v>
      </c>
      <c r="L172" t="s">
        <v>168</v>
      </c>
      <c r="M172" t="s">
        <v>168</v>
      </c>
      <c r="N172" t="s">
        <v>168</v>
      </c>
      <c r="O172" t="s">
        <v>168</v>
      </c>
      <c r="P172" t="s">
        <v>168</v>
      </c>
      <c r="Q172" t="s">
        <v>168</v>
      </c>
      <c r="R172" t="s">
        <v>168</v>
      </c>
      <c r="S172" t="s">
        <v>168</v>
      </c>
      <c r="T172" t="s">
        <v>168</v>
      </c>
      <c r="U172" t="s">
        <v>168</v>
      </c>
      <c r="V172" t="s">
        <v>168</v>
      </c>
      <c r="W172" t="s">
        <v>168</v>
      </c>
      <c r="X172" t="s">
        <v>168</v>
      </c>
      <c r="Y172" t="s">
        <v>168</v>
      </c>
      <c r="Z172">
        <v>2</v>
      </c>
      <c r="AA172">
        <v>1</v>
      </c>
    </row>
    <row r="173" spans="1:27" x14ac:dyDescent="0.25">
      <c r="A173" s="1" t="s">
        <v>10</v>
      </c>
      <c r="B173" s="1" t="s">
        <v>14</v>
      </c>
      <c r="C173" s="6">
        <v>56</v>
      </c>
      <c r="D173" s="33">
        <v>74</v>
      </c>
      <c r="E173" s="34">
        <v>77</v>
      </c>
      <c r="F173" s="62" t="s">
        <v>168</v>
      </c>
      <c r="G173" s="62" t="s">
        <v>168</v>
      </c>
      <c r="H173" s="62" t="s">
        <v>168</v>
      </c>
      <c r="I173" s="62" t="s">
        <v>168</v>
      </c>
      <c r="J173" s="35">
        <v>4</v>
      </c>
      <c r="K173" s="52" t="s">
        <v>196</v>
      </c>
      <c r="L173" t="s">
        <v>168</v>
      </c>
      <c r="M173" t="s">
        <v>168</v>
      </c>
      <c r="N173" t="s">
        <v>168</v>
      </c>
      <c r="O173" t="s">
        <v>168</v>
      </c>
      <c r="P173" t="s">
        <v>168</v>
      </c>
      <c r="Q173" t="s">
        <v>168</v>
      </c>
      <c r="R173" t="s">
        <v>168</v>
      </c>
      <c r="S173" t="s">
        <v>168</v>
      </c>
      <c r="T173" t="s">
        <v>168</v>
      </c>
      <c r="U173" t="s">
        <v>168</v>
      </c>
      <c r="V173" t="s">
        <v>168</v>
      </c>
      <c r="W173" t="s">
        <v>168</v>
      </c>
      <c r="X173" t="s">
        <v>168</v>
      </c>
      <c r="Y173" t="s">
        <v>168</v>
      </c>
      <c r="Z173">
        <v>2</v>
      </c>
      <c r="AA173">
        <v>1</v>
      </c>
    </row>
    <row r="174" spans="1:27" x14ac:dyDescent="0.25">
      <c r="A174" s="1" t="s">
        <v>10</v>
      </c>
      <c r="B174" s="1" t="s">
        <v>15</v>
      </c>
      <c r="C174" s="6">
        <v>61</v>
      </c>
      <c r="D174" s="33">
        <v>78</v>
      </c>
      <c r="E174" s="34">
        <v>92</v>
      </c>
      <c r="F174" s="62" t="s">
        <v>168</v>
      </c>
      <c r="G174" s="62" t="s">
        <v>168</v>
      </c>
      <c r="H174" s="62" t="s">
        <v>168</v>
      </c>
      <c r="I174" s="62" t="s">
        <v>168</v>
      </c>
      <c r="J174" s="35">
        <v>4</v>
      </c>
      <c r="K174" s="52" t="s">
        <v>196</v>
      </c>
      <c r="L174" t="s">
        <v>168</v>
      </c>
      <c r="M174" t="s">
        <v>168</v>
      </c>
      <c r="N174" t="s">
        <v>168</v>
      </c>
      <c r="O174" t="s">
        <v>168</v>
      </c>
      <c r="P174" t="s">
        <v>168</v>
      </c>
      <c r="Q174" t="s">
        <v>168</v>
      </c>
      <c r="R174" t="s">
        <v>168</v>
      </c>
      <c r="S174" t="s">
        <v>168</v>
      </c>
      <c r="T174" t="s">
        <v>168</v>
      </c>
      <c r="U174" t="s">
        <v>168</v>
      </c>
      <c r="V174" t="s">
        <v>168</v>
      </c>
      <c r="W174" t="s">
        <v>168</v>
      </c>
      <c r="X174" t="s">
        <v>168</v>
      </c>
      <c r="Y174" t="s">
        <v>168</v>
      </c>
      <c r="Z174">
        <v>2</v>
      </c>
      <c r="AA174">
        <v>1</v>
      </c>
    </row>
    <row r="175" spans="1:27" x14ac:dyDescent="0.25">
      <c r="A175" s="1" t="s">
        <v>10</v>
      </c>
      <c r="B175" s="1" t="s">
        <v>81</v>
      </c>
      <c r="C175" s="6">
        <v>43</v>
      </c>
      <c r="D175" s="33">
        <v>59</v>
      </c>
      <c r="E175" s="34">
        <v>59</v>
      </c>
      <c r="F175" s="36">
        <v>75</v>
      </c>
      <c r="G175" s="36">
        <v>76</v>
      </c>
      <c r="H175" s="36">
        <v>78</v>
      </c>
      <c r="I175" s="36">
        <v>78</v>
      </c>
      <c r="J175" s="35">
        <v>12</v>
      </c>
      <c r="K175" s="52" t="s">
        <v>196</v>
      </c>
      <c r="L175" t="s">
        <v>168</v>
      </c>
      <c r="M175" t="s">
        <v>168</v>
      </c>
      <c r="N175" t="s">
        <v>168</v>
      </c>
      <c r="O175" t="s">
        <v>168</v>
      </c>
      <c r="P175" t="s">
        <v>168</v>
      </c>
      <c r="Q175" t="s">
        <v>168</v>
      </c>
      <c r="R175" t="s">
        <v>168</v>
      </c>
      <c r="S175" t="s">
        <v>168</v>
      </c>
      <c r="T175" t="s">
        <v>168</v>
      </c>
      <c r="U175" t="s">
        <v>168</v>
      </c>
      <c r="V175" t="s">
        <v>168</v>
      </c>
      <c r="W175" t="s">
        <v>168</v>
      </c>
      <c r="X175" t="s">
        <v>168</v>
      </c>
      <c r="Y175" t="s">
        <v>168</v>
      </c>
      <c r="Z175">
        <v>2</v>
      </c>
      <c r="AA175">
        <v>1</v>
      </c>
    </row>
    <row r="176" spans="1:27" x14ac:dyDescent="0.25">
      <c r="A176" s="1" t="s">
        <v>10</v>
      </c>
      <c r="B176" s="1" t="s">
        <v>88</v>
      </c>
      <c r="C176" s="6">
        <v>42</v>
      </c>
      <c r="D176" s="33">
        <v>70</v>
      </c>
      <c r="E176" s="34">
        <v>78</v>
      </c>
      <c r="F176" s="62" t="s">
        <v>168</v>
      </c>
      <c r="G176" s="62" t="s">
        <v>168</v>
      </c>
      <c r="H176" s="62" t="s">
        <v>168</v>
      </c>
      <c r="I176" s="62" t="s">
        <v>168</v>
      </c>
      <c r="J176" s="35">
        <v>4</v>
      </c>
      <c r="K176" s="52" t="s">
        <v>196</v>
      </c>
      <c r="L176" t="s">
        <v>168</v>
      </c>
      <c r="M176" t="s">
        <v>168</v>
      </c>
      <c r="N176" t="s">
        <v>168</v>
      </c>
      <c r="O176" t="s">
        <v>168</v>
      </c>
      <c r="P176" t="s">
        <v>168</v>
      </c>
      <c r="Q176" t="s">
        <v>168</v>
      </c>
      <c r="R176" t="s">
        <v>168</v>
      </c>
      <c r="S176" t="s">
        <v>168</v>
      </c>
      <c r="T176" t="s">
        <v>168</v>
      </c>
      <c r="U176" t="s">
        <v>168</v>
      </c>
      <c r="V176" t="s">
        <v>168</v>
      </c>
      <c r="W176" t="s">
        <v>168</v>
      </c>
      <c r="X176" t="s">
        <v>168</v>
      </c>
      <c r="Y176" t="s">
        <v>168</v>
      </c>
      <c r="Z176">
        <v>2</v>
      </c>
      <c r="AA176">
        <v>1</v>
      </c>
    </row>
    <row r="177" spans="1:27" x14ac:dyDescent="0.25">
      <c r="A177" s="1" t="s">
        <v>10</v>
      </c>
      <c r="B177" s="1" t="s">
        <v>16</v>
      </c>
      <c r="C177" s="6">
        <v>60</v>
      </c>
      <c r="D177" s="33">
        <v>73</v>
      </c>
      <c r="E177" s="34">
        <v>87</v>
      </c>
      <c r="F177" s="36">
        <v>88</v>
      </c>
      <c r="G177" s="36">
        <v>92</v>
      </c>
      <c r="H177" s="62" t="s">
        <v>168</v>
      </c>
      <c r="I177" s="62" t="s">
        <v>168</v>
      </c>
      <c r="J177" s="35">
        <v>6</v>
      </c>
      <c r="K177" s="52" t="s">
        <v>196</v>
      </c>
      <c r="L177" t="s">
        <v>168</v>
      </c>
      <c r="M177" t="s">
        <v>168</v>
      </c>
      <c r="N177" t="s">
        <v>168</v>
      </c>
      <c r="O177" t="s">
        <v>168</v>
      </c>
      <c r="P177" t="s">
        <v>168</v>
      </c>
      <c r="Q177" t="s">
        <v>168</v>
      </c>
      <c r="R177" t="s">
        <v>168</v>
      </c>
      <c r="S177" t="s">
        <v>168</v>
      </c>
      <c r="T177" t="s">
        <v>168</v>
      </c>
      <c r="U177" t="s">
        <v>168</v>
      </c>
      <c r="V177" t="s">
        <v>168</v>
      </c>
      <c r="W177" t="s">
        <v>168</v>
      </c>
      <c r="X177" t="s">
        <v>168</v>
      </c>
      <c r="Y177" t="s">
        <v>168</v>
      </c>
      <c r="Z177">
        <v>2</v>
      </c>
      <c r="AA177">
        <v>1</v>
      </c>
    </row>
    <row r="178" spans="1:27" x14ac:dyDescent="0.25">
      <c r="A178" s="1" t="s">
        <v>10</v>
      </c>
      <c r="B178" s="1" t="s">
        <v>17</v>
      </c>
      <c r="C178" s="6">
        <v>48</v>
      </c>
      <c r="D178" s="33">
        <v>63</v>
      </c>
      <c r="E178" s="34">
        <v>63</v>
      </c>
      <c r="F178" s="36">
        <v>75</v>
      </c>
      <c r="G178" s="36">
        <v>75</v>
      </c>
      <c r="H178" s="36">
        <v>76</v>
      </c>
      <c r="I178" s="36">
        <v>85</v>
      </c>
      <c r="J178" s="35">
        <v>12</v>
      </c>
      <c r="K178" s="52" t="s">
        <v>196</v>
      </c>
      <c r="L178" t="s">
        <v>168</v>
      </c>
      <c r="M178" t="s">
        <v>168</v>
      </c>
      <c r="N178" t="s">
        <v>168</v>
      </c>
      <c r="O178" t="s">
        <v>168</v>
      </c>
      <c r="P178" t="s">
        <v>168</v>
      </c>
      <c r="Q178" t="s">
        <v>168</v>
      </c>
      <c r="R178" t="s">
        <v>168</v>
      </c>
      <c r="S178" t="s">
        <v>168</v>
      </c>
      <c r="T178" t="s">
        <v>168</v>
      </c>
      <c r="U178" t="s">
        <v>168</v>
      </c>
      <c r="V178" t="s">
        <v>168</v>
      </c>
      <c r="W178" t="s">
        <v>168</v>
      </c>
      <c r="X178" t="s">
        <v>168</v>
      </c>
      <c r="Y178" t="s">
        <v>168</v>
      </c>
      <c r="Z178">
        <v>2</v>
      </c>
      <c r="AA178">
        <v>1</v>
      </c>
    </row>
    <row r="179" spans="1:27" x14ac:dyDescent="0.25">
      <c r="A179" s="1" t="s">
        <v>10</v>
      </c>
      <c r="B179" s="1" t="s">
        <v>197</v>
      </c>
      <c r="C179" s="6">
        <v>51</v>
      </c>
      <c r="D179" s="33">
        <v>68</v>
      </c>
      <c r="E179" s="34">
        <v>70</v>
      </c>
      <c r="F179" s="36">
        <v>91</v>
      </c>
      <c r="G179" s="36">
        <v>91</v>
      </c>
      <c r="H179" s="62" t="s">
        <v>168</v>
      </c>
      <c r="I179" s="62" t="s">
        <v>168</v>
      </c>
      <c r="J179" s="35">
        <v>6</v>
      </c>
      <c r="K179" s="52" t="s">
        <v>196</v>
      </c>
      <c r="L179" t="s">
        <v>168</v>
      </c>
      <c r="M179" t="s">
        <v>168</v>
      </c>
      <c r="N179" t="s">
        <v>168</v>
      </c>
      <c r="O179" t="s">
        <v>168</v>
      </c>
      <c r="P179" t="s">
        <v>168</v>
      </c>
      <c r="Q179" t="s">
        <v>168</v>
      </c>
      <c r="R179" t="s">
        <v>168</v>
      </c>
      <c r="S179" t="s">
        <v>168</v>
      </c>
      <c r="T179" t="s">
        <v>168</v>
      </c>
      <c r="U179" t="s">
        <v>168</v>
      </c>
      <c r="V179" t="s">
        <v>168</v>
      </c>
      <c r="W179" t="s">
        <v>168</v>
      </c>
      <c r="X179" t="s">
        <v>168</v>
      </c>
      <c r="Y179" t="s">
        <v>168</v>
      </c>
      <c r="Z179">
        <v>2</v>
      </c>
      <c r="AA179">
        <v>1</v>
      </c>
    </row>
    <row r="180" spans="1:27" x14ac:dyDescent="0.25">
      <c r="A180" s="1" t="s">
        <v>10</v>
      </c>
      <c r="B180" s="1" t="s">
        <v>47</v>
      </c>
      <c r="C180" s="6">
        <v>51</v>
      </c>
      <c r="D180" s="33">
        <v>66</v>
      </c>
      <c r="E180" s="34">
        <v>68</v>
      </c>
      <c r="F180" s="36">
        <v>82</v>
      </c>
      <c r="G180" s="36">
        <v>83</v>
      </c>
      <c r="H180" s="36">
        <v>83</v>
      </c>
      <c r="I180" s="36">
        <v>83</v>
      </c>
      <c r="J180" s="35">
        <v>9</v>
      </c>
      <c r="K180" s="52" t="s">
        <v>196</v>
      </c>
      <c r="L180" t="s">
        <v>168</v>
      </c>
      <c r="M180" t="s">
        <v>168</v>
      </c>
      <c r="N180" t="s">
        <v>168</v>
      </c>
      <c r="O180" t="s">
        <v>168</v>
      </c>
      <c r="P180" t="s">
        <v>168</v>
      </c>
      <c r="Q180" t="s">
        <v>168</v>
      </c>
      <c r="R180" t="s">
        <v>168</v>
      </c>
      <c r="S180" t="s">
        <v>168</v>
      </c>
      <c r="T180" t="s">
        <v>168</v>
      </c>
      <c r="U180" t="s">
        <v>168</v>
      </c>
      <c r="V180" t="s">
        <v>168</v>
      </c>
      <c r="W180" t="s">
        <v>168</v>
      </c>
      <c r="X180" t="s">
        <v>168</v>
      </c>
      <c r="Y180" t="s">
        <v>168</v>
      </c>
      <c r="Z180">
        <v>2</v>
      </c>
      <c r="AA180">
        <v>1</v>
      </c>
    </row>
    <row r="181" spans="1:27" x14ac:dyDescent="0.25">
      <c r="A181" s="1" t="s">
        <v>10</v>
      </c>
      <c r="B181" s="1" t="s">
        <v>18</v>
      </c>
      <c r="C181" s="6">
        <v>52</v>
      </c>
      <c r="D181" s="33">
        <v>70</v>
      </c>
      <c r="E181" s="34">
        <v>75</v>
      </c>
      <c r="F181" s="36">
        <v>96</v>
      </c>
      <c r="G181" s="62" t="s">
        <v>168</v>
      </c>
      <c r="H181" s="62" t="s">
        <v>168</v>
      </c>
      <c r="I181" s="62" t="s">
        <v>168</v>
      </c>
      <c r="J181" s="35">
        <v>5</v>
      </c>
      <c r="K181" s="52" t="s">
        <v>196</v>
      </c>
      <c r="L181" t="s">
        <v>168</v>
      </c>
      <c r="M181" t="s">
        <v>168</v>
      </c>
      <c r="N181" t="s">
        <v>168</v>
      </c>
      <c r="O181" t="s">
        <v>168</v>
      </c>
      <c r="P181" t="s">
        <v>168</v>
      </c>
      <c r="Q181" t="s">
        <v>168</v>
      </c>
      <c r="R181" t="s">
        <v>168</v>
      </c>
      <c r="S181" t="s">
        <v>168</v>
      </c>
      <c r="T181" t="s">
        <v>168</v>
      </c>
      <c r="U181" t="s">
        <v>168</v>
      </c>
      <c r="V181" t="s">
        <v>168</v>
      </c>
      <c r="W181" t="s">
        <v>168</v>
      </c>
      <c r="X181" t="s">
        <v>168</v>
      </c>
      <c r="Y181" t="s">
        <v>168</v>
      </c>
      <c r="Z181">
        <v>2</v>
      </c>
      <c r="AA181">
        <v>1</v>
      </c>
    </row>
    <row r="182" spans="1:27" x14ac:dyDescent="0.25">
      <c r="A182" s="1" t="s">
        <v>10</v>
      </c>
      <c r="B182" s="1" t="s">
        <v>48</v>
      </c>
      <c r="C182" s="6">
        <v>44</v>
      </c>
      <c r="D182" s="33">
        <v>61</v>
      </c>
      <c r="E182" s="34">
        <v>64</v>
      </c>
      <c r="F182" s="36">
        <v>78</v>
      </c>
      <c r="G182" s="36">
        <v>78</v>
      </c>
      <c r="H182" s="36">
        <v>85</v>
      </c>
      <c r="I182" s="36">
        <v>85</v>
      </c>
      <c r="J182" s="35">
        <v>10</v>
      </c>
      <c r="K182" s="52" t="s">
        <v>196</v>
      </c>
      <c r="L182" t="s">
        <v>168</v>
      </c>
      <c r="M182" t="s">
        <v>168</v>
      </c>
      <c r="N182" t="s">
        <v>168</v>
      </c>
      <c r="O182" t="s">
        <v>168</v>
      </c>
      <c r="P182" t="s">
        <v>168</v>
      </c>
      <c r="Q182" t="s">
        <v>168</v>
      </c>
      <c r="R182" t="s">
        <v>168</v>
      </c>
      <c r="S182" t="s">
        <v>168</v>
      </c>
      <c r="T182" t="s">
        <v>168</v>
      </c>
      <c r="U182" t="s">
        <v>168</v>
      </c>
      <c r="V182" t="s">
        <v>168</v>
      </c>
      <c r="W182" t="s">
        <v>168</v>
      </c>
      <c r="X182" t="s">
        <v>168</v>
      </c>
      <c r="Y182" t="s">
        <v>168</v>
      </c>
      <c r="Z182">
        <v>2</v>
      </c>
      <c r="AA182">
        <v>1</v>
      </c>
    </row>
    <row r="183" spans="1:27" x14ac:dyDescent="0.25">
      <c r="A183" s="1" t="s">
        <v>10</v>
      </c>
      <c r="B183" s="1" t="s">
        <v>89</v>
      </c>
      <c r="C183" s="6">
        <v>57</v>
      </c>
      <c r="D183" s="33">
        <v>76</v>
      </c>
      <c r="E183" s="34">
        <v>78</v>
      </c>
      <c r="F183" s="36">
        <v>95</v>
      </c>
      <c r="G183" s="36">
        <v>95</v>
      </c>
      <c r="H183" s="62" t="s">
        <v>168</v>
      </c>
      <c r="I183" s="62" t="s">
        <v>168</v>
      </c>
      <c r="J183" s="35">
        <v>6</v>
      </c>
      <c r="K183" s="52" t="s">
        <v>196</v>
      </c>
      <c r="L183" t="s">
        <v>168</v>
      </c>
      <c r="M183" t="s">
        <v>168</v>
      </c>
      <c r="N183" t="s">
        <v>168</v>
      </c>
      <c r="O183" t="s">
        <v>168</v>
      </c>
      <c r="P183" t="s">
        <v>168</v>
      </c>
      <c r="Q183" t="s">
        <v>168</v>
      </c>
      <c r="R183" t="s">
        <v>168</v>
      </c>
      <c r="S183" t="s">
        <v>168</v>
      </c>
      <c r="T183" t="s">
        <v>168</v>
      </c>
      <c r="U183" t="s">
        <v>168</v>
      </c>
      <c r="V183" t="s">
        <v>168</v>
      </c>
      <c r="W183" t="s">
        <v>168</v>
      </c>
      <c r="X183" t="s">
        <v>168</v>
      </c>
      <c r="Y183" t="s">
        <v>168</v>
      </c>
      <c r="Z183">
        <v>2</v>
      </c>
      <c r="AA183">
        <v>1</v>
      </c>
    </row>
    <row r="184" spans="1:27" x14ac:dyDescent="0.25">
      <c r="A184" s="1" t="s">
        <v>10</v>
      </c>
      <c r="B184" s="1" t="s">
        <v>73</v>
      </c>
      <c r="C184" s="6">
        <v>52</v>
      </c>
      <c r="D184" s="33">
        <v>68</v>
      </c>
      <c r="E184" s="34">
        <v>78</v>
      </c>
      <c r="F184" s="36">
        <v>93</v>
      </c>
      <c r="G184" s="62" t="s">
        <v>168</v>
      </c>
      <c r="H184" s="62" t="s">
        <v>168</v>
      </c>
      <c r="I184" s="62" t="s">
        <v>168</v>
      </c>
      <c r="J184" s="35">
        <v>5</v>
      </c>
      <c r="K184" s="52" t="s">
        <v>196</v>
      </c>
      <c r="L184" t="s">
        <v>168</v>
      </c>
      <c r="M184" t="s">
        <v>168</v>
      </c>
      <c r="N184" t="s">
        <v>168</v>
      </c>
      <c r="O184" t="s">
        <v>168</v>
      </c>
      <c r="P184" t="s">
        <v>168</v>
      </c>
      <c r="Q184" t="s">
        <v>168</v>
      </c>
      <c r="R184" t="s">
        <v>168</v>
      </c>
      <c r="S184" t="s">
        <v>168</v>
      </c>
      <c r="T184" t="s">
        <v>168</v>
      </c>
      <c r="U184" t="s">
        <v>168</v>
      </c>
      <c r="V184" t="s">
        <v>168</v>
      </c>
      <c r="W184" t="s">
        <v>168</v>
      </c>
      <c r="X184" t="s">
        <v>168</v>
      </c>
      <c r="Y184" t="s">
        <v>168</v>
      </c>
      <c r="Z184">
        <v>2</v>
      </c>
      <c r="AA184">
        <v>1</v>
      </c>
    </row>
    <row r="185" spans="1:27" x14ac:dyDescent="0.25">
      <c r="A185" s="1" t="s">
        <v>10</v>
      </c>
      <c r="B185" s="1" t="s">
        <v>49</v>
      </c>
      <c r="C185" s="6">
        <v>42</v>
      </c>
      <c r="D185" s="33">
        <v>61</v>
      </c>
      <c r="E185" s="34">
        <v>63</v>
      </c>
      <c r="F185" s="36">
        <v>81</v>
      </c>
      <c r="G185" s="36">
        <v>82</v>
      </c>
      <c r="H185" s="36">
        <v>85</v>
      </c>
      <c r="I185" s="36">
        <v>95</v>
      </c>
      <c r="J185" s="35">
        <v>8</v>
      </c>
      <c r="K185" s="52" t="s">
        <v>196</v>
      </c>
      <c r="L185" t="s">
        <v>168</v>
      </c>
      <c r="M185" t="s">
        <v>168</v>
      </c>
      <c r="N185" t="s">
        <v>168</v>
      </c>
      <c r="O185" t="s">
        <v>168</v>
      </c>
      <c r="P185" t="s">
        <v>168</v>
      </c>
      <c r="Q185" t="s">
        <v>168</v>
      </c>
      <c r="R185" t="s">
        <v>168</v>
      </c>
      <c r="S185" t="s">
        <v>168</v>
      </c>
      <c r="T185" t="s">
        <v>168</v>
      </c>
      <c r="U185" t="s">
        <v>168</v>
      </c>
      <c r="V185" t="s">
        <v>168</v>
      </c>
      <c r="W185" t="s">
        <v>168</v>
      </c>
      <c r="X185" t="s">
        <v>168</v>
      </c>
      <c r="Y185" t="s">
        <v>168</v>
      </c>
      <c r="Z185">
        <v>2</v>
      </c>
      <c r="AA185">
        <v>1</v>
      </c>
    </row>
    <row r="186" spans="1:27" x14ac:dyDescent="0.25">
      <c r="A186" s="1" t="s">
        <v>10</v>
      </c>
      <c r="B186" s="1" t="s">
        <v>82</v>
      </c>
      <c r="C186" s="6">
        <v>48</v>
      </c>
      <c r="D186" s="33">
        <v>63</v>
      </c>
      <c r="E186" s="34">
        <v>64</v>
      </c>
      <c r="F186" s="36">
        <v>76</v>
      </c>
      <c r="G186" s="36">
        <v>76</v>
      </c>
      <c r="H186" s="36">
        <v>89</v>
      </c>
      <c r="I186" s="36">
        <v>89</v>
      </c>
      <c r="J186" s="35">
        <v>11</v>
      </c>
      <c r="K186" s="52" t="s">
        <v>196</v>
      </c>
      <c r="L186" t="s">
        <v>168</v>
      </c>
      <c r="M186" t="s">
        <v>168</v>
      </c>
      <c r="N186" t="s">
        <v>168</v>
      </c>
      <c r="O186" t="s">
        <v>168</v>
      </c>
      <c r="P186" t="s">
        <v>168</v>
      </c>
      <c r="Q186" t="s">
        <v>168</v>
      </c>
      <c r="R186" t="s">
        <v>168</v>
      </c>
      <c r="S186" t="s">
        <v>168</v>
      </c>
      <c r="T186" t="s">
        <v>168</v>
      </c>
      <c r="U186" t="s">
        <v>168</v>
      </c>
      <c r="V186" t="s">
        <v>168</v>
      </c>
      <c r="W186" t="s">
        <v>168</v>
      </c>
      <c r="X186" t="s">
        <v>168</v>
      </c>
      <c r="Y186" t="s">
        <v>168</v>
      </c>
      <c r="Z186">
        <v>2</v>
      </c>
      <c r="AA186">
        <v>1</v>
      </c>
    </row>
    <row r="187" spans="1:27" x14ac:dyDescent="0.25">
      <c r="A187" s="1" t="s">
        <v>10</v>
      </c>
      <c r="B187" s="1" t="s">
        <v>74</v>
      </c>
      <c r="C187" s="6">
        <v>53</v>
      </c>
      <c r="D187" s="33">
        <v>68</v>
      </c>
      <c r="E187" s="34">
        <v>74</v>
      </c>
      <c r="F187" s="36">
        <v>85</v>
      </c>
      <c r="G187" s="36">
        <v>88</v>
      </c>
      <c r="H187" s="36">
        <v>95</v>
      </c>
      <c r="I187" s="62" t="s">
        <v>168</v>
      </c>
      <c r="J187" s="35">
        <v>7</v>
      </c>
      <c r="K187" s="52" t="s">
        <v>196</v>
      </c>
      <c r="L187" t="s">
        <v>168</v>
      </c>
      <c r="M187" t="s">
        <v>168</v>
      </c>
      <c r="N187" t="s">
        <v>168</v>
      </c>
      <c r="O187" t="s">
        <v>168</v>
      </c>
      <c r="P187" t="s">
        <v>168</v>
      </c>
      <c r="Q187" t="s">
        <v>168</v>
      </c>
      <c r="R187" t="s">
        <v>168</v>
      </c>
      <c r="S187" t="s">
        <v>168</v>
      </c>
      <c r="T187" t="s">
        <v>168</v>
      </c>
      <c r="U187" t="s">
        <v>168</v>
      </c>
      <c r="V187" t="s">
        <v>168</v>
      </c>
      <c r="W187" t="s">
        <v>168</v>
      </c>
      <c r="X187" t="s">
        <v>168</v>
      </c>
      <c r="Y187" t="s">
        <v>168</v>
      </c>
      <c r="Z187">
        <v>2</v>
      </c>
      <c r="AA187">
        <v>1</v>
      </c>
    </row>
    <row r="188" spans="1:27" x14ac:dyDescent="0.25">
      <c r="A188" s="1" t="s">
        <v>10</v>
      </c>
      <c r="B188" s="1" t="s">
        <v>19</v>
      </c>
      <c r="C188" s="6">
        <v>63</v>
      </c>
      <c r="D188" s="33">
        <v>95</v>
      </c>
      <c r="E188" s="34" t="s">
        <v>168</v>
      </c>
      <c r="F188" s="62" t="s">
        <v>168</v>
      </c>
      <c r="G188" s="62" t="s">
        <v>168</v>
      </c>
      <c r="H188" s="62" t="s">
        <v>168</v>
      </c>
      <c r="I188" s="62" t="s">
        <v>168</v>
      </c>
      <c r="J188" s="35">
        <v>3</v>
      </c>
      <c r="K188" s="52" t="s">
        <v>196</v>
      </c>
      <c r="L188" t="s">
        <v>168</v>
      </c>
      <c r="M188" t="s">
        <v>168</v>
      </c>
      <c r="N188" t="s">
        <v>168</v>
      </c>
      <c r="O188" t="s">
        <v>168</v>
      </c>
      <c r="P188" t="s">
        <v>168</v>
      </c>
      <c r="Q188" t="s">
        <v>168</v>
      </c>
      <c r="R188" t="s">
        <v>168</v>
      </c>
      <c r="S188" t="s">
        <v>168</v>
      </c>
      <c r="T188" t="s">
        <v>168</v>
      </c>
      <c r="U188" t="s">
        <v>168</v>
      </c>
      <c r="V188" t="s">
        <v>168</v>
      </c>
      <c r="W188" t="s">
        <v>168</v>
      </c>
      <c r="X188" t="s">
        <v>168</v>
      </c>
      <c r="Y188" t="s">
        <v>168</v>
      </c>
      <c r="Z188">
        <v>2</v>
      </c>
      <c r="AA188">
        <v>1</v>
      </c>
    </row>
    <row r="189" spans="1:27" x14ac:dyDescent="0.25">
      <c r="A189" s="1" t="s">
        <v>10</v>
      </c>
      <c r="B189" s="1" t="s">
        <v>20</v>
      </c>
      <c r="C189" s="6">
        <v>44</v>
      </c>
      <c r="D189" s="33">
        <v>59</v>
      </c>
      <c r="E189" s="34">
        <v>59</v>
      </c>
      <c r="F189" s="62" t="s">
        <v>168</v>
      </c>
      <c r="G189" s="62" t="s">
        <v>168</v>
      </c>
      <c r="H189" s="62" t="s">
        <v>168</v>
      </c>
      <c r="I189" s="62" t="s">
        <v>168</v>
      </c>
      <c r="J189" s="35">
        <v>4</v>
      </c>
      <c r="K189" s="52" t="s">
        <v>196</v>
      </c>
      <c r="L189" t="s">
        <v>168</v>
      </c>
      <c r="M189" t="s">
        <v>168</v>
      </c>
      <c r="N189" t="s">
        <v>168</v>
      </c>
      <c r="O189" t="s">
        <v>168</v>
      </c>
      <c r="P189" t="s">
        <v>168</v>
      </c>
      <c r="Q189" t="s">
        <v>168</v>
      </c>
      <c r="R189" t="s">
        <v>168</v>
      </c>
      <c r="S189" t="s">
        <v>168</v>
      </c>
      <c r="T189" t="s">
        <v>168</v>
      </c>
      <c r="U189" t="s">
        <v>168</v>
      </c>
      <c r="V189" t="s">
        <v>168</v>
      </c>
      <c r="W189" t="s">
        <v>168</v>
      </c>
      <c r="X189" t="s">
        <v>168</v>
      </c>
      <c r="Y189" t="s">
        <v>168</v>
      </c>
      <c r="Z189">
        <v>2</v>
      </c>
      <c r="AA189">
        <v>1</v>
      </c>
    </row>
    <row r="190" spans="1:27" x14ac:dyDescent="0.25">
      <c r="A190" s="1" t="s">
        <v>10</v>
      </c>
      <c r="B190" s="1" t="s">
        <v>50</v>
      </c>
      <c r="C190" s="6">
        <v>46</v>
      </c>
      <c r="D190" s="33">
        <v>63</v>
      </c>
      <c r="E190" s="34">
        <v>68</v>
      </c>
      <c r="F190" s="36">
        <v>88</v>
      </c>
      <c r="G190" s="62" t="s">
        <v>168</v>
      </c>
      <c r="H190" s="62" t="s">
        <v>168</v>
      </c>
      <c r="I190" s="62" t="s">
        <v>168</v>
      </c>
      <c r="J190" s="35">
        <v>5</v>
      </c>
      <c r="K190" s="52" t="s">
        <v>196</v>
      </c>
      <c r="L190" t="s">
        <v>168</v>
      </c>
      <c r="M190" t="s">
        <v>168</v>
      </c>
      <c r="N190" t="s">
        <v>168</v>
      </c>
      <c r="O190" t="s">
        <v>168</v>
      </c>
      <c r="P190" t="s">
        <v>168</v>
      </c>
      <c r="Q190" t="s">
        <v>168</v>
      </c>
      <c r="R190" t="s">
        <v>168</v>
      </c>
      <c r="S190" t="s">
        <v>168</v>
      </c>
      <c r="T190" t="s">
        <v>168</v>
      </c>
      <c r="U190" t="s">
        <v>168</v>
      </c>
      <c r="V190" t="s">
        <v>168</v>
      </c>
      <c r="W190" t="s">
        <v>168</v>
      </c>
      <c r="X190" t="s">
        <v>168</v>
      </c>
      <c r="Y190" t="s">
        <v>168</v>
      </c>
      <c r="Z190">
        <v>2</v>
      </c>
      <c r="AA190">
        <v>1</v>
      </c>
    </row>
    <row r="191" spans="1:27" x14ac:dyDescent="0.25">
      <c r="A191" s="1" t="s">
        <v>10</v>
      </c>
      <c r="B191" s="1" t="s">
        <v>51</v>
      </c>
      <c r="C191" s="6">
        <v>50</v>
      </c>
      <c r="D191" s="33">
        <v>64</v>
      </c>
      <c r="E191" s="34">
        <v>65</v>
      </c>
      <c r="F191" s="36">
        <v>82</v>
      </c>
      <c r="G191" s="36">
        <v>82</v>
      </c>
      <c r="H191" s="36">
        <v>86</v>
      </c>
      <c r="I191" s="62" t="s">
        <v>182</v>
      </c>
      <c r="J191" s="35">
        <v>8</v>
      </c>
      <c r="K191" s="52" t="s">
        <v>196</v>
      </c>
      <c r="L191" t="s">
        <v>168</v>
      </c>
      <c r="M191" t="s">
        <v>168</v>
      </c>
      <c r="N191" t="s">
        <v>168</v>
      </c>
      <c r="O191" t="s">
        <v>168</v>
      </c>
      <c r="P191" t="s">
        <v>168</v>
      </c>
      <c r="Q191" t="s">
        <v>168</v>
      </c>
      <c r="R191" t="s">
        <v>168</v>
      </c>
      <c r="S191" t="s">
        <v>168</v>
      </c>
      <c r="T191" t="s">
        <v>168</v>
      </c>
      <c r="U191" t="s">
        <v>168</v>
      </c>
      <c r="V191" t="s">
        <v>168</v>
      </c>
      <c r="W191" t="s">
        <v>168</v>
      </c>
      <c r="X191" t="s">
        <v>168</v>
      </c>
      <c r="Y191" t="s">
        <v>168</v>
      </c>
      <c r="Z191">
        <v>2</v>
      </c>
      <c r="AA191">
        <v>1</v>
      </c>
    </row>
    <row r="192" spans="1:27" x14ac:dyDescent="0.25">
      <c r="A192" s="1" t="s">
        <v>10</v>
      </c>
      <c r="B192" s="1" t="s">
        <v>21</v>
      </c>
      <c r="C192" s="6">
        <v>46</v>
      </c>
      <c r="D192" s="33">
        <v>63</v>
      </c>
      <c r="E192" s="34">
        <v>66</v>
      </c>
      <c r="F192" s="36">
        <v>81</v>
      </c>
      <c r="G192" s="36">
        <v>81</v>
      </c>
      <c r="H192" s="36">
        <v>84</v>
      </c>
      <c r="I192" s="62" t="s">
        <v>183</v>
      </c>
      <c r="J192" s="35">
        <v>8</v>
      </c>
      <c r="K192" s="52" t="s">
        <v>196</v>
      </c>
      <c r="L192" t="s">
        <v>168</v>
      </c>
      <c r="M192" t="s">
        <v>168</v>
      </c>
      <c r="N192" t="s">
        <v>168</v>
      </c>
      <c r="O192" t="s">
        <v>168</v>
      </c>
      <c r="P192" t="s">
        <v>168</v>
      </c>
      <c r="Q192" t="s">
        <v>168</v>
      </c>
      <c r="R192" t="s">
        <v>168</v>
      </c>
      <c r="S192" t="s">
        <v>168</v>
      </c>
      <c r="T192" t="s">
        <v>168</v>
      </c>
      <c r="U192" t="s">
        <v>168</v>
      </c>
      <c r="V192" t="s">
        <v>168</v>
      </c>
      <c r="W192" t="s">
        <v>168</v>
      </c>
      <c r="X192" t="s">
        <v>168</v>
      </c>
      <c r="Y192" t="s">
        <v>168</v>
      </c>
      <c r="Z192">
        <v>2</v>
      </c>
      <c r="AA192">
        <v>1</v>
      </c>
    </row>
    <row r="193" spans="1:27" x14ac:dyDescent="0.25">
      <c r="A193" s="1" t="s">
        <v>10</v>
      </c>
      <c r="B193" s="1" t="s">
        <v>52</v>
      </c>
      <c r="C193" s="6">
        <v>71</v>
      </c>
      <c r="D193" s="33">
        <v>87</v>
      </c>
      <c r="E193" s="34">
        <v>88</v>
      </c>
      <c r="F193" s="62" t="s">
        <v>168</v>
      </c>
      <c r="G193" s="62" t="s">
        <v>168</v>
      </c>
      <c r="H193" s="62" t="s">
        <v>168</v>
      </c>
      <c r="I193" s="62" t="s">
        <v>168</v>
      </c>
      <c r="J193" s="35">
        <v>4</v>
      </c>
      <c r="K193" s="52" t="s">
        <v>196</v>
      </c>
      <c r="L193" t="s">
        <v>168</v>
      </c>
      <c r="M193" t="s">
        <v>168</v>
      </c>
      <c r="N193" t="s">
        <v>168</v>
      </c>
      <c r="O193" t="s">
        <v>168</v>
      </c>
      <c r="P193" t="s">
        <v>168</v>
      </c>
      <c r="Q193" t="s">
        <v>168</v>
      </c>
      <c r="R193" t="s">
        <v>168</v>
      </c>
      <c r="S193" t="s">
        <v>168</v>
      </c>
      <c r="T193" t="s">
        <v>168</v>
      </c>
      <c r="U193" t="s">
        <v>168</v>
      </c>
      <c r="V193" t="s">
        <v>168</v>
      </c>
      <c r="W193" t="s">
        <v>168</v>
      </c>
      <c r="X193" t="s">
        <v>168</v>
      </c>
      <c r="Y193" t="s">
        <v>168</v>
      </c>
      <c r="Z193">
        <v>2</v>
      </c>
      <c r="AA193">
        <v>1</v>
      </c>
    </row>
    <row r="194" spans="1:27" x14ac:dyDescent="0.25">
      <c r="A194" s="1" t="s">
        <v>10</v>
      </c>
      <c r="B194" s="1" t="s">
        <v>22</v>
      </c>
      <c r="C194" s="6">
        <v>52</v>
      </c>
      <c r="D194" s="33">
        <v>70</v>
      </c>
      <c r="E194" s="34">
        <v>74</v>
      </c>
      <c r="F194" s="36">
        <v>88</v>
      </c>
      <c r="G194" s="36">
        <v>92</v>
      </c>
      <c r="H194" s="36">
        <v>92</v>
      </c>
      <c r="I194" s="62" t="s">
        <v>184</v>
      </c>
      <c r="J194" s="35">
        <v>8</v>
      </c>
      <c r="K194" s="52" t="s">
        <v>196</v>
      </c>
      <c r="L194" t="s">
        <v>168</v>
      </c>
      <c r="M194" t="s">
        <v>168</v>
      </c>
      <c r="N194" t="s">
        <v>168</v>
      </c>
      <c r="O194" t="s">
        <v>168</v>
      </c>
      <c r="P194" t="s">
        <v>168</v>
      </c>
      <c r="Q194" t="s">
        <v>168</v>
      </c>
      <c r="R194" t="s">
        <v>168</v>
      </c>
      <c r="S194" t="s">
        <v>168</v>
      </c>
      <c r="T194" t="s">
        <v>168</v>
      </c>
      <c r="U194" t="s">
        <v>168</v>
      </c>
      <c r="V194" t="s">
        <v>168</v>
      </c>
      <c r="W194" t="s">
        <v>168</v>
      </c>
      <c r="X194" t="s">
        <v>168</v>
      </c>
      <c r="Y194" t="s">
        <v>168</v>
      </c>
      <c r="Z194">
        <v>2</v>
      </c>
      <c r="AA194">
        <v>1</v>
      </c>
    </row>
    <row r="195" spans="1:27" x14ac:dyDescent="0.25">
      <c r="A195" s="1" t="s">
        <v>10</v>
      </c>
      <c r="B195" s="1" t="s">
        <v>53</v>
      </c>
      <c r="C195" s="6">
        <v>95</v>
      </c>
      <c r="D195" s="33" t="s">
        <v>168</v>
      </c>
      <c r="E195" s="34" t="s">
        <v>168</v>
      </c>
      <c r="F195" s="62" t="s">
        <v>168</v>
      </c>
      <c r="G195" s="62" t="s">
        <v>168</v>
      </c>
      <c r="H195" s="62" t="s">
        <v>168</v>
      </c>
      <c r="I195" s="62" t="s">
        <v>168</v>
      </c>
      <c r="J195" s="35">
        <v>2</v>
      </c>
      <c r="K195" s="52" t="s">
        <v>196</v>
      </c>
      <c r="L195" t="s">
        <v>168</v>
      </c>
      <c r="M195" t="s">
        <v>168</v>
      </c>
      <c r="N195" t="s">
        <v>168</v>
      </c>
      <c r="O195" t="s">
        <v>168</v>
      </c>
      <c r="P195" t="s">
        <v>168</v>
      </c>
      <c r="Q195" t="s">
        <v>168</v>
      </c>
      <c r="R195" t="s">
        <v>168</v>
      </c>
      <c r="S195" t="s">
        <v>168</v>
      </c>
      <c r="T195" t="s">
        <v>168</v>
      </c>
      <c r="U195" t="s">
        <v>168</v>
      </c>
      <c r="V195" t="s">
        <v>168</v>
      </c>
      <c r="W195" t="s">
        <v>168</v>
      </c>
      <c r="X195" t="s">
        <v>168</v>
      </c>
      <c r="Y195" t="s">
        <v>168</v>
      </c>
      <c r="Z195">
        <v>2</v>
      </c>
      <c r="AA195">
        <v>1</v>
      </c>
    </row>
    <row r="196" spans="1:27" x14ac:dyDescent="0.25">
      <c r="A196" s="1" t="s">
        <v>10</v>
      </c>
      <c r="B196" s="1" t="s">
        <v>23</v>
      </c>
      <c r="C196" s="6" t="s">
        <v>168</v>
      </c>
      <c r="D196" s="33" t="s">
        <v>168</v>
      </c>
      <c r="E196" s="34" t="s">
        <v>168</v>
      </c>
      <c r="F196" s="62" t="s">
        <v>168</v>
      </c>
      <c r="G196" s="62" t="s">
        <v>168</v>
      </c>
      <c r="H196" s="62" t="s">
        <v>168</v>
      </c>
      <c r="I196" s="62" t="s">
        <v>168</v>
      </c>
      <c r="J196" s="35">
        <v>6</v>
      </c>
      <c r="K196" s="52" t="s">
        <v>196</v>
      </c>
      <c r="L196" t="s">
        <v>168</v>
      </c>
      <c r="M196" t="s">
        <v>168</v>
      </c>
      <c r="N196" t="s">
        <v>168</v>
      </c>
      <c r="O196" t="s">
        <v>168</v>
      </c>
      <c r="P196" t="s">
        <v>168</v>
      </c>
      <c r="Q196" t="s">
        <v>168</v>
      </c>
      <c r="R196" t="s">
        <v>168</v>
      </c>
      <c r="S196" t="s">
        <v>168</v>
      </c>
      <c r="T196" t="s">
        <v>168</v>
      </c>
      <c r="U196" t="s">
        <v>168</v>
      </c>
      <c r="V196" t="s">
        <v>168</v>
      </c>
      <c r="W196" t="s">
        <v>168</v>
      </c>
      <c r="X196" t="s">
        <v>168</v>
      </c>
      <c r="Y196" t="s">
        <v>168</v>
      </c>
      <c r="Z196">
        <v>2</v>
      </c>
      <c r="AA196">
        <v>1</v>
      </c>
    </row>
    <row r="197" spans="1:27" x14ac:dyDescent="0.25">
      <c r="A197" s="1" t="s">
        <v>10</v>
      </c>
      <c r="B197" s="1" t="s">
        <v>54</v>
      </c>
      <c r="C197" s="6">
        <v>43</v>
      </c>
      <c r="D197" s="33">
        <v>59</v>
      </c>
      <c r="E197" s="34">
        <v>68</v>
      </c>
      <c r="F197" s="36">
        <v>71</v>
      </c>
      <c r="G197" s="36">
        <v>72</v>
      </c>
      <c r="H197" s="36">
        <v>76</v>
      </c>
      <c r="I197" s="36">
        <v>77</v>
      </c>
      <c r="J197" s="35">
        <v>15</v>
      </c>
      <c r="K197" s="52" t="s">
        <v>196</v>
      </c>
      <c r="L197" t="s">
        <v>168</v>
      </c>
      <c r="M197" t="s">
        <v>168</v>
      </c>
      <c r="N197" t="s">
        <v>168</v>
      </c>
      <c r="O197" t="s">
        <v>168</v>
      </c>
      <c r="P197" t="s">
        <v>168</v>
      </c>
      <c r="Q197" t="s">
        <v>168</v>
      </c>
      <c r="R197" t="s">
        <v>168</v>
      </c>
      <c r="S197" t="s">
        <v>168</v>
      </c>
      <c r="T197" t="s">
        <v>168</v>
      </c>
      <c r="U197" t="s">
        <v>168</v>
      </c>
      <c r="V197" t="s">
        <v>168</v>
      </c>
      <c r="W197" t="s">
        <v>168</v>
      </c>
      <c r="X197" t="s">
        <v>168</v>
      </c>
      <c r="Y197" t="s">
        <v>168</v>
      </c>
      <c r="Z197">
        <v>2</v>
      </c>
      <c r="AA197">
        <v>1</v>
      </c>
    </row>
    <row r="198" spans="1:27" x14ac:dyDescent="0.25">
      <c r="A198" s="1" t="s">
        <v>10</v>
      </c>
      <c r="B198" s="1" t="s">
        <v>83</v>
      </c>
      <c r="C198" s="6">
        <v>42</v>
      </c>
      <c r="D198" s="33">
        <v>58</v>
      </c>
      <c r="E198" s="34">
        <v>59</v>
      </c>
      <c r="F198" s="36">
        <v>71</v>
      </c>
      <c r="G198" s="36">
        <v>72</v>
      </c>
      <c r="H198" s="36">
        <v>73</v>
      </c>
      <c r="I198" s="36">
        <v>75</v>
      </c>
      <c r="J198" s="35">
        <v>13</v>
      </c>
      <c r="K198" s="52" t="s">
        <v>196</v>
      </c>
      <c r="L198" t="s">
        <v>168</v>
      </c>
      <c r="M198" t="s">
        <v>168</v>
      </c>
      <c r="N198" t="s">
        <v>168</v>
      </c>
      <c r="O198" t="s">
        <v>168</v>
      </c>
      <c r="P198" t="s">
        <v>168</v>
      </c>
      <c r="Q198" t="s">
        <v>168</v>
      </c>
      <c r="R198" t="s">
        <v>168</v>
      </c>
      <c r="S198" t="s">
        <v>168</v>
      </c>
      <c r="T198" t="s">
        <v>168</v>
      </c>
      <c r="U198" t="s">
        <v>168</v>
      </c>
      <c r="V198" t="s">
        <v>168</v>
      </c>
      <c r="W198" t="s">
        <v>168</v>
      </c>
      <c r="X198" t="s">
        <v>168</v>
      </c>
      <c r="Y198" t="s">
        <v>168</v>
      </c>
      <c r="Z198">
        <v>2</v>
      </c>
      <c r="AA198">
        <v>1</v>
      </c>
    </row>
    <row r="199" spans="1:27" x14ac:dyDescent="0.25">
      <c r="A199" s="1" t="s">
        <v>10</v>
      </c>
      <c r="B199" s="1" t="s">
        <v>24</v>
      </c>
      <c r="C199" s="6">
        <v>52</v>
      </c>
      <c r="D199" s="33">
        <v>68</v>
      </c>
      <c r="E199" s="34">
        <v>70</v>
      </c>
      <c r="F199" s="36">
        <v>86</v>
      </c>
      <c r="G199" s="36">
        <v>87</v>
      </c>
      <c r="H199" s="36">
        <v>89</v>
      </c>
      <c r="I199" s="36">
        <v>89</v>
      </c>
      <c r="J199" s="35">
        <v>8</v>
      </c>
      <c r="K199" s="52" t="s">
        <v>196</v>
      </c>
      <c r="L199" t="s">
        <v>168</v>
      </c>
      <c r="M199" t="s">
        <v>168</v>
      </c>
      <c r="N199" t="s">
        <v>168</v>
      </c>
      <c r="O199" t="s">
        <v>168</v>
      </c>
      <c r="P199" t="s">
        <v>168</v>
      </c>
      <c r="Q199" t="s">
        <v>168</v>
      </c>
      <c r="R199" t="s">
        <v>168</v>
      </c>
      <c r="S199" t="s">
        <v>168</v>
      </c>
      <c r="T199" t="s">
        <v>168</v>
      </c>
      <c r="U199" t="s">
        <v>168</v>
      </c>
      <c r="V199" t="s">
        <v>168</v>
      </c>
      <c r="W199" t="s">
        <v>168</v>
      </c>
      <c r="X199" t="s">
        <v>168</v>
      </c>
      <c r="Y199" t="s">
        <v>168</v>
      </c>
      <c r="Z199">
        <v>2</v>
      </c>
      <c r="AA199">
        <v>1</v>
      </c>
    </row>
    <row r="200" spans="1:27" x14ac:dyDescent="0.25">
      <c r="A200" s="1" t="s">
        <v>10</v>
      </c>
      <c r="B200" s="1" t="s">
        <v>90</v>
      </c>
      <c r="C200" s="63">
        <v>52</v>
      </c>
      <c r="D200" s="33">
        <v>77</v>
      </c>
      <c r="E200" s="34">
        <v>78</v>
      </c>
      <c r="F200" s="36">
        <v>92</v>
      </c>
      <c r="G200" s="36">
        <v>92</v>
      </c>
      <c r="H200" s="36">
        <v>96</v>
      </c>
      <c r="I200" s="36">
        <v>96</v>
      </c>
      <c r="J200" s="35">
        <v>8</v>
      </c>
      <c r="K200" s="52" t="s">
        <v>196</v>
      </c>
      <c r="L200" t="s">
        <v>168</v>
      </c>
      <c r="M200" t="s">
        <v>168</v>
      </c>
      <c r="N200" t="s">
        <v>168</v>
      </c>
      <c r="O200" t="s">
        <v>168</v>
      </c>
      <c r="P200" t="s">
        <v>168</v>
      </c>
      <c r="Q200" t="s">
        <v>168</v>
      </c>
      <c r="R200" t="s">
        <v>168</v>
      </c>
      <c r="S200" t="s">
        <v>168</v>
      </c>
      <c r="T200" t="s">
        <v>168</v>
      </c>
      <c r="U200" t="s">
        <v>168</v>
      </c>
      <c r="V200" t="s">
        <v>168</v>
      </c>
      <c r="W200" t="s">
        <v>168</v>
      </c>
      <c r="X200" t="s">
        <v>168</v>
      </c>
      <c r="Y200" t="s">
        <v>168</v>
      </c>
      <c r="Z200">
        <v>2</v>
      </c>
      <c r="AA200">
        <v>1</v>
      </c>
    </row>
    <row r="201" spans="1:27" x14ac:dyDescent="0.25">
      <c r="A201" s="1" t="s">
        <v>10</v>
      </c>
      <c r="B201" s="1" t="s">
        <v>55</v>
      </c>
      <c r="C201" s="6" t="s">
        <v>168</v>
      </c>
      <c r="D201" s="33" t="s">
        <v>168</v>
      </c>
      <c r="E201" s="34" t="s">
        <v>168</v>
      </c>
      <c r="F201" s="62" t="s">
        <v>168</v>
      </c>
      <c r="G201" s="62" t="s">
        <v>168</v>
      </c>
      <c r="H201" s="62" t="s">
        <v>168</v>
      </c>
      <c r="I201" s="62" t="s">
        <v>168</v>
      </c>
      <c r="J201" s="35" t="s">
        <v>168</v>
      </c>
      <c r="K201" s="52" t="s">
        <v>196</v>
      </c>
      <c r="L201" t="s">
        <v>168</v>
      </c>
      <c r="M201" t="s">
        <v>168</v>
      </c>
      <c r="N201" t="s">
        <v>168</v>
      </c>
      <c r="O201" t="s">
        <v>168</v>
      </c>
      <c r="P201" t="s">
        <v>168</v>
      </c>
      <c r="Q201" t="s">
        <v>168</v>
      </c>
      <c r="R201" t="s">
        <v>168</v>
      </c>
      <c r="S201" t="s">
        <v>168</v>
      </c>
      <c r="T201" t="s">
        <v>168</v>
      </c>
      <c r="U201" t="s">
        <v>168</v>
      </c>
      <c r="V201" t="s">
        <v>168</v>
      </c>
      <c r="W201" t="s">
        <v>168</v>
      </c>
      <c r="X201" t="s">
        <v>168</v>
      </c>
      <c r="Y201" t="s">
        <v>168</v>
      </c>
      <c r="Z201">
        <v>2</v>
      </c>
      <c r="AA201">
        <v>1</v>
      </c>
    </row>
    <row r="202" spans="1:27" x14ac:dyDescent="0.25">
      <c r="A202" s="1" t="s">
        <v>10</v>
      </c>
      <c r="B202" s="1" t="s">
        <v>25</v>
      </c>
      <c r="C202" s="6">
        <v>52</v>
      </c>
      <c r="D202" s="33">
        <v>69</v>
      </c>
      <c r="E202" s="34">
        <v>70</v>
      </c>
      <c r="F202" s="36">
        <v>87</v>
      </c>
      <c r="G202" s="36">
        <v>88</v>
      </c>
      <c r="H202" s="62" t="s">
        <v>168</v>
      </c>
      <c r="I202" s="62" t="s">
        <v>168</v>
      </c>
      <c r="J202" s="35">
        <v>6</v>
      </c>
      <c r="K202" s="52" t="s">
        <v>196</v>
      </c>
      <c r="L202" t="s">
        <v>168</v>
      </c>
      <c r="M202" t="s">
        <v>168</v>
      </c>
      <c r="N202" t="s">
        <v>168</v>
      </c>
      <c r="O202" t="s">
        <v>168</v>
      </c>
      <c r="P202" t="s">
        <v>168</v>
      </c>
      <c r="Q202" t="s">
        <v>168</v>
      </c>
      <c r="R202" t="s">
        <v>168</v>
      </c>
      <c r="S202" t="s">
        <v>168</v>
      </c>
      <c r="T202" t="s">
        <v>168</v>
      </c>
      <c r="U202" t="s">
        <v>168</v>
      </c>
      <c r="V202" t="s">
        <v>168</v>
      </c>
      <c r="W202" t="s">
        <v>168</v>
      </c>
      <c r="X202" t="s">
        <v>168</v>
      </c>
      <c r="Y202" t="s">
        <v>168</v>
      </c>
      <c r="Z202">
        <v>2</v>
      </c>
      <c r="AA202">
        <v>1</v>
      </c>
    </row>
    <row r="203" spans="1:27" x14ac:dyDescent="0.25">
      <c r="A203" s="1" t="s">
        <v>10</v>
      </c>
      <c r="B203" s="1" t="s">
        <v>26</v>
      </c>
      <c r="C203" s="6">
        <v>46</v>
      </c>
      <c r="D203" s="33">
        <v>63</v>
      </c>
      <c r="E203" s="34">
        <v>66</v>
      </c>
      <c r="F203" s="36">
        <v>79</v>
      </c>
      <c r="G203" s="36">
        <v>79</v>
      </c>
      <c r="H203" s="36">
        <v>83</v>
      </c>
      <c r="I203" s="62" t="s">
        <v>185</v>
      </c>
      <c r="J203" s="35">
        <v>8</v>
      </c>
      <c r="K203" s="52" t="s">
        <v>196</v>
      </c>
      <c r="L203" t="s">
        <v>168</v>
      </c>
      <c r="M203" t="s">
        <v>168</v>
      </c>
      <c r="N203" t="s">
        <v>168</v>
      </c>
      <c r="O203" t="s">
        <v>168</v>
      </c>
      <c r="P203" t="s">
        <v>168</v>
      </c>
      <c r="Q203" t="s">
        <v>168</v>
      </c>
      <c r="R203" t="s">
        <v>168</v>
      </c>
      <c r="S203" t="s">
        <v>168</v>
      </c>
      <c r="T203" t="s">
        <v>168</v>
      </c>
      <c r="U203" t="s">
        <v>168</v>
      </c>
      <c r="V203" t="s">
        <v>168</v>
      </c>
      <c r="W203" t="s">
        <v>168</v>
      </c>
      <c r="X203" t="s">
        <v>168</v>
      </c>
      <c r="Y203" t="s">
        <v>168</v>
      </c>
      <c r="Z203">
        <v>2</v>
      </c>
      <c r="AA203">
        <v>1</v>
      </c>
    </row>
    <row r="204" spans="1:27" x14ac:dyDescent="0.25">
      <c r="A204" s="1" t="s">
        <v>10</v>
      </c>
      <c r="B204" s="1" t="s">
        <v>75</v>
      </c>
      <c r="C204" s="6">
        <v>50</v>
      </c>
      <c r="D204" s="33">
        <v>65</v>
      </c>
      <c r="E204" s="34">
        <v>65</v>
      </c>
      <c r="F204" s="36">
        <v>82</v>
      </c>
      <c r="G204" s="36">
        <v>84</v>
      </c>
      <c r="H204" s="62" t="s">
        <v>182</v>
      </c>
      <c r="I204" s="62" t="s">
        <v>168</v>
      </c>
      <c r="J204" s="35">
        <v>7</v>
      </c>
      <c r="K204" s="52" t="s">
        <v>196</v>
      </c>
      <c r="L204" t="s">
        <v>168</v>
      </c>
      <c r="M204" t="s">
        <v>168</v>
      </c>
      <c r="N204" t="s">
        <v>168</v>
      </c>
      <c r="O204" t="s">
        <v>168</v>
      </c>
      <c r="P204" t="s">
        <v>168</v>
      </c>
      <c r="Q204" t="s">
        <v>168</v>
      </c>
      <c r="R204" t="s">
        <v>168</v>
      </c>
      <c r="S204" t="s">
        <v>168</v>
      </c>
      <c r="T204" t="s">
        <v>168</v>
      </c>
      <c r="U204" t="s">
        <v>168</v>
      </c>
      <c r="V204" t="s">
        <v>168</v>
      </c>
      <c r="W204" t="s">
        <v>168</v>
      </c>
      <c r="X204" t="s">
        <v>168</v>
      </c>
      <c r="Y204" t="s">
        <v>168</v>
      </c>
      <c r="Z204">
        <v>2</v>
      </c>
      <c r="AA204">
        <v>1</v>
      </c>
    </row>
    <row r="205" spans="1:27" x14ac:dyDescent="0.25">
      <c r="A205" s="1" t="s">
        <v>10</v>
      </c>
      <c r="B205" s="1" t="s">
        <v>27</v>
      </c>
      <c r="C205" s="6">
        <v>53</v>
      </c>
      <c r="D205" s="33">
        <v>68</v>
      </c>
      <c r="E205" s="34">
        <v>72</v>
      </c>
      <c r="F205" s="36">
        <v>87</v>
      </c>
      <c r="G205" s="36">
        <v>96</v>
      </c>
      <c r="H205" s="62" t="s">
        <v>168</v>
      </c>
      <c r="I205" s="62" t="s">
        <v>168</v>
      </c>
      <c r="J205" s="35">
        <v>6</v>
      </c>
      <c r="K205" s="52" t="s">
        <v>196</v>
      </c>
      <c r="L205" t="s">
        <v>168</v>
      </c>
      <c r="M205" t="s">
        <v>168</v>
      </c>
      <c r="N205" t="s">
        <v>168</v>
      </c>
      <c r="O205" t="s">
        <v>168</v>
      </c>
      <c r="P205" t="s">
        <v>168</v>
      </c>
      <c r="Q205" t="s">
        <v>168</v>
      </c>
      <c r="R205" t="s">
        <v>168</v>
      </c>
      <c r="S205" t="s">
        <v>168</v>
      </c>
      <c r="T205" t="s">
        <v>168</v>
      </c>
      <c r="U205" t="s">
        <v>168</v>
      </c>
      <c r="V205" t="s">
        <v>168</v>
      </c>
      <c r="W205" t="s">
        <v>168</v>
      </c>
      <c r="X205" t="s">
        <v>168</v>
      </c>
      <c r="Y205" t="s">
        <v>168</v>
      </c>
      <c r="Z205">
        <v>2</v>
      </c>
      <c r="AA205">
        <v>1</v>
      </c>
    </row>
    <row r="206" spans="1:27" x14ac:dyDescent="0.25">
      <c r="A206" s="1" t="s">
        <v>10</v>
      </c>
      <c r="B206" s="1" t="s">
        <v>28</v>
      </c>
      <c r="C206" s="6">
        <v>52</v>
      </c>
      <c r="D206" s="33">
        <v>68</v>
      </c>
      <c r="E206" s="34">
        <v>68</v>
      </c>
      <c r="F206" s="36">
        <v>84</v>
      </c>
      <c r="G206" s="36">
        <v>85</v>
      </c>
      <c r="H206" s="62" t="s">
        <v>168</v>
      </c>
      <c r="I206" s="62" t="s">
        <v>168</v>
      </c>
      <c r="J206" s="35">
        <v>6</v>
      </c>
      <c r="K206" s="52" t="s">
        <v>196</v>
      </c>
      <c r="L206" t="s">
        <v>168</v>
      </c>
      <c r="M206" t="s">
        <v>168</v>
      </c>
      <c r="N206" t="s">
        <v>168</v>
      </c>
      <c r="O206" t="s">
        <v>168</v>
      </c>
      <c r="P206" t="s">
        <v>168</v>
      </c>
      <c r="Q206" t="s">
        <v>168</v>
      </c>
      <c r="R206" t="s">
        <v>168</v>
      </c>
      <c r="S206" t="s">
        <v>168</v>
      </c>
      <c r="T206" t="s">
        <v>168</v>
      </c>
      <c r="U206" t="s">
        <v>168</v>
      </c>
      <c r="V206" t="s">
        <v>168</v>
      </c>
      <c r="W206" t="s">
        <v>168</v>
      </c>
      <c r="X206" t="s">
        <v>168</v>
      </c>
      <c r="Y206" t="s">
        <v>168</v>
      </c>
      <c r="Z206">
        <v>2</v>
      </c>
      <c r="AA206">
        <v>1</v>
      </c>
    </row>
    <row r="207" spans="1:27" x14ac:dyDescent="0.25">
      <c r="A207" s="1" t="s">
        <v>10</v>
      </c>
      <c r="B207" s="1" t="s">
        <v>29</v>
      </c>
      <c r="C207" s="6">
        <v>70</v>
      </c>
      <c r="D207" s="33" t="s">
        <v>168</v>
      </c>
      <c r="E207" s="34" t="s">
        <v>168</v>
      </c>
      <c r="F207" s="62" t="s">
        <v>168</v>
      </c>
      <c r="G207" s="62" t="s">
        <v>168</v>
      </c>
      <c r="H207" s="62" t="s">
        <v>168</v>
      </c>
      <c r="I207" s="62" t="s">
        <v>168</v>
      </c>
      <c r="J207" s="35">
        <v>2</v>
      </c>
      <c r="K207" s="52" t="s">
        <v>196</v>
      </c>
      <c r="L207" t="s">
        <v>168</v>
      </c>
      <c r="M207" t="s">
        <v>168</v>
      </c>
      <c r="N207" t="s">
        <v>168</v>
      </c>
      <c r="O207" t="s">
        <v>168</v>
      </c>
      <c r="P207" t="s">
        <v>168</v>
      </c>
      <c r="Q207" t="s">
        <v>168</v>
      </c>
      <c r="R207" t="s">
        <v>168</v>
      </c>
      <c r="S207" t="s">
        <v>168</v>
      </c>
      <c r="T207" t="s">
        <v>168</v>
      </c>
      <c r="U207" t="s">
        <v>168</v>
      </c>
      <c r="V207" t="s">
        <v>168</v>
      </c>
      <c r="W207" t="s">
        <v>168</v>
      </c>
      <c r="X207" t="s">
        <v>168</v>
      </c>
      <c r="Y207" t="s">
        <v>168</v>
      </c>
      <c r="Z207">
        <v>2</v>
      </c>
      <c r="AA207">
        <v>1</v>
      </c>
    </row>
    <row r="208" spans="1:27" x14ac:dyDescent="0.25">
      <c r="A208" s="1" t="s">
        <v>10</v>
      </c>
      <c r="B208" s="1" t="s">
        <v>57</v>
      </c>
      <c r="C208" s="6">
        <v>48</v>
      </c>
      <c r="D208" s="33">
        <v>64</v>
      </c>
      <c r="E208" s="34">
        <v>69</v>
      </c>
      <c r="F208" s="36">
        <v>87</v>
      </c>
      <c r="G208" s="36">
        <v>91</v>
      </c>
      <c r="H208" s="62" t="s">
        <v>168</v>
      </c>
      <c r="I208" s="62" t="s">
        <v>168</v>
      </c>
      <c r="J208" s="35">
        <v>6</v>
      </c>
      <c r="K208" s="52" t="s">
        <v>196</v>
      </c>
      <c r="L208" t="s">
        <v>168</v>
      </c>
      <c r="M208" t="s">
        <v>168</v>
      </c>
      <c r="N208" t="s">
        <v>168</v>
      </c>
      <c r="O208" t="s">
        <v>168</v>
      </c>
      <c r="P208" t="s">
        <v>168</v>
      </c>
      <c r="Q208" t="s">
        <v>168</v>
      </c>
      <c r="R208" t="s">
        <v>168</v>
      </c>
      <c r="S208" t="s">
        <v>168</v>
      </c>
      <c r="T208" t="s">
        <v>168</v>
      </c>
      <c r="U208" t="s">
        <v>168</v>
      </c>
      <c r="V208" t="s">
        <v>168</v>
      </c>
      <c r="W208" t="s">
        <v>168</v>
      </c>
      <c r="X208" t="s">
        <v>168</v>
      </c>
      <c r="Y208" t="s">
        <v>168</v>
      </c>
      <c r="Z208">
        <v>2</v>
      </c>
      <c r="AA208">
        <v>1</v>
      </c>
    </row>
    <row r="209" spans="1:27" x14ac:dyDescent="0.25">
      <c r="A209" s="1" t="s">
        <v>10</v>
      </c>
      <c r="B209" s="1" t="s">
        <v>30</v>
      </c>
      <c r="C209" s="6">
        <v>48</v>
      </c>
      <c r="D209" s="33">
        <v>63</v>
      </c>
      <c r="E209" s="34">
        <v>63</v>
      </c>
      <c r="F209" s="36">
        <v>77</v>
      </c>
      <c r="G209" s="36">
        <v>77</v>
      </c>
      <c r="H209" s="36">
        <v>84</v>
      </c>
      <c r="I209" s="62" t="s">
        <v>168</v>
      </c>
      <c r="J209" s="35">
        <v>7</v>
      </c>
      <c r="K209" s="52" t="s">
        <v>196</v>
      </c>
      <c r="L209" t="s">
        <v>168</v>
      </c>
      <c r="M209" t="s">
        <v>168</v>
      </c>
      <c r="N209" t="s">
        <v>168</v>
      </c>
      <c r="O209" t="s">
        <v>168</v>
      </c>
      <c r="P209" t="s">
        <v>168</v>
      </c>
      <c r="Q209" t="s">
        <v>168</v>
      </c>
      <c r="R209" t="s">
        <v>168</v>
      </c>
      <c r="S209" t="s">
        <v>168</v>
      </c>
      <c r="T209" t="s">
        <v>168</v>
      </c>
      <c r="U209" t="s">
        <v>168</v>
      </c>
      <c r="V209" t="s">
        <v>168</v>
      </c>
      <c r="W209" t="s">
        <v>168</v>
      </c>
      <c r="X209" t="s">
        <v>168</v>
      </c>
      <c r="Y209" t="s">
        <v>168</v>
      </c>
      <c r="Z209">
        <v>2</v>
      </c>
      <c r="AA209">
        <v>1</v>
      </c>
    </row>
    <row r="210" spans="1:27" x14ac:dyDescent="0.25">
      <c r="A210" s="1" t="s">
        <v>10</v>
      </c>
      <c r="B210" s="1" t="s">
        <v>31</v>
      </c>
      <c r="C210" s="6">
        <v>58</v>
      </c>
      <c r="D210" s="33">
        <v>77</v>
      </c>
      <c r="E210" s="34">
        <v>77</v>
      </c>
      <c r="F210" s="36">
        <v>94</v>
      </c>
      <c r="G210" s="62" t="s">
        <v>186</v>
      </c>
      <c r="H210" s="62" t="s">
        <v>168</v>
      </c>
      <c r="I210" s="62" t="s">
        <v>168</v>
      </c>
      <c r="J210" s="35">
        <v>6</v>
      </c>
      <c r="K210" s="52" t="s">
        <v>196</v>
      </c>
      <c r="L210" t="s">
        <v>168</v>
      </c>
      <c r="M210" t="s">
        <v>168</v>
      </c>
      <c r="N210" t="s">
        <v>168</v>
      </c>
      <c r="O210" t="s">
        <v>168</v>
      </c>
      <c r="P210" t="s">
        <v>168</v>
      </c>
      <c r="Q210" t="s">
        <v>168</v>
      </c>
      <c r="R210" t="s">
        <v>168</v>
      </c>
      <c r="S210" t="s">
        <v>168</v>
      </c>
      <c r="T210" t="s">
        <v>168</v>
      </c>
      <c r="U210" t="s">
        <v>168</v>
      </c>
      <c r="V210" t="s">
        <v>168</v>
      </c>
      <c r="W210" t="s">
        <v>168</v>
      </c>
      <c r="X210" t="s">
        <v>168</v>
      </c>
      <c r="Y210" t="s">
        <v>168</v>
      </c>
      <c r="Z210">
        <v>2</v>
      </c>
      <c r="AA210">
        <v>1</v>
      </c>
    </row>
    <row r="211" spans="1:27" x14ac:dyDescent="0.25">
      <c r="A211" s="1" t="s">
        <v>10</v>
      </c>
      <c r="B211" s="1" t="s">
        <v>32</v>
      </c>
      <c r="C211" s="6">
        <v>61</v>
      </c>
      <c r="D211" s="33">
        <v>72</v>
      </c>
      <c r="E211" s="34">
        <v>75</v>
      </c>
      <c r="F211" s="36">
        <v>91</v>
      </c>
      <c r="G211" s="36">
        <v>91</v>
      </c>
      <c r="H211" s="36">
        <v>94</v>
      </c>
      <c r="I211" s="36">
        <v>94</v>
      </c>
      <c r="J211" s="35">
        <v>8</v>
      </c>
      <c r="K211" s="52" t="s">
        <v>196</v>
      </c>
      <c r="L211" t="s">
        <v>168</v>
      </c>
      <c r="M211" t="s">
        <v>168</v>
      </c>
      <c r="N211" t="s">
        <v>168</v>
      </c>
      <c r="O211" t="s">
        <v>168</v>
      </c>
      <c r="P211" t="s">
        <v>168</v>
      </c>
      <c r="Q211" t="s">
        <v>168</v>
      </c>
      <c r="R211" t="s">
        <v>168</v>
      </c>
      <c r="S211" t="s">
        <v>168</v>
      </c>
      <c r="T211" t="s">
        <v>168</v>
      </c>
      <c r="U211" t="s">
        <v>168</v>
      </c>
      <c r="V211" t="s">
        <v>168</v>
      </c>
      <c r="W211" t="s">
        <v>168</v>
      </c>
      <c r="X211" t="s">
        <v>168</v>
      </c>
      <c r="Y211" t="s">
        <v>168</v>
      </c>
      <c r="Z211">
        <v>2</v>
      </c>
      <c r="AA211">
        <v>1</v>
      </c>
    </row>
    <row r="212" spans="1:27" x14ac:dyDescent="0.25">
      <c r="A212" s="1" t="s">
        <v>10</v>
      </c>
      <c r="B212" s="1" t="s">
        <v>33</v>
      </c>
      <c r="C212" s="6">
        <v>47</v>
      </c>
      <c r="D212" s="33">
        <v>65</v>
      </c>
      <c r="E212" s="34">
        <v>70</v>
      </c>
      <c r="F212" s="36">
        <v>90</v>
      </c>
      <c r="G212" s="36">
        <v>92</v>
      </c>
      <c r="H212" s="62" t="s">
        <v>168</v>
      </c>
      <c r="I212" s="62" t="s">
        <v>168</v>
      </c>
      <c r="J212" s="35">
        <v>6</v>
      </c>
      <c r="K212" s="52" t="s">
        <v>196</v>
      </c>
      <c r="L212" t="s">
        <v>168</v>
      </c>
      <c r="M212" t="s">
        <v>168</v>
      </c>
      <c r="N212" t="s">
        <v>168</v>
      </c>
      <c r="O212" t="s">
        <v>168</v>
      </c>
      <c r="P212" t="s">
        <v>168</v>
      </c>
      <c r="Q212" t="s">
        <v>168</v>
      </c>
      <c r="R212" t="s">
        <v>168</v>
      </c>
      <c r="S212" t="s">
        <v>168</v>
      </c>
      <c r="T212" t="s">
        <v>168</v>
      </c>
      <c r="U212" t="s">
        <v>168</v>
      </c>
      <c r="V212" t="s">
        <v>168</v>
      </c>
      <c r="W212" t="s">
        <v>168</v>
      </c>
      <c r="X212" t="s">
        <v>168</v>
      </c>
      <c r="Y212" t="s">
        <v>168</v>
      </c>
      <c r="Z212">
        <v>2</v>
      </c>
      <c r="AA212">
        <v>1</v>
      </c>
    </row>
    <row r="213" spans="1:27" x14ac:dyDescent="0.25">
      <c r="A213" s="1" t="s">
        <v>10</v>
      </c>
      <c r="B213" s="1" t="s">
        <v>58</v>
      </c>
      <c r="C213" s="6">
        <v>44</v>
      </c>
      <c r="D213" s="33">
        <v>63</v>
      </c>
      <c r="E213" s="34">
        <v>63</v>
      </c>
      <c r="F213" s="36">
        <v>85</v>
      </c>
      <c r="G213" s="36">
        <v>87</v>
      </c>
      <c r="H213" s="62" t="s">
        <v>168</v>
      </c>
      <c r="I213" s="62" t="s">
        <v>168</v>
      </c>
      <c r="J213" s="35">
        <v>6</v>
      </c>
      <c r="K213" s="52" t="s">
        <v>196</v>
      </c>
      <c r="L213" t="s">
        <v>168</v>
      </c>
      <c r="M213" t="s">
        <v>168</v>
      </c>
      <c r="N213" t="s">
        <v>168</v>
      </c>
      <c r="O213" t="s">
        <v>168</v>
      </c>
      <c r="P213" t="s">
        <v>168</v>
      </c>
      <c r="Q213" t="s">
        <v>168</v>
      </c>
      <c r="R213" t="s">
        <v>168</v>
      </c>
      <c r="S213" t="s">
        <v>168</v>
      </c>
      <c r="T213" t="s">
        <v>168</v>
      </c>
      <c r="U213" t="s">
        <v>168</v>
      </c>
      <c r="V213" t="s">
        <v>168</v>
      </c>
      <c r="W213" t="s">
        <v>168</v>
      </c>
      <c r="X213" t="s">
        <v>168</v>
      </c>
      <c r="Y213" t="s">
        <v>168</v>
      </c>
      <c r="Z213">
        <v>2</v>
      </c>
      <c r="AA213">
        <v>1</v>
      </c>
    </row>
    <row r="214" spans="1:27" x14ac:dyDescent="0.25">
      <c r="A214" s="1" t="s">
        <v>10</v>
      </c>
      <c r="B214" s="1" t="s">
        <v>84</v>
      </c>
      <c r="C214" s="6">
        <v>48</v>
      </c>
      <c r="D214" s="33">
        <v>64</v>
      </c>
      <c r="E214" s="34">
        <v>65</v>
      </c>
      <c r="F214" s="36">
        <v>81</v>
      </c>
      <c r="G214" s="36">
        <v>81</v>
      </c>
      <c r="H214" s="62" t="s">
        <v>187</v>
      </c>
      <c r="I214" s="62" t="s">
        <v>188</v>
      </c>
      <c r="J214" s="35">
        <v>8</v>
      </c>
      <c r="K214" s="52" t="s">
        <v>196</v>
      </c>
      <c r="L214" t="s">
        <v>168</v>
      </c>
      <c r="M214" t="s">
        <v>168</v>
      </c>
      <c r="N214" t="s">
        <v>168</v>
      </c>
      <c r="O214" t="s">
        <v>168</v>
      </c>
      <c r="P214" t="s">
        <v>168</v>
      </c>
      <c r="Q214" t="s">
        <v>168</v>
      </c>
      <c r="R214" t="s">
        <v>168</v>
      </c>
      <c r="S214" t="s">
        <v>168</v>
      </c>
      <c r="T214" t="s">
        <v>168</v>
      </c>
      <c r="U214" t="s">
        <v>168</v>
      </c>
      <c r="V214" t="s">
        <v>168</v>
      </c>
      <c r="W214" t="s">
        <v>168</v>
      </c>
      <c r="X214" t="s">
        <v>168</v>
      </c>
      <c r="Y214" t="s">
        <v>168</v>
      </c>
      <c r="Z214">
        <v>2</v>
      </c>
      <c r="AA214">
        <v>1</v>
      </c>
    </row>
    <row r="215" spans="1:27" x14ac:dyDescent="0.25">
      <c r="A215" s="1" t="s">
        <v>10</v>
      </c>
      <c r="B215" s="1" t="s">
        <v>34</v>
      </c>
      <c r="C215" s="6">
        <v>48</v>
      </c>
      <c r="D215" s="33">
        <v>72</v>
      </c>
      <c r="E215" s="34">
        <v>72</v>
      </c>
      <c r="F215" s="36">
        <v>85</v>
      </c>
      <c r="G215" s="36">
        <v>86</v>
      </c>
      <c r="H215" s="62" t="s">
        <v>189</v>
      </c>
      <c r="I215" s="62" t="s">
        <v>168</v>
      </c>
      <c r="J215" s="35">
        <v>7</v>
      </c>
      <c r="K215" s="52" t="s">
        <v>196</v>
      </c>
      <c r="L215" t="s">
        <v>168</v>
      </c>
      <c r="M215" t="s">
        <v>168</v>
      </c>
      <c r="N215" t="s">
        <v>168</v>
      </c>
      <c r="O215" t="s">
        <v>168</v>
      </c>
      <c r="P215" t="s">
        <v>168</v>
      </c>
      <c r="Q215" t="s">
        <v>168</v>
      </c>
      <c r="R215" t="s">
        <v>168</v>
      </c>
      <c r="S215" t="s">
        <v>168</v>
      </c>
      <c r="T215" t="s">
        <v>168</v>
      </c>
      <c r="U215" t="s">
        <v>168</v>
      </c>
      <c r="V215" t="s">
        <v>168</v>
      </c>
      <c r="W215" t="s">
        <v>168</v>
      </c>
      <c r="X215" t="s">
        <v>168</v>
      </c>
      <c r="Y215" t="s">
        <v>168</v>
      </c>
      <c r="Z215">
        <v>2</v>
      </c>
      <c r="AA215">
        <v>1</v>
      </c>
    </row>
    <row r="216" spans="1:27" x14ac:dyDescent="0.25">
      <c r="A216" s="1" t="s">
        <v>10</v>
      </c>
      <c r="B216" s="1" t="s">
        <v>85</v>
      </c>
      <c r="C216" s="6">
        <v>51</v>
      </c>
      <c r="D216" s="33">
        <v>71</v>
      </c>
      <c r="E216" s="34">
        <v>72</v>
      </c>
      <c r="F216" s="36">
        <v>89</v>
      </c>
      <c r="G216" s="62" t="s">
        <v>190</v>
      </c>
      <c r="H216" s="62" t="s">
        <v>187</v>
      </c>
      <c r="I216" s="62" t="s">
        <v>168</v>
      </c>
      <c r="J216" s="35">
        <v>7</v>
      </c>
      <c r="K216" s="52" t="s">
        <v>196</v>
      </c>
      <c r="L216" t="s">
        <v>168</v>
      </c>
      <c r="M216" t="s">
        <v>168</v>
      </c>
      <c r="N216" t="s">
        <v>168</v>
      </c>
      <c r="O216" t="s">
        <v>168</v>
      </c>
      <c r="P216" t="s">
        <v>168</v>
      </c>
      <c r="Q216" t="s">
        <v>168</v>
      </c>
      <c r="R216" t="s">
        <v>168</v>
      </c>
      <c r="S216" t="s">
        <v>168</v>
      </c>
      <c r="T216" t="s">
        <v>168</v>
      </c>
      <c r="U216" t="s">
        <v>168</v>
      </c>
      <c r="V216" t="s">
        <v>168</v>
      </c>
      <c r="W216" t="s">
        <v>168</v>
      </c>
      <c r="X216" t="s">
        <v>168</v>
      </c>
      <c r="Y216" t="s">
        <v>168</v>
      </c>
      <c r="Z216">
        <v>2</v>
      </c>
      <c r="AA216">
        <v>1</v>
      </c>
    </row>
    <row r="217" spans="1:27" x14ac:dyDescent="0.25">
      <c r="A217" s="1" t="s">
        <v>10</v>
      </c>
      <c r="B217" s="1" t="s">
        <v>76</v>
      </c>
      <c r="C217" s="6">
        <v>47</v>
      </c>
      <c r="D217" s="33">
        <v>64</v>
      </c>
      <c r="E217" s="34">
        <v>65</v>
      </c>
      <c r="F217" s="36">
        <v>78</v>
      </c>
      <c r="G217" s="36">
        <v>96</v>
      </c>
      <c r="H217" s="36">
        <v>96</v>
      </c>
      <c r="I217" s="62" t="s">
        <v>168</v>
      </c>
      <c r="J217" s="35">
        <v>7</v>
      </c>
      <c r="K217" s="52" t="s">
        <v>196</v>
      </c>
      <c r="L217" t="s">
        <v>168</v>
      </c>
      <c r="M217" t="s">
        <v>168</v>
      </c>
      <c r="N217" t="s">
        <v>168</v>
      </c>
      <c r="O217" t="s">
        <v>168</v>
      </c>
      <c r="P217" t="s">
        <v>168</v>
      </c>
      <c r="Q217" t="s">
        <v>168</v>
      </c>
      <c r="R217" t="s">
        <v>168</v>
      </c>
      <c r="S217" t="s">
        <v>168</v>
      </c>
      <c r="T217" t="s">
        <v>168</v>
      </c>
      <c r="U217" t="s">
        <v>168</v>
      </c>
      <c r="V217" t="s">
        <v>168</v>
      </c>
      <c r="W217" t="s">
        <v>168</v>
      </c>
      <c r="X217" t="s">
        <v>168</v>
      </c>
      <c r="Y217" t="s">
        <v>168</v>
      </c>
      <c r="Z217">
        <v>2</v>
      </c>
      <c r="AA217">
        <v>1</v>
      </c>
    </row>
    <row r="218" spans="1:27" x14ac:dyDescent="0.25">
      <c r="A218" s="1" t="s">
        <v>10</v>
      </c>
      <c r="B218" s="1" t="s">
        <v>60</v>
      </c>
      <c r="C218" s="6">
        <v>48</v>
      </c>
      <c r="D218" s="33">
        <v>66</v>
      </c>
      <c r="E218" s="34">
        <v>69</v>
      </c>
      <c r="F218" s="36">
        <v>90</v>
      </c>
      <c r="G218" s="36">
        <v>96</v>
      </c>
      <c r="H218" s="62" t="s">
        <v>168</v>
      </c>
      <c r="I218" s="62" t="s">
        <v>168</v>
      </c>
      <c r="J218" s="35">
        <v>6</v>
      </c>
      <c r="K218" s="52" t="s">
        <v>196</v>
      </c>
      <c r="L218" t="s">
        <v>168</v>
      </c>
      <c r="M218" t="s">
        <v>168</v>
      </c>
      <c r="N218" t="s">
        <v>168</v>
      </c>
      <c r="O218" t="s">
        <v>168</v>
      </c>
      <c r="P218" t="s">
        <v>168</v>
      </c>
      <c r="Q218" t="s">
        <v>168</v>
      </c>
      <c r="R218" t="s">
        <v>168</v>
      </c>
      <c r="S218" t="s">
        <v>168</v>
      </c>
      <c r="T218" t="s">
        <v>168</v>
      </c>
      <c r="U218" t="s">
        <v>168</v>
      </c>
      <c r="V218" t="s">
        <v>168</v>
      </c>
      <c r="W218" t="s">
        <v>168</v>
      </c>
      <c r="X218" t="s">
        <v>168</v>
      </c>
      <c r="Y218" t="s">
        <v>168</v>
      </c>
      <c r="Z218">
        <v>2</v>
      </c>
      <c r="AA218">
        <v>1</v>
      </c>
    </row>
    <row r="219" spans="1:27" x14ac:dyDescent="0.25">
      <c r="A219" s="1" t="s">
        <v>10</v>
      </c>
      <c r="B219" s="1" t="s">
        <v>96</v>
      </c>
      <c r="C219" s="6">
        <v>52</v>
      </c>
      <c r="D219" s="33">
        <v>66</v>
      </c>
      <c r="E219" s="34">
        <v>66</v>
      </c>
      <c r="F219" s="36">
        <v>81</v>
      </c>
      <c r="G219" s="36">
        <v>81</v>
      </c>
      <c r="H219" s="36">
        <v>83</v>
      </c>
      <c r="I219" s="62" t="s">
        <v>191</v>
      </c>
      <c r="J219" s="35">
        <v>8</v>
      </c>
      <c r="K219" s="52" t="s">
        <v>196</v>
      </c>
      <c r="L219" t="s">
        <v>168</v>
      </c>
      <c r="M219" t="s">
        <v>168</v>
      </c>
      <c r="N219" t="s">
        <v>168</v>
      </c>
      <c r="O219" t="s">
        <v>168</v>
      </c>
      <c r="P219" t="s">
        <v>168</v>
      </c>
      <c r="Q219" t="s">
        <v>168</v>
      </c>
      <c r="R219" t="s">
        <v>168</v>
      </c>
      <c r="S219" t="s">
        <v>168</v>
      </c>
      <c r="T219" t="s">
        <v>168</v>
      </c>
      <c r="U219" t="s">
        <v>168</v>
      </c>
      <c r="V219" t="s">
        <v>168</v>
      </c>
      <c r="W219" t="s">
        <v>168</v>
      </c>
      <c r="X219" t="s">
        <v>168</v>
      </c>
      <c r="Y219" t="s">
        <v>168</v>
      </c>
      <c r="Z219">
        <v>2</v>
      </c>
      <c r="AA219">
        <v>1</v>
      </c>
    </row>
    <row r="220" spans="1:27" x14ac:dyDescent="0.25">
      <c r="A220" s="1" t="s">
        <v>10</v>
      </c>
      <c r="B220" s="1" t="s">
        <v>61</v>
      </c>
      <c r="C220" s="6">
        <v>37</v>
      </c>
      <c r="D220" s="33">
        <v>52</v>
      </c>
      <c r="E220" s="34">
        <v>55</v>
      </c>
      <c r="F220" s="36">
        <v>69</v>
      </c>
      <c r="G220" s="36">
        <v>69</v>
      </c>
      <c r="H220" s="36">
        <v>73</v>
      </c>
      <c r="I220" s="36">
        <v>73</v>
      </c>
      <c r="J220" s="35">
        <v>14</v>
      </c>
      <c r="K220" s="52" t="s">
        <v>196</v>
      </c>
      <c r="L220" t="s">
        <v>168</v>
      </c>
      <c r="M220" t="s">
        <v>168</v>
      </c>
      <c r="N220" t="s">
        <v>168</v>
      </c>
      <c r="O220" t="s">
        <v>168</v>
      </c>
      <c r="P220" t="s">
        <v>168</v>
      </c>
      <c r="Q220" t="s">
        <v>168</v>
      </c>
      <c r="R220" t="s">
        <v>168</v>
      </c>
      <c r="S220" t="s">
        <v>168</v>
      </c>
      <c r="T220" t="s">
        <v>168</v>
      </c>
      <c r="U220" t="s">
        <v>168</v>
      </c>
      <c r="V220" t="s">
        <v>168</v>
      </c>
      <c r="W220" t="s">
        <v>168</v>
      </c>
      <c r="X220" t="s">
        <v>168</v>
      </c>
      <c r="Y220" t="s">
        <v>168</v>
      </c>
      <c r="Z220">
        <v>2</v>
      </c>
      <c r="AA220">
        <v>1</v>
      </c>
    </row>
    <row r="221" spans="1:27" x14ac:dyDescent="0.25">
      <c r="A221" s="1" t="s">
        <v>10</v>
      </c>
      <c r="B221" s="1" t="s">
        <v>86</v>
      </c>
      <c r="C221" s="6">
        <v>47</v>
      </c>
      <c r="D221" s="33">
        <v>84</v>
      </c>
      <c r="E221" s="34">
        <v>86</v>
      </c>
      <c r="F221" s="62" t="s">
        <v>168</v>
      </c>
      <c r="G221" s="62" t="s">
        <v>168</v>
      </c>
      <c r="H221" s="62" t="s">
        <v>168</v>
      </c>
      <c r="I221" s="62" t="s">
        <v>168</v>
      </c>
      <c r="J221" s="35">
        <v>4</v>
      </c>
      <c r="K221" s="52" t="s">
        <v>196</v>
      </c>
      <c r="L221" t="s">
        <v>168</v>
      </c>
      <c r="M221" t="s">
        <v>168</v>
      </c>
      <c r="N221" t="s">
        <v>168</v>
      </c>
      <c r="O221" t="s">
        <v>168</v>
      </c>
      <c r="P221" t="s">
        <v>168</v>
      </c>
      <c r="Q221" t="s">
        <v>168</v>
      </c>
      <c r="R221" t="s">
        <v>168</v>
      </c>
      <c r="S221" t="s">
        <v>168</v>
      </c>
      <c r="T221" t="s">
        <v>168</v>
      </c>
      <c r="U221" t="s">
        <v>168</v>
      </c>
      <c r="V221" t="s">
        <v>168</v>
      </c>
      <c r="W221" t="s">
        <v>168</v>
      </c>
      <c r="X221" t="s">
        <v>168</v>
      </c>
      <c r="Y221" t="s">
        <v>168</v>
      </c>
      <c r="Z221">
        <v>2</v>
      </c>
      <c r="AA221">
        <v>1</v>
      </c>
    </row>
    <row r="222" spans="1:27" x14ac:dyDescent="0.25">
      <c r="A222" s="1" t="s">
        <v>10</v>
      </c>
      <c r="B222" s="1" t="s">
        <v>77</v>
      </c>
      <c r="C222" s="6">
        <v>48</v>
      </c>
      <c r="D222" s="33">
        <v>63</v>
      </c>
      <c r="E222" s="34">
        <v>63</v>
      </c>
      <c r="F222" s="36">
        <v>79</v>
      </c>
      <c r="G222" s="36">
        <v>84</v>
      </c>
      <c r="H222" s="36">
        <v>84</v>
      </c>
      <c r="I222" s="36">
        <v>89</v>
      </c>
      <c r="J222" s="35">
        <v>8</v>
      </c>
      <c r="K222" s="52" t="s">
        <v>196</v>
      </c>
      <c r="L222" t="s">
        <v>168</v>
      </c>
      <c r="M222" t="s">
        <v>168</v>
      </c>
      <c r="N222" t="s">
        <v>168</v>
      </c>
      <c r="O222" t="s">
        <v>168</v>
      </c>
      <c r="P222" t="s">
        <v>168</v>
      </c>
      <c r="Q222" t="s">
        <v>168</v>
      </c>
      <c r="R222" t="s">
        <v>168</v>
      </c>
      <c r="S222" t="s">
        <v>168</v>
      </c>
      <c r="T222" t="s">
        <v>168</v>
      </c>
      <c r="U222" t="s">
        <v>168</v>
      </c>
      <c r="V222" t="s">
        <v>168</v>
      </c>
      <c r="W222" t="s">
        <v>168</v>
      </c>
      <c r="X222" t="s">
        <v>168</v>
      </c>
      <c r="Y222" t="s">
        <v>168</v>
      </c>
      <c r="Z222">
        <v>2</v>
      </c>
      <c r="AA222">
        <v>1</v>
      </c>
    </row>
    <row r="223" spans="1:27" x14ac:dyDescent="0.25">
      <c r="A223" s="1" t="s">
        <v>10</v>
      </c>
      <c r="B223" s="1" t="s">
        <v>35</v>
      </c>
      <c r="C223" s="6">
        <v>51</v>
      </c>
      <c r="D223" s="33">
        <v>73</v>
      </c>
      <c r="E223" s="34">
        <v>74</v>
      </c>
      <c r="F223" s="36">
        <v>89</v>
      </c>
      <c r="G223" s="36">
        <v>89</v>
      </c>
      <c r="H223" s="36">
        <v>90</v>
      </c>
      <c r="I223" s="62" t="s">
        <v>188</v>
      </c>
      <c r="J223" s="35">
        <v>8</v>
      </c>
      <c r="K223" s="52" t="s">
        <v>196</v>
      </c>
      <c r="L223" t="s">
        <v>168</v>
      </c>
      <c r="M223" t="s">
        <v>168</v>
      </c>
      <c r="N223" t="s">
        <v>168</v>
      </c>
      <c r="O223" t="s">
        <v>168</v>
      </c>
      <c r="P223" t="s">
        <v>168</v>
      </c>
      <c r="Q223" t="s">
        <v>168</v>
      </c>
      <c r="R223" t="s">
        <v>168</v>
      </c>
      <c r="S223" t="s">
        <v>168</v>
      </c>
      <c r="T223" t="s">
        <v>168</v>
      </c>
      <c r="U223" t="s">
        <v>168</v>
      </c>
      <c r="V223" t="s">
        <v>168</v>
      </c>
      <c r="W223" t="s">
        <v>168</v>
      </c>
      <c r="X223" t="s">
        <v>168</v>
      </c>
      <c r="Y223" t="s">
        <v>168</v>
      </c>
      <c r="Z223">
        <v>2</v>
      </c>
      <c r="AA223">
        <v>1</v>
      </c>
    </row>
    <row r="224" spans="1:27" x14ac:dyDescent="0.25">
      <c r="A224" s="1" t="s">
        <v>10</v>
      </c>
      <c r="B224" s="1" t="s">
        <v>62</v>
      </c>
      <c r="C224" s="6">
        <v>37</v>
      </c>
      <c r="D224" s="33">
        <v>51</v>
      </c>
      <c r="E224" s="34">
        <v>51</v>
      </c>
      <c r="F224" s="36">
        <v>61</v>
      </c>
      <c r="G224" s="36">
        <v>63</v>
      </c>
      <c r="H224" s="36">
        <v>63</v>
      </c>
      <c r="I224" s="36">
        <v>69</v>
      </c>
      <c r="J224" s="35">
        <v>18</v>
      </c>
      <c r="K224" s="52" t="s">
        <v>196</v>
      </c>
      <c r="L224" t="s">
        <v>168</v>
      </c>
      <c r="M224" t="s">
        <v>168</v>
      </c>
      <c r="N224" t="s">
        <v>168</v>
      </c>
      <c r="O224" t="s">
        <v>168</v>
      </c>
      <c r="P224" t="s">
        <v>168</v>
      </c>
      <c r="Q224" t="s">
        <v>168</v>
      </c>
      <c r="R224" t="s">
        <v>168</v>
      </c>
      <c r="S224" t="s">
        <v>168</v>
      </c>
      <c r="T224" t="s">
        <v>168</v>
      </c>
      <c r="U224" t="s">
        <v>168</v>
      </c>
      <c r="V224" t="s">
        <v>168</v>
      </c>
      <c r="W224" t="s">
        <v>168</v>
      </c>
      <c r="X224" t="s">
        <v>168</v>
      </c>
      <c r="Y224" t="s">
        <v>168</v>
      </c>
      <c r="Z224">
        <v>2</v>
      </c>
      <c r="AA224">
        <v>1</v>
      </c>
    </row>
    <row r="225" spans="1:27" x14ac:dyDescent="0.25">
      <c r="A225" s="1" t="s">
        <v>10</v>
      </c>
      <c r="B225" s="1" t="s">
        <v>91</v>
      </c>
      <c r="C225" s="6">
        <v>43</v>
      </c>
      <c r="D225" s="33">
        <v>57</v>
      </c>
      <c r="E225" s="34">
        <v>58</v>
      </c>
      <c r="F225" s="36">
        <v>70</v>
      </c>
      <c r="G225" s="36">
        <v>71</v>
      </c>
      <c r="H225" s="36">
        <v>72</v>
      </c>
      <c r="I225" s="36">
        <v>77</v>
      </c>
      <c r="J225" s="35">
        <v>11</v>
      </c>
      <c r="K225" s="52" t="s">
        <v>196</v>
      </c>
      <c r="L225" t="s">
        <v>168</v>
      </c>
      <c r="M225" t="s">
        <v>168</v>
      </c>
      <c r="N225" t="s">
        <v>168</v>
      </c>
      <c r="O225" t="s">
        <v>168</v>
      </c>
      <c r="P225" t="s">
        <v>168</v>
      </c>
      <c r="Q225" t="s">
        <v>168</v>
      </c>
      <c r="R225" t="s">
        <v>168</v>
      </c>
      <c r="S225" t="s">
        <v>168</v>
      </c>
      <c r="T225" t="s">
        <v>168</v>
      </c>
      <c r="U225" t="s">
        <v>168</v>
      </c>
      <c r="V225" t="s">
        <v>168</v>
      </c>
      <c r="W225" t="s">
        <v>168</v>
      </c>
      <c r="X225" t="s">
        <v>168</v>
      </c>
      <c r="Y225" t="s">
        <v>168</v>
      </c>
      <c r="Z225">
        <v>2</v>
      </c>
      <c r="AA225">
        <v>1</v>
      </c>
    </row>
    <row r="226" spans="1:27" x14ac:dyDescent="0.25">
      <c r="A226" s="1" t="s">
        <v>10</v>
      </c>
      <c r="B226" s="1" t="s">
        <v>36</v>
      </c>
      <c r="C226" s="6">
        <v>42</v>
      </c>
      <c r="D226" s="33">
        <v>57</v>
      </c>
      <c r="E226" s="34">
        <v>58</v>
      </c>
      <c r="F226" s="36">
        <v>68</v>
      </c>
      <c r="G226" s="36">
        <v>68</v>
      </c>
      <c r="H226" s="36">
        <v>68</v>
      </c>
      <c r="I226" s="36">
        <v>68</v>
      </c>
      <c r="J226" s="35">
        <v>29</v>
      </c>
      <c r="K226" s="52" t="s">
        <v>196</v>
      </c>
      <c r="L226" t="s">
        <v>168</v>
      </c>
      <c r="M226" t="s">
        <v>168</v>
      </c>
      <c r="N226" t="s">
        <v>168</v>
      </c>
      <c r="O226" t="s">
        <v>168</v>
      </c>
      <c r="P226" t="s">
        <v>168</v>
      </c>
      <c r="Q226" t="s">
        <v>168</v>
      </c>
      <c r="R226" t="s">
        <v>168</v>
      </c>
      <c r="S226" t="s">
        <v>168</v>
      </c>
      <c r="T226" t="s">
        <v>168</v>
      </c>
      <c r="U226" t="s">
        <v>168</v>
      </c>
      <c r="V226" t="s">
        <v>168</v>
      </c>
      <c r="W226" t="s">
        <v>168</v>
      </c>
      <c r="X226" t="s">
        <v>168</v>
      </c>
      <c r="Y226" t="s">
        <v>168</v>
      </c>
      <c r="Z226">
        <v>2</v>
      </c>
      <c r="AA226">
        <v>1</v>
      </c>
    </row>
    <row r="227" spans="1:27" x14ac:dyDescent="0.25">
      <c r="A227" s="1" t="s">
        <v>10</v>
      </c>
      <c r="B227" s="1" t="s">
        <v>63</v>
      </c>
      <c r="C227" s="6">
        <v>51</v>
      </c>
      <c r="D227" s="33">
        <v>66</v>
      </c>
      <c r="E227" s="34">
        <v>68</v>
      </c>
      <c r="F227" s="36">
        <v>82</v>
      </c>
      <c r="G227" s="36">
        <v>82</v>
      </c>
      <c r="H227" s="62" t="s">
        <v>183</v>
      </c>
      <c r="I227" s="62" t="s">
        <v>192</v>
      </c>
      <c r="J227" s="35">
        <v>8</v>
      </c>
      <c r="K227" s="52" t="s">
        <v>196</v>
      </c>
      <c r="L227" t="s">
        <v>168</v>
      </c>
      <c r="M227" t="s">
        <v>168</v>
      </c>
      <c r="N227" t="s">
        <v>168</v>
      </c>
      <c r="O227" t="s">
        <v>168</v>
      </c>
      <c r="P227" t="s">
        <v>168</v>
      </c>
      <c r="Q227" t="s">
        <v>168</v>
      </c>
      <c r="R227" t="s">
        <v>168</v>
      </c>
      <c r="S227" t="s">
        <v>168</v>
      </c>
      <c r="T227" t="s">
        <v>168</v>
      </c>
      <c r="U227" t="s">
        <v>168</v>
      </c>
      <c r="V227" t="s">
        <v>168</v>
      </c>
      <c r="W227" t="s">
        <v>168</v>
      </c>
      <c r="X227" t="s">
        <v>168</v>
      </c>
      <c r="Y227" t="s">
        <v>168</v>
      </c>
      <c r="Z227">
        <v>2</v>
      </c>
      <c r="AA227">
        <v>1</v>
      </c>
    </row>
    <row r="228" spans="1:27" x14ac:dyDescent="0.25">
      <c r="A228" s="1" t="s">
        <v>10</v>
      </c>
      <c r="B228" s="1" t="s">
        <v>78</v>
      </c>
      <c r="C228" s="6">
        <v>52</v>
      </c>
      <c r="D228" s="33">
        <v>71</v>
      </c>
      <c r="E228" s="34">
        <v>75</v>
      </c>
      <c r="F228" s="62" t="s">
        <v>168</v>
      </c>
      <c r="G228" s="62" t="s">
        <v>168</v>
      </c>
      <c r="H228" s="62" t="s">
        <v>168</v>
      </c>
      <c r="I228" s="62" t="s">
        <v>168</v>
      </c>
      <c r="J228" s="35">
        <v>4</v>
      </c>
      <c r="K228" s="52" t="s">
        <v>196</v>
      </c>
      <c r="L228" t="s">
        <v>168</v>
      </c>
      <c r="M228" t="s">
        <v>168</v>
      </c>
      <c r="N228" t="s">
        <v>168</v>
      </c>
      <c r="O228" t="s">
        <v>168</v>
      </c>
      <c r="P228" t="s">
        <v>168</v>
      </c>
      <c r="Q228" t="s">
        <v>168</v>
      </c>
      <c r="R228" t="s">
        <v>168</v>
      </c>
      <c r="S228" t="s">
        <v>168</v>
      </c>
      <c r="T228" t="s">
        <v>168</v>
      </c>
      <c r="U228" t="s">
        <v>168</v>
      </c>
      <c r="V228" t="s">
        <v>168</v>
      </c>
      <c r="W228" t="s">
        <v>168</v>
      </c>
      <c r="X228" t="s">
        <v>168</v>
      </c>
      <c r="Y228" t="s">
        <v>168</v>
      </c>
      <c r="Z228">
        <v>2</v>
      </c>
      <c r="AA228">
        <v>1</v>
      </c>
    </row>
    <row r="229" spans="1:27" x14ac:dyDescent="0.25">
      <c r="A229" s="1" t="s">
        <v>10</v>
      </c>
      <c r="B229" s="1" t="s">
        <v>37</v>
      </c>
      <c r="C229" s="6">
        <v>84</v>
      </c>
      <c r="D229" s="33" t="s">
        <v>168</v>
      </c>
      <c r="E229" s="34" t="s">
        <v>168</v>
      </c>
      <c r="F229" s="62" t="s">
        <v>168</v>
      </c>
      <c r="G229" s="62" t="s">
        <v>168</v>
      </c>
      <c r="H229" s="62" t="s">
        <v>168</v>
      </c>
      <c r="I229" s="62" t="s">
        <v>168</v>
      </c>
      <c r="J229" s="35">
        <v>2</v>
      </c>
      <c r="K229" s="52" t="s">
        <v>196</v>
      </c>
      <c r="L229" t="s">
        <v>168</v>
      </c>
      <c r="M229" t="s">
        <v>168</v>
      </c>
      <c r="N229" t="s">
        <v>168</v>
      </c>
      <c r="O229" t="s">
        <v>168</v>
      </c>
      <c r="P229" t="s">
        <v>168</v>
      </c>
      <c r="Q229" t="s">
        <v>168</v>
      </c>
      <c r="R229" t="s">
        <v>168</v>
      </c>
      <c r="S229" t="s">
        <v>168</v>
      </c>
      <c r="T229" t="s">
        <v>168</v>
      </c>
      <c r="U229" t="s">
        <v>168</v>
      </c>
      <c r="V229" t="s">
        <v>168</v>
      </c>
      <c r="W229" t="s">
        <v>168</v>
      </c>
      <c r="X229" t="s">
        <v>168</v>
      </c>
      <c r="Y229" t="s">
        <v>168</v>
      </c>
      <c r="Z229">
        <v>2</v>
      </c>
      <c r="AA229">
        <v>1</v>
      </c>
    </row>
    <row r="230" spans="1:27" x14ac:dyDescent="0.25">
      <c r="A230" s="1" t="s">
        <v>10</v>
      </c>
      <c r="B230" s="1" t="s">
        <v>64</v>
      </c>
      <c r="C230" s="6">
        <v>71</v>
      </c>
      <c r="D230" s="33">
        <v>96</v>
      </c>
      <c r="E230" s="34">
        <v>96</v>
      </c>
      <c r="F230" s="62" t="s">
        <v>168</v>
      </c>
      <c r="G230" s="62" t="s">
        <v>168</v>
      </c>
      <c r="H230" s="62" t="s">
        <v>168</v>
      </c>
      <c r="I230" s="62" t="s">
        <v>168</v>
      </c>
      <c r="J230" s="35">
        <v>4</v>
      </c>
      <c r="K230" s="52" t="s">
        <v>196</v>
      </c>
      <c r="L230" t="s">
        <v>168</v>
      </c>
      <c r="M230" t="s">
        <v>168</v>
      </c>
      <c r="N230" t="s">
        <v>168</v>
      </c>
      <c r="O230" t="s">
        <v>168</v>
      </c>
      <c r="P230" t="s">
        <v>168</v>
      </c>
      <c r="Q230" t="s">
        <v>168</v>
      </c>
      <c r="R230" t="s">
        <v>168</v>
      </c>
      <c r="S230" t="s">
        <v>168</v>
      </c>
      <c r="T230" t="s">
        <v>168</v>
      </c>
      <c r="U230" t="s">
        <v>168</v>
      </c>
      <c r="V230" t="s">
        <v>168</v>
      </c>
      <c r="W230" t="s">
        <v>168</v>
      </c>
      <c r="X230" t="s">
        <v>168</v>
      </c>
      <c r="Y230" t="s">
        <v>168</v>
      </c>
      <c r="Z230">
        <v>2</v>
      </c>
      <c r="AA230">
        <v>1</v>
      </c>
    </row>
    <row r="231" spans="1:27" x14ac:dyDescent="0.25">
      <c r="A231" s="1" t="s">
        <v>10</v>
      </c>
      <c r="B231" s="1" t="s">
        <v>38</v>
      </c>
      <c r="C231" s="6">
        <v>46</v>
      </c>
      <c r="D231" s="33">
        <v>58</v>
      </c>
      <c r="E231" s="34">
        <v>59</v>
      </c>
      <c r="F231" s="36">
        <v>73</v>
      </c>
      <c r="G231" s="36">
        <v>73</v>
      </c>
      <c r="H231" s="36">
        <v>74</v>
      </c>
      <c r="I231" s="36">
        <v>75</v>
      </c>
      <c r="J231" s="35">
        <v>16</v>
      </c>
      <c r="K231" s="52" t="s">
        <v>196</v>
      </c>
      <c r="L231" t="s">
        <v>168</v>
      </c>
      <c r="M231" t="s">
        <v>168</v>
      </c>
      <c r="N231" t="s">
        <v>168</v>
      </c>
      <c r="O231" t="s">
        <v>168</v>
      </c>
      <c r="P231" t="s">
        <v>168</v>
      </c>
      <c r="Q231" t="s">
        <v>168</v>
      </c>
      <c r="R231" t="s">
        <v>168</v>
      </c>
      <c r="S231" t="s">
        <v>168</v>
      </c>
      <c r="T231" t="s">
        <v>168</v>
      </c>
      <c r="U231" t="s">
        <v>168</v>
      </c>
      <c r="V231" t="s">
        <v>168</v>
      </c>
      <c r="W231" t="s">
        <v>168</v>
      </c>
      <c r="X231" t="s">
        <v>168</v>
      </c>
      <c r="Y231" t="s">
        <v>168</v>
      </c>
      <c r="Z231">
        <v>2</v>
      </c>
      <c r="AA231">
        <v>1</v>
      </c>
    </row>
    <row r="232" spans="1:27" x14ac:dyDescent="0.25">
      <c r="A232" s="1" t="s">
        <v>10</v>
      </c>
      <c r="B232" s="1" t="s">
        <v>39</v>
      </c>
      <c r="C232" s="6">
        <v>66</v>
      </c>
      <c r="D232" s="33">
        <v>78</v>
      </c>
      <c r="E232" s="34">
        <v>84</v>
      </c>
      <c r="F232" s="62" t="s">
        <v>168</v>
      </c>
      <c r="G232" s="62" t="s">
        <v>168</v>
      </c>
      <c r="H232" s="62" t="s">
        <v>168</v>
      </c>
      <c r="I232" s="62" t="s">
        <v>168</v>
      </c>
      <c r="J232" s="35">
        <v>4</v>
      </c>
      <c r="K232" s="52" t="s">
        <v>196</v>
      </c>
      <c r="L232" t="s">
        <v>168</v>
      </c>
      <c r="M232" t="s">
        <v>168</v>
      </c>
      <c r="N232" t="s">
        <v>168</v>
      </c>
      <c r="O232" t="s">
        <v>168</v>
      </c>
      <c r="P232" t="s">
        <v>168</v>
      </c>
      <c r="Q232" t="s">
        <v>168</v>
      </c>
      <c r="R232" t="s">
        <v>168</v>
      </c>
      <c r="S232" t="s">
        <v>168</v>
      </c>
      <c r="T232" t="s">
        <v>168</v>
      </c>
      <c r="U232" t="s">
        <v>168</v>
      </c>
      <c r="V232" t="s">
        <v>168</v>
      </c>
      <c r="W232" t="s">
        <v>168</v>
      </c>
      <c r="X232" t="s">
        <v>168</v>
      </c>
      <c r="Y232" t="s">
        <v>168</v>
      </c>
      <c r="Z232">
        <v>2</v>
      </c>
      <c r="AA232">
        <v>1</v>
      </c>
    </row>
    <row r="233" spans="1:27" x14ac:dyDescent="0.25">
      <c r="A233" s="1" t="s">
        <v>10</v>
      </c>
      <c r="B233" s="1" t="s">
        <v>87</v>
      </c>
      <c r="C233" s="6">
        <v>44</v>
      </c>
      <c r="D233" s="33">
        <v>64</v>
      </c>
      <c r="E233" s="34">
        <v>64</v>
      </c>
      <c r="F233" s="36">
        <v>83</v>
      </c>
      <c r="G233" s="36">
        <v>83</v>
      </c>
      <c r="H233" s="36">
        <v>83</v>
      </c>
      <c r="I233" s="62" t="s">
        <v>191</v>
      </c>
      <c r="J233" s="35">
        <v>8</v>
      </c>
      <c r="K233" s="52" t="s">
        <v>196</v>
      </c>
      <c r="L233" t="s">
        <v>168</v>
      </c>
      <c r="M233" t="s">
        <v>168</v>
      </c>
      <c r="N233" t="s">
        <v>168</v>
      </c>
      <c r="O233" t="s">
        <v>168</v>
      </c>
      <c r="P233" t="s">
        <v>168</v>
      </c>
      <c r="Q233" t="s">
        <v>168</v>
      </c>
      <c r="R233" t="s">
        <v>168</v>
      </c>
      <c r="S233" t="s">
        <v>168</v>
      </c>
      <c r="T233" t="s">
        <v>168</v>
      </c>
      <c r="U233" t="s">
        <v>168</v>
      </c>
      <c r="V233" t="s">
        <v>168</v>
      </c>
      <c r="W233" t="s">
        <v>168</v>
      </c>
      <c r="X233" t="s">
        <v>168</v>
      </c>
      <c r="Y233" t="s">
        <v>168</v>
      </c>
      <c r="Z233">
        <v>2</v>
      </c>
      <c r="AA233">
        <v>1</v>
      </c>
    </row>
    <row r="234" spans="1:27" x14ac:dyDescent="0.25">
      <c r="A234" s="1" t="s">
        <v>10</v>
      </c>
      <c r="B234" s="1" t="s">
        <v>65</v>
      </c>
      <c r="C234" s="6">
        <v>49</v>
      </c>
      <c r="D234" s="33">
        <v>59</v>
      </c>
      <c r="E234" s="34">
        <v>59</v>
      </c>
      <c r="F234" s="36">
        <v>75</v>
      </c>
      <c r="G234" s="36">
        <v>75</v>
      </c>
      <c r="H234" s="36">
        <v>82</v>
      </c>
      <c r="I234" s="36">
        <v>82</v>
      </c>
      <c r="J234" s="35">
        <v>12</v>
      </c>
      <c r="K234" s="52" t="s">
        <v>196</v>
      </c>
      <c r="L234" t="s">
        <v>168</v>
      </c>
      <c r="M234" t="s">
        <v>168</v>
      </c>
      <c r="N234" t="s">
        <v>168</v>
      </c>
      <c r="O234" t="s">
        <v>168</v>
      </c>
      <c r="P234" t="s">
        <v>168</v>
      </c>
      <c r="Q234" t="s">
        <v>168</v>
      </c>
      <c r="R234" t="s">
        <v>168</v>
      </c>
      <c r="S234" t="s">
        <v>168</v>
      </c>
      <c r="T234" t="s">
        <v>168</v>
      </c>
      <c r="U234" t="s">
        <v>168</v>
      </c>
      <c r="V234" t="s">
        <v>168</v>
      </c>
      <c r="W234" t="s">
        <v>168</v>
      </c>
      <c r="X234" t="s">
        <v>168</v>
      </c>
      <c r="Y234" t="s">
        <v>168</v>
      </c>
      <c r="Z234">
        <v>2</v>
      </c>
      <c r="AA234">
        <v>1</v>
      </c>
    </row>
    <row r="235" spans="1:27" x14ac:dyDescent="0.25">
      <c r="A235" s="1" t="s">
        <v>10</v>
      </c>
      <c r="B235" s="1" t="s">
        <v>79</v>
      </c>
      <c r="C235" s="6">
        <v>65</v>
      </c>
      <c r="D235" s="33" t="s">
        <v>168</v>
      </c>
      <c r="E235" s="34" t="s">
        <v>168</v>
      </c>
      <c r="F235" s="62" t="s">
        <v>168</v>
      </c>
      <c r="G235" s="62" t="s">
        <v>168</v>
      </c>
      <c r="H235" s="62" t="s">
        <v>168</v>
      </c>
      <c r="I235" s="62" t="s">
        <v>168</v>
      </c>
      <c r="J235" s="35">
        <v>2</v>
      </c>
      <c r="K235" s="52" t="s">
        <v>196</v>
      </c>
      <c r="L235" t="s">
        <v>168</v>
      </c>
      <c r="M235" t="s">
        <v>168</v>
      </c>
      <c r="N235" t="s">
        <v>168</v>
      </c>
      <c r="O235" t="s">
        <v>168</v>
      </c>
      <c r="P235" t="s">
        <v>168</v>
      </c>
      <c r="Q235" t="s">
        <v>168</v>
      </c>
      <c r="R235" t="s">
        <v>168</v>
      </c>
      <c r="S235" t="s">
        <v>168</v>
      </c>
      <c r="T235" t="s">
        <v>168</v>
      </c>
      <c r="U235" t="s">
        <v>168</v>
      </c>
      <c r="V235" t="s">
        <v>168</v>
      </c>
      <c r="W235" t="s">
        <v>168</v>
      </c>
      <c r="X235" t="s">
        <v>168</v>
      </c>
      <c r="Y235" t="s">
        <v>168</v>
      </c>
      <c r="Z235">
        <v>2</v>
      </c>
      <c r="AA235">
        <v>1</v>
      </c>
    </row>
    <row r="236" spans="1:27" x14ac:dyDescent="0.25">
      <c r="A236" s="1" t="s">
        <v>10</v>
      </c>
      <c r="B236" s="1" t="s">
        <v>66</v>
      </c>
      <c r="C236" s="6">
        <v>52</v>
      </c>
      <c r="D236" s="33">
        <v>68</v>
      </c>
      <c r="E236" s="34">
        <v>68</v>
      </c>
      <c r="F236" s="36">
        <v>82</v>
      </c>
      <c r="G236" s="36">
        <v>86</v>
      </c>
      <c r="H236" s="36">
        <v>93</v>
      </c>
      <c r="I236" s="36">
        <v>96</v>
      </c>
      <c r="J236" s="35">
        <v>8</v>
      </c>
      <c r="K236" s="52" t="s">
        <v>196</v>
      </c>
      <c r="L236" t="s">
        <v>168</v>
      </c>
      <c r="M236" t="s">
        <v>168</v>
      </c>
      <c r="N236" t="s">
        <v>168</v>
      </c>
      <c r="O236" t="s">
        <v>168</v>
      </c>
      <c r="P236" t="s">
        <v>168</v>
      </c>
      <c r="Q236" t="s">
        <v>168</v>
      </c>
      <c r="R236" t="s">
        <v>168</v>
      </c>
      <c r="S236" t="s">
        <v>168</v>
      </c>
      <c r="T236" t="s">
        <v>168</v>
      </c>
      <c r="U236" t="s">
        <v>168</v>
      </c>
      <c r="V236" t="s">
        <v>168</v>
      </c>
      <c r="W236" t="s">
        <v>168</v>
      </c>
      <c r="X236" t="s">
        <v>168</v>
      </c>
      <c r="Y236" t="s">
        <v>168</v>
      </c>
      <c r="Z236">
        <v>2</v>
      </c>
      <c r="AA236">
        <v>1</v>
      </c>
    </row>
    <row r="237" spans="1:27" x14ac:dyDescent="0.25">
      <c r="A237" s="1" t="s">
        <v>10</v>
      </c>
      <c r="B237" s="1" t="s">
        <v>92</v>
      </c>
      <c r="C237" s="6">
        <v>55</v>
      </c>
      <c r="D237" s="33">
        <v>77</v>
      </c>
      <c r="E237" s="34">
        <v>81</v>
      </c>
      <c r="F237" s="36">
        <v>95</v>
      </c>
      <c r="G237" s="62" t="s">
        <v>168</v>
      </c>
      <c r="H237" s="62" t="s">
        <v>168</v>
      </c>
      <c r="I237" s="62" t="s">
        <v>168</v>
      </c>
      <c r="J237" s="35">
        <v>5</v>
      </c>
      <c r="K237" s="52" t="s">
        <v>196</v>
      </c>
      <c r="L237" t="s">
        <v>168</v>
      </c>
      <c r="M237" t="s">
        <v>168</v>
      </c>
      <c r="N237" t="s">
        <v>168</v>
      </c>
      <c r="O237" t="s">
        <v>168</v>
      </c>
      <c r="P237" t="s">
        <v>168</v>
      </c>
      <c r="Q237" t="s">
        <v>168</v>
      </c>
      <c r="R237" t="s">
        <v>168</v>
      </c>
      <c r="S237" t="s">
        <v>168</v>
      </c>
      <c r="T237" t="s">
        <v>168</v>
      </c>
      <c r="U237" t="s">
        <v>168</v>
      </c>
      <c r="V237" t="s">
        <v>168</v>
      </c>
      <c r="W237" t="s">
        <v>168</v>
      </c>
      <c r="X237" t="s">
        <v>168</v>
      </c>
      <c r="Y237" t="s">
        <v>168</v>
      </c>
      <c r="Z237">
        <v>2</v>
      </c>
      <c r="AA237">
        <v>1</v>
      </c>
    </row>
    <row r="238" spans="1:27" x14ac:dyDescent="0.25">
      <c r="A238" s="1" t="s">
        <v>10</v>
      </c>
      <c r="B238" s="1" t="s">
        <v>67</v>
      </c>
      <c r="C238" s="6">
        <v>71</v>
      </c>
      <c r="D238" s="33">
        <v>93</v>
      </c>
      <c r="E238" s="34">
        <v>96</v>
      </c>
      <c r="F238" s="62" t="s">
        <v>168</v>
      </c>
      <c r="G238" s="62" t="s">
        <v>168</v>
      </c>
      <c r="H238" s="62" t="s">
        <v>168</v>
      </c>
      <c r="I238" s="62" t="s">
        <v>168</v>
      </c>
      <c r="J238" s="35">
        <v>4</v>
      </c>
      <c r="K238" s="52" t="s">
        <v>196</v>
      </c>
      <c r="L238" t="s">
        <v>168</v>
      </c>
      <c r="M238" t="s">
        <v>168</v>
      </c>
      <c r="N238" t="s">
        <v>168</v>
      </c>
      <c r="O238" t="s">
        <v>168</v>
      </c>
      <c r="P238" t="s">
        <v>168</v>
      </c>
      <c r="Q238" t="s">
        <v>168</v>
      </c>
      <c r="R238" t="s">
        <v>168</v>
      </c>
      <c r="S238" t="s">
        <v>168</v>
      </c>
      <c r="T238" t="s">
        <v>168</v>
      </c>
      <c r="U238" t="s">
        <v>168</v>
      </c>
      <c r="V238" t="s">
        <v>168</v>
      </c>
      <c r="W238" t="s">
        <v>168</v>
      </c>
      <c r="X238" t="s">
        <v>168</v>
      </c>
      <c r="Y238" t="s">
        <v>168</v>
      </c>
      <c r="Z238">
        <v>2</v>
      </c>
      <c r="AA238">
        <v>1</v>
      </c>
    </row>
    <row r="239" spans="1:27" x14ac:dyDescent="0.25">
      <c r="A239" s="1" t="s">
        <v>10</v>
      </c>
      <c r="B239" s="1" t="s">
        <v>68</v>
      </c>
      <c r="C239" s="6">
        <v>44</v>
      </c>
      <c r="D239" s="33">
        <v>59</v>
      </c>
      <c r="E239" s="34">
        <v>61</v>
      </c>
      <c r="F239" s="36">
        <v>71</v>
      </c>
      <c r="G239" s="36">
        <v>77</v>
      </c>
      <c r="H239" s="36">
        <v>79</v>
      </c>
      <c r="I239" s="36">
        <v>79</v>
      </c>
      <c r="J239" s="35">
        <v>10</v>
      </c>
      <c r="K239" s="52" t="s">
        <v>196</v>
      </c>
      <c r="L239" t="s">
        <v>168</v>
      </c>
      <c r="M239" t="s">
        <v>168</v>
      </c>
      <c r="N239" t="s">
        <v>168</v>
      </c>
      <c r="O239" t="s">
        <v>168</v>
      </c>
      <c r="P239" t="s">
        <v>168</v>
      </c>
      <c r="Q239" t="s">
        <v>168</v>
      </c>
      <c r="R239" t="s">
        <v>168</v>
      </c>
      <c r="S239" t="s">
        <v>168</v>
      </c>
      <c r="T239" t="s">
        <v>168</v>
      </c>
      <c r="U239" t="s">
        <v>168</v>
      </c>
      <c r="V239" t="s">
        <v>168</v>
      </c>
      <c r="W239" t="s">
        <v>168</v>
      </c>
      <c r="X239" t="s">
        <v>168</v>
      </c>
      <c r="Y239" t="s">
        <v>168</v>
      </c>
      <c r="Z239">
        <v>2</v>
      </c>
      <c r="AA239">
        <v>1</v>
      </c>
    </row>
    <row r="240" spans="1:27" x14ac:dyDescent="0.25">
      <c r="A240" s="1" t="s">
        <v>10</v>
      </c>
      <c r="B240" s="1" t="s">
        <v>40</v>
      </c>
      <c r="C240" s="6">
        <v>54</v>
      </c>
      <c r="D240" s="33">
        <v>70</v>
      </c>
      <c r="E240" s="34">
        <v>71</v>
      </c>
      <c r="F240" s="36">
        <v>85</v>
      </c>
      <c r="G240" s="36">
        <v>90</v>
      </c>
      <c r="H240" s="36">
        <v>96</v>
      </c>
      <c r="I240" s="62" t="s">
        <v>168</v>
      </c>
      <c r="J240" s="35">
        <v>7</v>
      </c>
      <c r="K240" s="52" t="s">
        <v>196</v>
      </c>
      <c r="L240" t="s">
        <v>168</v>
      </c>
      <c r="M240" t="s">
        <v>168</v>
      </c>
      <c r="N240" t="s">
        <v>168</v>
      </c>
      <c r="O240" t="s">
        <v>168</v>
      </c>
      <c r="P240" t="s">
        <v>168</v>
      </c>
      <c r="Q240" t="s">
        <v>168</v>
      </c>
      <c r="R240" t="s">
        <v>168</v>
      </c>
      <c r="S240" t="s">
        <v>168</v>
      </c>
      <c r="T240" t="s">
        <v>168</v>
      </c>
      <c r="U240" t="s">
        <v>168</v>
      </c>
      <c r="V240" t="s">
        <v>168</v>
      </c>
      <c r="W240" t="s">
        <v>168</v>
      </c>
      <c r="X240" t="s">
        <v>168</v>
      </c>
      <c r="Y240" t="s">
        <v>168</v>
      </c>
      <c r="Z240">
        <v>2</v>
      </c>
      <c r="AA240">
        <v>1</v>
      </c>
    </row>
    <row r="241" spans="1:27" x14ac:dyDescent="0.25">
      <c r="A241" s="1" t="s">
        <v>10</v>
      </c>
      <c r="B241" s="1" t="s">
        <v>69</v>
      </c>
      <c r="C241" s="6">
        <v>57</v>
      </c>
      <c r="D241" s="33">
        <v>78</v>
      </c>
      <c r="E241" s="34">
        <v>82</v>
      </c>
      <c r="F241" s="62" t="s">
        <v>168</v>
      </c>
      <c r="G241" s="62" t="s">
        <v>168</v>
      </c>
      <c r="H241" s="62" t="s">
        <v>168</v>
      </c>
      <c r="I241" s="62" t="s">
        <v>168</v>
      </c>
      <c r="J241" s="35">
        <v>4</v>
      </c>
      <c r="K241" s="52" t="s">
        <v>196</v>
      </c>
      <c r="L241" t="s">
        <v>168</v>
      </c>
      <c r="M241" t="s">
        <v>168</v>
      </c>
      <c r="N241" t="s">
        <v>168</v>
      </c>
      <c r="O241" t="s">
        <v>168</v>
      </c>
      <c r="P241" t="s">
        <v>168</v>
      </c>
      <c r="Q241" t="s">
        <v>168</v>
      </c>
      <c r="R241" t="s">
        <v>168</v>
      </c>
      <c r="S241" t="s">
        <v>168</v>
      </c>
      <c r="T241" t="s">
        <v>168</v>
      </c>
      <c r="U241" t="s">
        <v>168</v>
      </c>
      <c r="V241" t="s">
        <v>168</v>
      </c>
      <c r="W241" t="s">
        <v>168</v>
      </c>
      <c r="X241" t="s">
        <v>168</v>
      </c>
      <c r="Y241" t="s">
        <v>168</v>
      </c>
      <c r="Z241">
        <v>2</v>
      </c>
      <c r="AA241">
        <v>1</v>
      </c>
    </row>
    <row r="242" spans="1:27" x14ac:dyDescent="0.25">
      <c r="A242" s="1" t="s">
        <v>10</v>
      </c>
      <c r="B242" s="1" t="s">
        <v>41</v>
      </c>
      <c r="C242" s="6">
        <v>43</v>
      </c>
      <c r="D242" s="33">
        <v>63</v>
      </c>
      <c r="E242" s="34">
        <v>63</v>
      </c>
      <c r="F242" s="36">
        <v>77</v>
      </c>
      <c r="G242" s="36">
        <v>79</v>
      </c>
      <c r="H242" s="36">
        <v>92</v>
      </c>
      <c r="I242" s="36">
        <v>92</v>
      </c>
      <c r="J242" s="35">
        <v>8</v>
      </c>
      <c r="K242" s="52" t="s">
        <v>196</v>
      </c>
      <c r="L242" t="s">
        <v>168</v>
      </c>
      <c r="M242" t="s">
        <v>168</v>
      </c>
      <c r="N242" t="s">
        <v>168</v>
      </c>
      <c r="O242" t="s">
        <v>168</v>
      </c>
      <c r="P242" t="s">
        <v>168</v>
      </c>
      <c r="Q242" t="s">
        <v>168</v>
      </c>
      <c r="R242" t="s">
        <v>168</v>
      </c>
      <c r="S242" t="s">
        <v>168</v>
      </c>
      <c r="T242" t="s">
        <v>168</v>
      </c>
      <c r="U242" t="s">
        <v>168</v>
      </c>
      <c r="V242" t="s">
        <v>168</v>
      </c>
      <c r="W242" t="s">
        <v>168</v>
      </c>
      <c r="X242" t="s">
        <v>168</v>
      </c>
      <c r="Y242" t="s">
        <v>168</v>
      </c>
      <c r="Z242">
        <v>2</v>
      </c>
      <c r="AA242">
        <v>1</v>
      </c>
    </row>
    <row r="243" spans="1:27" x14ac:dyDescent="0.25">
      <c r="A243" s="1" t="s">
        <v>10</v>
      </c>
      <c r="B243" s="1" t="s">
        <v>42</v>
      </c>
      <c r="C243" s="6">
        <v>61</v>
      </c>
      <c r="D243" s="33">
        <v>81</v>
      </c>
      <c r="E243" s="34">
        <v>84</v>
      </c>
      <c r="F243" s="62" t="s">
        <v>168</v>
      </c>
      <c r="G243" s="62" t="s">
        <v>168</v>
      </c>
      <c r="H243" s="62" t="s">
        <v>168</v>
      </c>
      <c r="I243" s="62" t="s">
        <v>168</v>
      </c>
      <c r="J243" s="35">
        <v>4</v>
      </c>
      <c r="K243" s="52" t="s">
        <v>196</v>
      </c>
      <c r="L243" t="s">
        <v>168</v>
      </c>
      <c r="M243" t="s">
        <v>168</v>
      </c>
      <c r="N243" t="s">
        <v>168</v>
      </c>
      <c r="O243" t="s">
        <v>168</v>
      </c>
      <c r="P243" t="s">
        <v>168</v>
      </c>
      <c r="Q243" t="s">
        <v>168</v>
      </c>
      <c r="R243" t="s">
        <v>168</v>
      </c>
      <c r="S243" t="s">
        <v>168</v>
      </c>
      <c r="T243" t="s">
        <v>168</v>
      </c>
      <c r="U243" t="s">
        <v>168</v>
      </c>
      <c r="V243" t="s">
        <v>168</v>
      </c>
      <c r="W243" t="s">
        <v>168</v>
      </c>
      <c r="X243" t="s">
        <v>168</v>
      </c>
      <c r="Y243" t="s">
        <v>168</v>
      </c>
      <c r="Z243">
        <v>2</v>
      </c>
      <c r="AA243">
        <v>1</v>
      </c>
    </row>
    <row r="244" spans="1:27" x14ac:dyDescent="0.25">
      <c r="A244" s="1" t="s">
        <v>10</v>
      </c>
      <c r="B244" s="1" t="s">
        <v>43</v>
      </c>
      <c r="C244" s="6">
        <v>54</v>
      </c>
      <c r="D244" s="33">
        <v>73</v>
      </c>
      <c r="E244" s="34">
        <v>73</v>
      </c>
      <c r="F244" s="36">
        <v>85</v>
      </c>
      <c r="G244" s="62" t="s">
        <v>190</v>
      </c>
      <c r="H244" s="62" t="s">
        <v>193</v>
      </c>
      <c r="I244" s="62" t="s">
        <v>168</v>
      </c>
      <c r="J244" s="35">
        <v>7</v>
      </c>
      <c r="K244" s="52" t="s">
        <v>196</v>
      </c>
      <c r="L244" t="s">
        <v>168</v>
      </c>
      <c r="M244" t="s">
        <v>168</v>
      </c>
      <c r="N244" t="s">
        <v>168</v>
      </c>
      <c r="O244" t="s">
        <v>168</v>
      </c>
      <c r="P244" t="s">
        <v>168</v>
      </c>
      <c r="Q244" t="s">
        <v>168</v>
      </c>
      <c r="R244" t="s">
        <v>168</v>
      </c>
      <c r="S244" t="s">
        <v>168</v>
      </c>
      <c r="T244" t="s">
        <v>168</v>
      </c>
      <c r="U244" t="s">
        <v>168</v>
      </c>
      <c r="V244" t="s">
        <v>168</v>
      </c>
      <c r="W244" t="s">
        <v>168</v>
      </c>
      <c r="X244" t="s">
        <v>168</v>
      </c>
      <c r="Y244" t="s">
        <v>168</v>
      </c>
      <c r="Z244">
        <v>2</v>
      </c>
      <c r="AA244">
        <v>1</v>
      </c>
    </row>
    <row r="245" spans="1:27" x14ac:dyDescent="0.25">
      <c r="A245" s="1" t="s">
        <v>10</v>
      </c>
      <c r="B245" s="1" t="s">
        <v>70</v>
      </c>
      <c r="C245" s="6">
        <v>43</v>
      </c>
      <c r="D245" s="33">
        <v>58</v>
      </c>
      <c r="E245" s="34">
        <v>60</v>
      </c>
      <c r="F245" s="36">
        <v>76</v>
      </c>
      <c r="G245" s="36">
        <v>76</v>
      </c>
      <c r="H245" s="36">
        <v>78</v>
      </c>
      <c r="I245" s="36">
        <v>88</v>
      </c>
      <c r="J245" s="35">
        <v>11</v>
      </c>
      <c r="K245" s="52" t="s">
        <v>196</v>
      </c>
      <c r="L245" t="s">
        <v>168</v>
      </c>
      <c r="M245" t="s">
        <v>168</v>
      </c>
      <c r="N245" t="s">
        <v>168</v>
      </c>
      <c r="O245" t="s">
        <v>168</v>
      </c>
      <c r="P245" t="s">
        <v>168</v>
      </c>
      <c r="Q245" t="s">
        <v>168</v>
      </c>
      <c r="R245" t="s">
        <v>168</v>
      </c>
      <c r="S245" t="s">
        <v>168</v>
      </c>
      <c r="T245" t="s">
        <v>168</v>
      </c>
      <c r="U245" t="s">
        <v>168</v>
      </c>
      <c r="V245" t="s">
        <v>168</v>
      </c>
      <c r="W245" t="s">
        <v>168</v>
      </c>
      <c r="X245" t="s">
        <v>168</v>
      </c>
      <c r="Y245" t="s">
        <v>168</v>
      </c>
      <c r="Z245">
        <v>2</v>
      </c>
      <c r="AA245">
        <v>1</v>
      </c>
    </row>
    <row r="246" spans="1:27" x14ac:dyDescent="0.25">
      <c r="A246" s="1" t="s">
        <v>10</v>
      </c>
      <c r="B246" s="1" t="s">
        <v>44</v>
      </c>
      <c r="C246" s="6">
        <v>52</v>
      </c>
      <c r="D246" s="33">
        <v>72</v>
      </c>
      <c r="E246" s="34">
        <v>74</v>
      </c>
      <c r="F246" s="62" t="s">
        <v>168</v>
      </c>
      <c r="G246" s="62" t="s">
        <v>168</v>
      </c>
      <c r="H246" s="62" t="s">
        <v>168</v>
      </c>
      <c r="I246" s="62" t="s">
        <v>168</v>
      </c>
      <c r="J246" s="35">
        <v>4</v>
      </c>
      <c r="K246" s="52" t="s">
        <v>196</v>
      </c>
      <c r="L246" t="s">
        <v>168</v>
      </c>
      <c r="M246" t="s">
        <v>168</v>
      </c>
      <c r="N246" t="s">
        <v>168</v>
      </c>
      <c r="O246" t="s">
        <v>168</v>
      </c>
      <c r="P246" t="s">
        <v>168</v>
      </c>
      <c r="Q246" t="s">
        <v>168</v>
      </c>
      <c r="R246" t="s">
        <v>168</v>
      </c>
      <c r="S246" t="s">
        <v>168</v>
      </c>
      <c r="T246" t="s">
        <v>168</v>
      </c>
      <c r="U246" t="s">
        <v>168</v>
      </c>
      <c r="V246" t="s">
        <v>168</v>
      </c>
      <c r="W246" t="s">
        <v>168</v>
      </c>
      <c r="X246" t="s">
        <v>168</v>
      </c>
      <c r="Y246" t="s">
        <v>168</v>
      </c>
      <c r="Z246">
        <v>2</v>
      </c>
      <c r="AA246">
        <v>1</v>
      </c>
    </row>
    <row r="247" spans="1:27" x14ac:dyDescent="0.25">
      <c r="A247" s="1" t="s">
        <v>10</v>
      </c>
      <c r="B247" s="1" t="s">
        <v>80</v>
      </c>
      <c r="C247" s="6">
        <v>54</v>
      </c>
      <c r="D247" s="33">
        <v>74</v>
      </c>
      <c r="E247" s="34">
        <v>74</v>
      </c>
      <c r="F247" s="36">
        <v>90</v>
      </c>
      <c r="G247" s="36">
        <v>96</v>
      </c>
      <c r="H247" s="62" t="s">
        <v>168</v>
      </c>
      <c r="I247" s="62" t="s">
        <v>168</v>
      </c>
      <c r="J247" s="35">
        <v>6</v>
      </c>
      <c r="K247" s="52" t="s">
        <v>196</v>
      </c>
      <c r="L247" t="s">
        <v>168</v>
      </c>
      <c r="M247" t="s">
        <v>168</v>
      </c>
      <c r="N247" t="s">
        <v>168</v>
      </c>
      <c r="O247" t="s">
        <v>168</v>
      </c>
      <c r="P247" t="s">
        <v>168</v>
      </c>
      <c r="Q247" t="s">
        <v>168</v>
      </c>
      <c r="R247" t="s">
        <v>168</v>
      </c>
      <c r="S247" t="s">
        <v>168</v>
      </c>
      <c r="T247" t="s">
        <v>168</v>
      </c>
      <c r="U247" t="s">
        <v>168</v>
      </c>
      <c r="V247" t="s">
        <v>168</v>
      </c>
      <c r="W247" t="s">
        <v>168</v>
      </c>
      <c r="X247" t="s">
        <v>168</v>
      </c>
      <c r="Y247" t="s">
        <v>168</v>
      </c>
      <c r="Z247">
        <v>2</v>
      </c>
      <c r="AA247">
        <v>1</v>
      </c>
    </row>
    <row r="248" spans="1:27" x14ac:dyDescent="0.25">
      <c r="A248" s="1" t="s">
        <v>10</v>
      </c>
      <c r="B248" s="1" t="s">
        <v>99</v>
      </c>
      <c r="C248" s="6">
        <v>51</v>
      </c>
      <c r="D248" s="33">
        <v>70</v>
      </c>
      <c r="E248" s="34">
        <v>72</v>
      </c>
      <c r="F248" s="36">
        <v>90</v>
      </c>
      <c r="G248" s="36">
        <v>92</v>
      </c>
      <c r="H248" s="62" t="s">
        <v>168</v>
      </c>
      <c r="I248" s="62" t="s">
        <v>168</v>
      </c>
      <c r="J248" s="35">
        <v>6</v>
      </c>
      <c r="K248" s="52" t="s">
        <v>196</v>
      </c>
      <c r="L248" t="s">
        <v>168</v>
      </c>
      <c r="M248" t="s">
        <v>168</v>
      </c>
      <c r="N248" t="s">
        <v>168</v>
      </c>
      <c r="O248" t="s">
        <v>168</v>
      </c>
      <c r="P248" t="s">
        <v>168</v>
      </c>
      <c r="Q248" t="s">
        <v>168</v>
      </c>
      <c r="R248" t="s">
        <v>168</v>
      </c>
      <c r="S248" t="s">
        <v>168</v>
      </c>
      <c r="T248" t="s">
        <v>168</v>
      </c>
      <c r="U248" t="s">
        <v>168</v>
      </c>
      <c r="V248" t="s">
        <v>168</v>
      </c>
      <c r="W248" t="s">
        <v>168</v>
      </c>
      <c r="X248" t="s">
        <v>168</v>
      </c>
      <c r="Y248" t="s">
        <v>168</v>
      </c>
      <c r="Z248">
        <v>2</v>
      </c>
      <c r="AA248">
        <v>1</v>
      </c>
    </row>
    <row r="249" spans="1:27" x14ac:dyDescent="0.25">
      <c r="A249" s="1" t="s">
        <v>10</v>
      </c>
      <c r="B249" s="1" t="s">
        <v>169</v>
      </c>
      <c r="C249" s="6">
        <v>72</v>
      </c>
      <c r="D249" s="33">
        <v>86</v>
      </c>
      <c r="E249" s="34">
        <v>92</v>
      </c>
      <c r="F249" s="62" t="s">
        <v>168</v>
      </c>
      <c r="G249" s="62" t="s">
        <v>168</v>
      </c>
      <c r="H249" s="62" t="s">
        <v>168</v>
      </c>
      <c r="I249" s="62" t="s">
        <v>168</v>
      </c>
      <c r="J249" s="35">
        <v>4</v>
      </c>
      <c r="K249" s="52" t="s">
        <v>196</v>
      </c>
      <c r="L249" t="s">
        <v>168</v>
      </c>
      <c r="M249" t="s">
        <v>168</v>
      </c>
      <c r="N249" t="s">
        <v>168</v>
      </c>
      <c r="O249" t="s">
        <v>168</v>
      </c>
      <c r="P249" t="s">
        <v>168</v>
      </c>
      <c r="Q249" t="s">
        <v>168</v>
      </c>
      <c r="R249" t="s">
        <v>168</v>
      </c>
      <c r="S249" t="s">
        <v>168</v>
      </c>
      <c r="T249" t="s">
        <v>168</v>
      </c>
      <c r="U249" t="s">
        <v>168</v>
      </c>
      <c r="V249" t="s">
        <v>168</v>
      </c>
      <c r="W249" t="s">
        <v>168</v>
      </c>
      <c r="X249" t="s">
        <v>168</v>
      </c>
      <c r="Y249" t="s">
        <v>168</v>
      </c>
      <c r="Z249">
        <v>2</v>
      </c>
      <c r="AA249">
        <v>1</v>
      </c>
    </row>
    <row r="250" spans="1:27" x14ac:dyDescent="0.25">
      <c r="A250" s="1" t="s">
        <v>10</v>
      </c>
      <c r="B250" s="1" t="s">
        <v>97</v>
      </c>
      <c r="C250" s="6">
        <v>51</v>
      </c>
      <c r="D250" s="33">
        <v>64</v>
      </c>
      <c r="E250" s="34">
        <v>64</v>
      </c>
      <c r="F250" s="36">
        <v>77</v>
      </c>
      <c r="G250" s="36">
        <v>77</v>
      </c>
      <c r="H250" s="36">
        <v>82</v>
      </c>
      <c r="I250" s="36">
        <v>93</v>
      </c>
      <c r="J250" s="35">
        <v>8</v>
      </c>
      <c r="K250" s="52" t="s">
        <v>196</v>
      </c>
      <c r="L250" t="s">
        <v>168</v>
      </c>
      <c r="M250" t="s">
        <v>168</v>
      </c>
      <c r="N250" t="s">
        <v>168</v>
      </c>
      <c r="O250" t="s">
        <v>168</v>
      </c>
      <c r="P250" t="s">
        <v>168</v>
      </c>
      <c r="Q250" t="s">
        <v>168</v>
      </c>
      <c r="R250" t="s">
        <v>168</v>
      </c>
      <c r="S250" t="s">
        <v>168</v>
      </c>
      <c r="T250" t="s">
        <v>168</v>
      </c>
      <c r="U250" t="s">
        <v>168</v>
      </c>
      <c r="V250" t="s">
        <v>168</v>
      </c>
      <c r="W250" t="s">
        <v>168</v>
      </c>
      <c r="X250" t="s">
        <v>168</v>
      </c>
      <c r="Y250" t="s">
        <v>168</v>
      </c>
      <c r="Z250">
        <v>2</v>
      </c>
      <c r="AA250">
        <v>1</v>
      </c>
    </row>
    <row r="251" spans="1:27" x14ac:dyDescent="0.25">
      <c r="A251" s="1" t="s">
        <v>10</v>
      </c>
      <c r="B251" s="1" t="s">
        <v>71</v>
      </c>
      <c r="C251" s="6">
        <v>48</v>
      </c>
      <c r="D251" s="33">
        <v>70</v>
      </c>
      <c r="E251" s="34">
        <v>71</v>
      </c>
      <c r="F251" s="62" t="s">
        <v>168</v>
      </c>
      <c r="G251" s="62" t="s">
        <v>168</v>
      </c>
      <c r="H251" s="62" t="s">
        <v>168</v>
      </c>
      <c r="I251" s="62" t="s">
        <v>168</v>
      </c>
      <c r="J251" s="35">
        <v>4</v>
      </c>
      <c r="K251" s="52" t="s">
        <v>196</v>
      </c>
      <c r="L251" t="s">
        <v>168</v>
      </c>
      <c r="M251" t="s">
        <v>168</v>
      </c>
      <c r="N251" t="s">
        <v>168</v>
      </c>
      <c r="O251" t="s">
        <v>168</v>
      </c>
      <c r="P251" t="s">
        <v>168</v>
      </c>
      <c r="Q251" t="s">
        <v>168</v>
      </c>
      <c r="R251" t="s">
        <v>168</v>
      </c>
      <c r="S251" t="s">
        <v>168</v>
      </c>
      <c r="T251" t="s">
        <v>168</v>
      </c>
      <c r="U251" t="s">
        <v>168</v>
      </c>
      <c r="V251" t="s">
        <v>168</v>
      </c>
      <c r="W251" t="s">
        <v>168</v>
      </c>
      <c r="X251" t="s">
        <v>168</v>
      </c>
      <c r="Y251" t="s">
        <v>168</v>
      </c>
      <c r="Z251">
        <v>2</v>
      </c>
      <c r="AA251">
        <v>1</v>
      </c>
    </row>
    <row r="252" spans="1:27" x14ac:dyDescent="0.25">
      <c r="A252" s="1" t="s">
        <v>10</v>
      </c>
      <c r="B252" s="1" t="s">
        <v>45</v>
      </c>
      <c r="C252" s="6">
        <v>56</v>
      </c>
      <c r="D252" s="33">
        <v>71</v>
      </c>
      <c r="E252" s="34">
        <v>71</v>
      </c>
      <c r="F252" s="36">
        <v>87</v>
      </c>
      <c r="G252" s="36">
        <v>87</v>
      </c>
      <c r="H252" s="36">
        <v>88</v>
      </c>
      <c r="I252" s="62" t="s">
        <v>183</v>
      </c>
      <c r="J252" s="35">
        <v>8</v>
      </c>
      <c r="K252" s="52" t="s">
        <v>196</v>
      </c>
      <c r="L252" t="s">
        <v>168</v>
      </c>
      <c r="M252" t="s">
        <v>168</v>
      </c>
      <c r="N252" t="s">
        <v>168</v>
      </c>
      <c r="O252" t="s">
        <v>168</v>
      </c>
      <c r="P252" t="s">
        <v>168</v>
      </c>
      <c r="Q252" t="s">
        <v>168</v>
      </c>
      <c r="R252" t="s">
        <v>168</v>
      </c>
      <c r="S252" t="s">
        <v>168</v>
      </c>
      <c r="T252" t="s">
        <v>168</v>
      </c>
      <c r="U252" t="s">
        <v>168</v>
      </c>
      <c r="V252" t="s">
        <v>168</v>
      </c>
      <c r="W252" t="s">
        <v>168</v>
      </c>
      <c r="X252" t="s">
        <v>168</v>
      </c>
      <c r="Y252" t="s">
        <v>168</v>
      </c>
      <c r="Z252">
        <v>2</v>
      </c>
      <c r="AA252">
        <v>1</v>
      </c>
    </row>
    <row r="253" spans="1:27" x14ac:dyDescent="0.25">
      <c r="A253" s="1" t="s">
        <v>10</v>
      </c>
      <c r="B253" s="1" t="s">
        <v>94</v>
      </c>
      <c r="C253" s="6">
        <v>61</v>
      </c>
      <c r="D253" s="33">
        <v>74</v>
      </c>
      <c r="E253" s="34">
        <v>79</v>
      </c>
      <c r="F253" s="36">
        <v>93</v>
      </c>
      <c r="G253" s="36">
        <v>93</v>
      </c>
      <c r="H253" s="62" t="s">
        <v>168</v>
      </c>
      <c r="I253" s="62" t="s">
        <v>168</v>
      </c>
      <c r="J253" s="35">
        <v>6</v>
      </c>
      <c r="K253" s="52" t="s">
        <v>196</v>
      </c>
      <c r="L253" t="s">
        <v>168</v>
      </c>
      <c r="M253" t="s">
        <v>168</v>
      </c>
      <c r="N253" t="s">
        <v>168</v>
      </c>
      <c r="O253" t="s">
        <v>168</v>
      </c>
      <c r="P253" t="s">
        <v>168</v>
      </c>
      <c r="Q253" t="s">
        <v>168</v>
      </c>
      <c r="R253" t="s">
        <v>168</v>
      </c>
      <c r="S253" t="s">
        <v>168</v>
      </c>
      <c r="T253" t="s">
        <v>168</v>
      </c>
      <c r="U253" t="s">
        <v>168</v>
      </c>
      <c r="V253" t="s">
        <v>168</v>
      </c>
      <c r="W253" t="s">
        <v>168</v>
      </c>
      <c r="X253" t="s">
        <v>168</v>
      </c>
      <c r="Y253" t="s">
        <v>168</v>
      </c>
      <c r="Z253">
        <v>2</v>
      </c>
      <c r="AA253">
        <v>1</v>
      </c>
    </row>
    <row r="254" spans="1:27" x14ac:dyDescent="0.25">
      <c r="A254" s="60" t="s">
        <v>46</v>
      </c>
      <c r="B254" s="1" t="s">
        <v>72</v>
      </c>
      <c r="C254" s="6">
        <v>45</v>
      </c>
      <c r="D254" s="33">
        <v>58</v>
      </c>
      <c r="E254" s="34">
        <v>59</v>
      </c>
      <c r="F254" s="36">
        <v>72</v>
      </c>
      <c r="G254" s="36">
        <v>72</v>
      </c>
      <c r="H254" s="36">
        <v>73</v>
      </c>
      <c r="I254" s="36">
        <v>73</v>
      </c>
      <c r="J254" s="35">
        <v>16</v>
      </c>
      <c r="K254" s="52" t="s">
        <v>170</v>
      </c>
      <c r="L254" t="s">
        <v>168</v>
      </c>
      <c r="M254" t="s">
        <v>168</v>
      </c>
      <c r="N254" t="s">
        <v>168</v>
      </c>
      <c r="O254" t="s">
        <v>168</v>
      </c>
      <c r="P254" t="s">
        <v>168</v>
      </c>
      <c r="Q254" t="s">
        <v>168</v>
      </c>
      <c r="R254" t="s">
        <v>168</v>
      </c>
      <c r="S254" t="s">
        <v>168</v>
      </c>
      <c r="T254" t="s">
        <v>168</v>
      </c>
      <c r="U254" t="s">
        <v>168</v>
      </c>
      <c r="V254" t="s">
        <v>168</v>
      </c>
      <c r="W254" t="s">
        <v>168</v>
      </c>
      <c r="X254" t="s">
        <v>168</v>
      </c>
      <c r="Y254" t="s">
        <v>168</v>
      </c>
      <c r="Z254">
        <v>2</v>
      </c>
      <c r="AA254">
        <v>1</v>
      </c>
    </row>
    <row r="255" spans="1:27" x14ac:dyDescent="0.25">
      <c r="A255" s="60" t="s">
        <v>46</v>
      </c>
      <c r="B255" s="1" t="s">
        <v>11</v>
      </c>
      <c r="C255" s="6">
        <v>49</v>
      </c>
      <c r="D255" s="33">
        <v>76</v>
      </c>
      <c r="E255" s="34">
        <v>76</v>
      </c>
      <c r="F255" s="36">
        <v>109</v>
      </c>
      <c r="G255" s="36">
        <v>114</v>
      </c>
      <c r="H255" s="36">
        <v>123</v>
      </c>
      <c r="I255" s="36">
        <v>123</v>
      </c>
      <c r="J255" s="35">
        <v>4</v>
      </c>
      <c r="K255" s="52" t="s">
        <v>170</v>
      </c>
      <c r="L255" t="s">
        <v>168</v>
      </c>
      <c r="M255" t="s">
        <v>168</v>
      </c>
      <c r="N255" t="s">
        <v>168</v>
      </c>
      <c r="O255" t="s">
        <v>168</v>
      </c>
      <c r="P255" t="s">
        <v>168</v>
      </c>
      <c r="Q255" t="s">
        <v>168</v>
      </c>
      <c r="R255" t="s">
        <v>168</v>
      </c>
      <c r="S255" t="s">
        <v>168</v>
      </c>
      <c r="T255" t="s">
        <v>168</v>
      </c>
      <c r="U255" t="s">
        <v>168</v>
      </c>
      <c r="V255" t="s">
        <v>168</v>
      </c>
      <c r="W255" t="s">
        <v>168</v>
      </c>
      <c r="X255" t="s">
        <v>168</v>
      </c>
      <c r="Y255" t="s">
        <v>168</v>
      </c>
      <c r="Z255">
        <v>2</v>
      </c>
      <c r="AA255">
        <v>1</v>
      </c>
    </row>
    <row r="256" spans="1:27" x14ac:dyDescent="0.25">
      <c r="A256" s="60" t="s">
        <v>46</v>
      </c>
      <c r="B256" s="1" t="s">
        <v>12</v>
      </c>
      <c r="C256" s="6">
        <v>58</v>
      </c>
      <c r="D256" s="33">
        <v>69</v>
      </c>
      <c r="E256" s="34">
        <v>77</v>
      </c>
      <c r="F256" s="36">
        <v>81</v>
      </c>
      <c r="G256" s="36">
        <v>84</v>
      </c>
      <c r="H256" s="36">
        <v>98</v>
      </c>
      <c r="I256" s="36">
        <v>98</v>
      </c>
      <c r="J256" s="35">
        <v>6</v>
      </c>
      <c r="K256" s="52" t="s">
        <v>170</v>
      </c>
      <c r="L256" t="s">
        <v>168</v>
      </c>
      <c r="M256" t="s">
        <v>168</v>
      </c>
      <c r="N256" t="s">
        <v>168</v>
      </c>
      <c r="O256" t="s">
        <v>168</v>
      </c>
      <c r="P256" t="s">
        <v>168</v>
      </c>
      <c r="Q256" t="s">
        <v>168</v>
      </c>
      <c r="R256" t="s">
        <v>168</v>
      </c>
      <c r="S256" t="s">
        <v>168</v>
      </c>
      <c r="T256" t="s">
        <v>168</v>
      </c>
      <c r="U256" t="s">
        <v>168</v>
      </c>
      <c r="V256" t="s">
        <v>168</v>
      </c>
      <c r="W256" t="s">
        <v>168</v>
      </c>
      <c r="X256" t="s">
        <v>168</v>
      </c>
      <c r="Y256" t="s">
        <v>168</v>
      </c>
      <c r="Z256">
        <v>2</v>
      </c>
      <c r="AA256">
        <v>1</v>
      </c>
    </row>
    <row r="257" spans="1:27" x14ac:dyDescent="0.25">
      <c r="A257" s="60" t="s">
        <v>46</v>
      </c>
      <c r="B257" s="1" t="s">
        <v>14</v>
      </c>
      <c r="C257" s="6">
        <v>44</v>
      </c>
      <c r="D257" s="33">
        <v>63</v>
      </c>
      <c r="E257" s="34">
        <v>63</v>
      </c>
      <c r="F257" s="36">
        <v>75</v>
      </c>
      <c r="G257" s="36">
        <v>75</v>
      </c>
      <c r="H257" s="36">
        <v>77</v>
      </c>
      <c r="I257" s="36">
        <v>78</v>
      </c>
      <c r="J257" s="35">
        <v>14</v>
      </c>
      <c r="K257" s="52" t="s">
        <v>170</v>
      </c>
      <c r="L257" t="s">
        <v>168</v>
      </c>
      <c r="M257" t="s">
        <v>168</v>
      </c>
      <c r="N257" t="s">
        <v>168</v>
      </c>
      <c r="O257" t="s">
        <v>168</v>
      </c>
      <c r="P257" t="s">
        <v>168</v>
      </c>
      <c r="Q257" t="s">
        <v>168</v>
      </c>
      <c r="R257" t="s">
        <v>168</v>
      </c>
      <c r="S257" t="s">
        <v>168</v>
      </c>
      <c r="T257" t="s">
        <v>168</v>
      </c>
      <c r="U257" t="s">
        <v>168</v>
      </c>
      <c r="V257" t="s">
        <v>168</v>
      </c>
      <c r="W257" t="s">
        <v>168</v>
      </c>
      <c r="X257" t="s">
        <v>168</v>
      </c>
      <c r="Y257" t="s">
        <v>168</v>
      </c>
      <c r="Z257">
        <v>2</v>
      </c>
      <c r="AA257">
        <v>1</v>
      </c>
    </row>
    <row r="258" spans="1:27" x14ac:dyDescent="0.25">
      <c r="A258" s="60" t="s">
        <v>46</v>
      </c>
      <c r="B258" s="1" t="s">
        <v>15</v>
      </c>
      <c r="C258" s="6">
        <v>41</v>
      </c>
      <c r="D258" s="33">
        <v>61</v>
      </c>
      <c r="E258" s="34">
        <v>64</v>
      </c>
      <c r="F258" s="36">
        <v>75</v>
      </c>
      <c r="G258" s="36">
        <v>77</v>
      </c>
      <c r="H258" s="36">
        <v>80</v>
      </c>
      <c r="I258" s="36">
        <v>81</v>
      </c>
      <c r="J258" s="35">
        <v>13</v>
      </c>
      <c r="K258" s="52" t="s">
        <v>170</v>
      </c>
      <c r="L258" t="s">
        <v>168</v>
      </c>
      <c r="M258" t="s">
        <v>168</v>
      </c>
      <c r="N258" t="s">
        <v>168</v>
      </c>
      <c r="O258" t="s">
        <v>168</v>
      </c>
      <c r="P258" t="s">
        <v>168</v>
      </c>
      <c r="Q258" t="s">
        <v>168</v>
      </c>
      <c r="R258" t="s">
        <v>168</v>
      </c>
      <c r="S258" t="s">
        <v>168</v>
      </c>
      <c r="T258" t="s">
        <v>168</v>
      </c>
      <c r="U258" t="s">
        <v>168</v>
      </c>
      <c r="V258" t="s">
        <v>168</v>
      </c>
      <c r="W258" t="s">
        <v>168</v>
      </c>
      <c r="X258" t="s">
        <v>168</v>
      </c>
      <c r="Y258" t="s">
        <v>168</v>
      </c>
      <c r="Z258">
        <v>2</v>
      </c>
      <c r="AA258">
        <v>1</v>
      </c>
    </row>
    <row r="259" spans="1:27" x14ac:dyDescent="0.25">
      <c r="A259" s="60" t="s">
        <v>46</v>
      </c>
      <c r="B259" s="1" t="s">
        <v>88</v>
      </c>
      <c r="C259" s="6">
        <v>42</v>
      </c>
      <c r="D259" s="33">
        <v>58</v>
      </c>
      <c r="E259" s="34">
        <v>59</v>
      </c>
      <c r="F259" s="36">
        <v>77</v>
      </c>
      <c r="G259" s="36">
        <v>77</v>
      </c>
      <c r="H259" s="36">
        <v>78</v>
      </c>
      <c r="I259" s="36">
        <v>79</v>
      </c>
      <c r="J259" s="35">
        <v>8</v>
      </c>
      <c r="K259" s="52" t="s">
        <v>170</v>
      </c>
      <c r="L259" t="s">
        <v>168</v>
      </c>
      <c r="M259" t="s">
        <v>168</v>
      </c>
      <c r="N259" t="s">
        <v>168</v>
      </c>
      <c r="O259" t="s">
        <v>168</v>
      </c>
      <c r="P259" t="s">
        <v>168</v>
      </c>
      <c r="Q259" t="s">
        <v>168</v>
      </c>
      <c r="R259" t="s">
        <v>168</v>
      </c>
      <c r="S259" t="s">
        <v>168</v>
      </c>
      <c r="T259" t="s">
        <v>168</v>
      </c>
      <c r="U259" t="s">
        <v>168</v>
      </c>
      <c r="V259" t="s">
        <v>168</v>
      </c>
      <c r="W259" t="s">
        <v>168</v>
      </c>
      <c r="X259" t="s">
        <v>168</v>
      </c>
      <c r="Y259" t="s">
        <v>168</v>
      </c>
      <c r="Z259">
        <v>2</v>
      </c>
      <c r="AA259">
        <v>1</v>
      </c>
    </row>
    <row r="260" spans="1:27" x14ac:dyDescent="0.25">
      <c r="A260" s="60" t="s">
        <v>46</v>
      </c>
      <c r="B260" s="1" t="s">
        <v>16</v>
      </c>
      <c r="C260" s="6">
        <v>59</v>
      </c>
      <c r="D260" s="33">
        <v>72</v>
      </c>
      <c r="E260" s="34">
        <v>72</v>
      </c>
      <c r="F260" s="36">
        <v>78</v>
      </c>
      <c r="G260" s="36">
        <v>79</v>
      </c>
      <c r="H260" s="36">
        <v>87</v>
      </c>
      <c r="I260" s="36">
        <v>87</v>
      </c>
      <c r="J260" s="35">
        <v>16</v>
      </c>
      <c r="K260" s="52" t="s">
        <v>170</v>
      </c>
      <c r="L260" t="s">
        <v>168</v>
      </c>
      <c r="M260" t="s">
        <v>168</v>
      </c>
      <c r="N260" t="s">
        <v>168</v>
      </c>
      <c r="O260" t="s">
        <v>168</v>
      </c>
      <c r="P260" t="s">
        <v>168</v>
      </c>
      <c r="Q260" t="s">
        <v>168</v>
      </c>
      <c r="R260" t="s">
        <v>168</v>
      </c>
      <c r="S260" t="s">
        <v>168</v>
      </c>
      <c r="T260" t="s">
        <v>168</v>
      </c>
      <c r="U260" t="s">
        <v>168</v>
      </c>
      <c r="V260" t="s">
        <v>168</v>
      </c>
      <c r="W260" t="s">
        <v>168</v>
      </c>
      <c r="X260" t="s">
        <v>168</v>
      </c>
      <c r="Y260" t="s">
        <v>168</v>
      </c>
      <c r="Z260">
        <v>2</v>
      </c>
      <c r="AA260">
        <v>1</v>
      </c>
    </row>
    <row r="261" spans="1:27" x14ac:dyDescent="0.25">
      <c r="A261" s="60" t="s">
        <v>46</v>
      </c>
      <c r="B261" s="1" t="s">
        <v>48</v>
      </c>
      <c r="C261" s="6">
        <v>56</v>
      </c>
      <c r="D261" s="33">
        <v>82</v>
      </c>
      <c r="E261" s="34">
        <v>85</v>
      </c>
      <c r="F261" s="36">
        <v>94</v>
      </c>
      <c r="G261" s="36">
        <v>95</v>
      </c>
      <c r="H261" s="36">
        <v>112</v>
      </c>
      <c r="I261" s="36">
        <v>112</v>
      </c>
      <c r="J261" s="35">
        <v>6</v>
      </c>
      <c r="K261" s="52" t="s">
        <v>170</v>
      </c>
      <c r="L261" t="s">
        <v>168</v>
      </c>
      <c r="M261" t="s">
        <v>168</v>
      </c>
      <c r="N261" t="s">
        <v>168</v>
      </c>
      <c r="O261" t="s">
        <v>168</v>
      </c>
      <c r="P261" t="s">
        <v>168</v>
      </c>
      <c r="Q261" t="s">
        <v>168</v>
      </c>
      <c r="R261" t="s">
        <v>168</v>
      </c>
      <c r="S261" t="s">
        <v>168</v>
      </c>
      <c r="T261" t="s">
        <v>168</v>
      </c>
      <c r="U261" t="s">
        <v>168</v>
      </c>
      <c r="V261" t="s">
        <v>168</v>
      </c>
      <c r="W261" t="s">
        <v>168</v>
      </c>
      <c r="X261" t="s">
        <v>168</v>
      </c>
      <c r="Y261" t="s">
        <v>168</v>
      </c>
      <c r="Z261">
        <v>2</v>
      </c>
      <c r="AA261">
        <v>1</v>
      </c>
    </row>
    <row r="262" spans="1:27" x14ac:dyDescent="0.25">
      <c r="A262" s="60" t="s">
        <v>46</v>
      </c>
      <c r="B262" s="1" t="s">
        <v>73</v>
      </c>
      <c r="C262" s="6">
        <v>42</v>
      </c>
      <c r="D262" s="33">
        <v>54</v>
      </c>
      <c r="E262" s="34">
        <v>54</v>
      </c>
      <c r="F262" s="36">
        <v>66</v>
      </c>
      <c r="G262" s="36">
        <v>66</v>
      </c>
      <c r="H262" s="36">
        <v>68</v>
      </c>
      <c r="I262" s="36">
        <v>68</v>
      </c>
      <c r="J262" s="35">
        <v>17</v>
      </c>
      <c r="K262" s="52" t="s">
        <v>170</v>
      </c>
      <c r="L262" t="s">
        <v>168</v>
      </c>
      <c r="M262" t="s">
        <v>168</v>
      </c>
      <c r="N262" t="s">
        <v>168</v>
      </c>
      <c r="O262" t="s">
        <v>168</v>
      </c>
      <c r="P262" t="s">
        <v>168</v>
      </c>
      <c r="Q262" t="s">
        <v>168</v>
      </c>
      <c r="R262" t="s">
        <v>168</v>
      </c>
      <c r="S262" t="s">
        <v>168</v>
      </c>
      <c r="T262" t="s">
        <v>168</v>
      </c>
      <c r="U262" t="s">
        <v>168</v>
      </c>
      <c r="V262" t="s">
        <v>168</v>
      </c>
      <c r="W262" t="s">
        <v>168</v>
      </c>
      <c r="X262" t="s">
        <v>168</v>
      </c>
      <c r="Y262" t="s">
        <v>168</v>
      </c>
      <c r="Z262">
        <v>2</v>
      </c>
      <c r="AA262">
        <v>1</v>
      </c>
    </row>
    <row r="263" spans="1:27" x14ac:dyDescent="0.25">
      <c r="A263" s="60" t="s">
        <v>46</v>
      </c>
      <c r="B263" s="1" t="s">
        <v>82</v>
      </c>
      <c r="C263" s="6">
        <v>56</v>
      </c>
      <c r="D263" s="33">
        <v>81</v>
      </c>
      <c r="E263" s="34">
        <v>81</v>
      </c>
      <c r="F263" s="36">
        <v>96</v>
      </c>
      <c r="G263" s="36">
        <v>98</v>
      </c>
      <c r="H263" s="36">
        <v>101</v>
      </c>
      <c r="I263" s="36">
        <v>104</v>
      </c>
      <c r="J263" s="35">
        <v>5</v>
      </c>
      <c r="K263" s="52" t="s">
        <v>170</v>
      </c>
      <c r="L263" t="s">
        <v>168</v>
      </c>
      <c r="M263" t="s">
        <v>168</v>
      </c>
      <c r="N263" t="s">
        <v>168</v>
      </c>
      <c r="O263" t="s">
        <v>168</v>
      </c>
      <c r="P263" t="s">
        <v>168</v>
      </c>
      <c r="Q263" t="s">
        <v>168</v>
      </c>
      <c r="R263" t="s">
        <v>168</v>
      </c>
      <c r="S263" t="s">
        <v>168</v>
      </c>
      <c r="T263" t="s">
        <v>168</v>
      </c>
      <c r="U263" t="s">
        <v>168</v>
      </c>
      <c r="V263" t="s">
        <v>168</v>
      </c>
      <c r="W263" t="s">
        <v>168</v>
      </c>
      <c r="X263" t="s">
        <v>168</v>
      </c>
      <c r="Y263" t="s">
        <v>168</v>
      </c>
      <c r="Z263">
        <v>2</v>
      </c>
      <c r="AA263">
        <v>1</v>
      </c>
    </row>
    <row r="264" spans="1:27" x14ac:dyDescent="0.25">
      <c r="A264" s="60" t="s">
        <v>46</v>
      </c>
      <c r="B264" s="1" t="s">
        <v>74</v>
      </c>
      <c r="C264" s="6">
        <v>44</v>
      </c>
      <c r="D264" s="33">
        <v>60</v>
      </c>
      <c r="E264" s="34">
        <v>60</v>
      </c>
      <c r="F264" s="36">
        <v>76</v>
      </c>
      <c r="G264" s="36">
        <v>77</v>
      </c>
      <c r="H264" s="36">
        <v>79</v>
      </c>
      <c r="I264" s="36">
        <v>80</v>
      </c>
      <c r="J264" s="35">
        <v>10</v>
      </c>
      <c r="K264" s="52" t="s">
        <v>170</v>
      </c>
      <c r="L264" t="s">
        <v>168</v>
      </c>
      <c r="M264" t="s">
        <v>168</v>
      </c>
      <c r="N264" t="s">
        <v>168</v>
      </c>
      <c r="O264" t="s">
        <v>168</v>
      </c>
      <c r="P264" t="s">
        <v>168</v>
      </c>
      <c r="Q264" t="s">
        <v>168</v>
      </c>
      <c r="R264" t="s">
        <v>168</v>
      </c>
      <c r="S264" t="s">
        <v>168</v>
      </c>
      <c r="T264" t="s">
        <v>168</v>
      </c>
      <c r="U264" t="s">
        <v>168</v>
      </c>
      <c r="V264" t="s">
        <v>168</v>
      </c>
      <c r="W264" t="s">
        <v>168</v>
      </c>
      <c r="X264" t="s">
        <v>168</v>
      </c>
      <c r="Y264" t="s">
        <v>168</v>
      </c>
      <c r="Z264">
        <v>2</v>
      </c>
      <c r="AA264">
        <v>1</v>
      </c>
    </row>
    <row r="265" spans="1:27" x14ac:dyDescent="0.25">
      <c r="A265" s="60" t="s">
        <v>46</v>
      </c>
      <c r="B265" s="1" t="s">
        <v>19</v>
      </c>
      <c r="C265" s="6">
        <v>35</v>
      </c>
      <c r="D265" s="33">
        <v>50</v>
      </c>
      <c r="E265" s="34">
        <v>50</v>
      </c>
      <c r="F265" s="36">
        <v>62</v>
      </c>
      <c r="G265" s="36">
        <v>62</v>
      </c>
      <c r="H265" s="36">
        <v>64</v>
      </c>
      <c r="I265" s="36">
        <v>64</v>
      </c>
      <c r="J265" s="35">
        <v>22</v>
      </c>
      <c r="K265" s="52" t="s">
        <v>170</v>
      </c>
      <c r="L265" t="s">
        <v>168</v>
      </c>
      <c r="M265" t="s">
        <v>168</v>
      </c>
      <c r="N265" t="s">
        <v>168</v>
      </c>
      <c r="O265" t="s">
        <v>168</v>
      </c>
      <c r="P265" t="s">
        <v>168</v>
      </c>
      <c r="Q265" t="s">
        <v>168</v>
      </c>
      <c r="R265" t="s">
        <v>168</v>
      </c>
      <c r="S265" t="s">
        <v>168</v>
      </c>
      <c r="T265" t="s">
        <v>168</v>
      </c>
      <c r="U265" t="s">
        <v>168</v>
      </c>
      <c r="V265" t="s">
        <v>168</v>
      </c>
      <c r="W265" t="s">
        <v>168</v>
      </c>
      <c r="X265" t="s">
        <v>168</v>
      </c>
      <c r="Y265" t="s">
        <v>168</v>
      </c>
      <c r="Z265">
        <v>2</v>
      </c>
      <c r="AA265">
        <v>1</v>
      </c>
    </row>
    <row r="266" spans="1:27" x14ac:dyDescent="0.25">
      <c r="A266" s="60" t="s">
        <v>46</v>
      </c>
      <c r="B266" s="1" t="s">
        <v>20</v>
      </c>
      <c r="C266" s="6">
        <v>60</v>
      </c>
      <c r="D266" s="33">
        <v>79</v>
      </c>
      <c r="E266" s="34">
        <v>79</v>
      </c>
      <c r="F266" s="36">
        <v>88</v>
      </c>
      <c r="G266" s="36">
        <v>89</v>
      </c>
      <c r="H266" s="36">
        <v>91</v>
      </c>
      <c r="I266" s="36">
        <v>96</v>
      </c>
      <c r="J266" s="35">
        <v>10</v>
      </c>
      <c r="K266" s="52" t="s">
        <v>170</v>
      </c>
      <c r="L266" t="s">
        <v>168</v>
      </c>
      <c r="M266" t="s">
        <v>168</v>
      </c>
      <c r="N266" t="s">
        <v>168</v>
      </c>
      <c r="O266" t="s">
        <v>168</v>
      </c>
      <c r="P266" t="s">
        <v>168</v>
      </c>
      <c r="Q266" t="s">
        <v>168</v>
      </c>
      <c r="R266" t="s">
        <v>168</v>
      </c>
      <c r="S266" t="s">
        <v>168</v>
      </c>
      <c r="T266" t="s">
        <v>168</v>
      </c>
      <c r="U266" t="s">
        <v>168</v>
      </c>
      <c r="V266" t="s">
        <v>168</v>
      </c>
      <c r="W266" t="s">
        <v>168</v>
      </c>
      <c r="X266" t="s">
        <v>168</v>
      </c>
      <c r="Y266" t="s">
        <v>168</v>
      </c>
      <c r="Z266">
        <v>2</v>
      </c>
      <c r="AA266">
        <v>1</v>
      </c>
    </row>
    <row r="267" spans="1:27" x14ac:dyDescent="0.25">
      <c r="A267" s="60" t="s">
        <v>46</v>
      </c>
      <c r="B267" s="1" t="s">
        <v>50</v>
      </c>
      <c r="C267" s="6">
        <v>42</v>
      </c>
      <c r="D267" s="33">
        <v>56</v>
      </c>
      <c r="E267" s="34">
        <v>56</v>
      </c>
      <c r="F267" s="36">
        <v>69</v>
      </c>
      <c r="G267" s="36">
        <v>69</v>
      </c>
      <c r="H267" s="36">
        <v>71</v>
      </c>
      <c r="I267" s="36">
        <v>85</v>
      </c>
      <c r="J267" s="35">
        <v>9</v>
      </c>
      <c r="K267" s="52" t="s">
        <v>170</v>
      </c>
      <c r="L267" t="s">
        <v>168</v>
      </c>
      <c r="M267" t="s">
        <v>168</v>
      </c>
      <c r="N267" t="s">
        <v>168</v>
      </c>
      <c r="O267" t="s">
        <v>168</v>
      </c>
      <c r="P267" t="s">
        <v>168</v>
      </c>
      <c r="Q267" t="s">
        <v>168</v>
      </c>
      <c r="R267" t="s">
        <v>168</v>
      </c>
      <c r="S267" t="s">
        <v>168</v>
      </c>
      <c r="T267" t="s">
        <v>168</v>
      </c>
      <c r="U267" t="s">
        <v>168</v>
      </c>
      <c r="V267" t="s">
        <v>168</v>
      </c>
      <c r="W267" t="s">
        <v>168</v>
      </c>
      <c r="X267" t="s">
        <v>168</v>
      </c>
      <c r="Y267" t="s">
        <v>168</v>
      </c>
      <c r="Z267">
        <v>2</v>
      </c>
      <c r="AA267">
        <v>1</v>
      </c>
    </row>
    <row r="268" spans="1:27" x14ac:dyDescent="0.25">
      <c r="A268" s="60" t="s">
        <v>46</v>
      </c>
      <c r="B268" s="1" t="s">
        <v>51</v>
      </c>
      <c r="C268" s="6">
        <v>45</v>
      </c>
      <c r="D268" s="33">
        <v>59</v>
      </c>
      <c r="E268" s="34">
        <v>60</v>
      </c>
      <c r="F268" s="36">
        <v>73</v>
      </c>
      <c r="G268" s="36">
        <v>73</v>
      </c>
      <c r="H268" s="36">
        <v>73</v>
      </c>
      <c r="I268" s="36">
        <v>73</v>
      </c>
      <c r="J268" s="35">
        <v>16</v>
      </c>
      <c r="K268" s="52" t="s">
        <v>170</v>
      </c>
      <c r="L268" t="s">
        <v>168</v>
      </c>
      <c r="M268" t="s">
        <v>168</v>
      </c>
      <c r="N268" t="s">
        <v>168</v>
      </c>
      <c r="O268" t="s">
        <v>168</v>
      </c>
      <c r="P268" t="s">
        <v>168</v>
      </c>
      <c r="Q268" t="s">
        <v>168</v>
      </c>
      <c r="R268" t="s">
        <v>168</v>
      </c>
      <c r="S268" t="s">
        <v>168</v>
      </c>
      <c r="T268" t="s">
        <v>168</v>
      </c>
      <c r="U268" t="s">
        <v>168</v>
      </c>
      <c r="V268" t="s">
        <v>168</v>
      </c>
      <c r="W268" t="s">
        <v>168</v>
      </c>
      <c r="X268" t="s">
        <v>168</v>
      </c>
      <c r="Y268" t="s">
        <v>168</v>
      </c>
      <c r="Z268">
        <v>2</v>
      </c>
      <c r="AA268">
        <v>1</v>
      </c>
    </row>
    <row r="269" spans="1:27" x14ac:dyDescent="0.25">
      <c r="A269" s="60" t="s">
        <v>46</v>
      </c>
      <c r="B269" s="1" t="s">
        <v>21</v>
      </c>
      <c r="C269" s="6">
        <v>46</v>
      </c>
      <c r="D269" s="33">
        <v>64</v>
      </c>
      <c r="E269" s="34">
        <v>64</v>
      </c>
      <c r="F269" s="36">
        <v>79</v>
      </c>
      <c r="G269" s="36">
        <v>80</v>
      </c>
      <c r="H269" s="36">
        <v>80</v>
      </c>
      <c r="I269" s="36">
        <v>81</v>
      </c>
      <c r="J269" s="35">
        <v>15</v>
      </c>
      <c r="K269" s="52" t="s">
        <v>170</v>
      </c>
      <c r="L269" t="s">
        <v>168</v>
      </c>
      <c r="M269" t="s">
        <v>168</v>
      </c>
      <c r="N269" t="s">
        <v>168</v>
      </c>
      <c r="O269" t="s">
        <v>168</v>
      </c>
      <c r="P269" t="s">
        <v>168</v>
      </c>
      <c r="Q269" t="s">
        <v>168</v>
      </c>
      <c r="R269" t="s">
        <v>168</v>
      </c>
      <c r="S269" t="s">
        <v>168</v>
      </c>
      <c r="T269" t="s">
        <v>168</v>
      </c>
      <c r="U269" t="s">
        <v>168</v>
      </c>
      <c r="V269" t="s">
        <v>168</v>
      </c>
      <c r="W269" t="s">
        <v>168</v>
      </c>
      <c r="X269" t="s">
        <v>168</v>
      </c>
      <c r="Y269" t="s">
        <v>168</v>
      </c>
      <c r="Z269">
        <v>2</v>
      </c>
      <c r="AA269">
        <v>1</v>
      </c>
    </row>
    <row r="270" spans="1:27" x14ac:dyDescent="0.25">
      <c r="A270" s="60" t="s">
        <v>46</v>
      </c>
      <c r="B270" s="1" t="s">
        <v>52</v>
      </c>
      <c r="C270" s="6">
        <v>48</v>
      </c>
      <c r="D270" s="33">
        <v>68</v>
      </c>
      <c r="E270" s="34">
        <v>68</v>
      </c>
      <c r="F270" s="36">
        <v>88</v>
      </c>
      <c r="G270" s="36">
        <v>102</v>
      </c>
      <c r="H270" s="36">
        <v>107</v>
      </c>
      <c r="I270" s="36">
        <v>121</v>
      </c>
      <c r="J270" s="35">
        <v>5</v>
      </c>
      <c r="K270" s="52" t="s">
        <v>170</v>
      </c>
      <c r="L270" t="s">
        <v>168</v>
      </c>
      <c r="M270" t="s">
        <v>168</v>
      </c>
      <c r="N270" t="s">
        <v>168</v>
      </c>
      <c r="O270" t="s">
        <v>168</v>
      </c>
      <c r="P270" t="s">
        <v>168</v>
      </c>
      <c r="Q270" t="s">
        <v>168</v>
      </c>
      <c r="R270" t="s">
        <v>168</v>
      </c>
      <c r="S270" t="s">
        <v>168</v>
      </c>
      <c r="T270" t="s">
        <v>168</v>
      </c>
      <c r="U270" t="s">
        <v>168</v>
      </c>
      <c r="V270" t="s">
        <v>168</v>
      </c>
      <c r="W270" t="s">
        <v>168</v>
      </c>
      <c r="X270" t="s">
        <v>168</v>
      </c>
      <c r="Y270" t="s">
        <v>168</v>
      </c>
      <c r="Z270">
        <v>2</v>
      </c>
      <c r="AA270">
        <v>1</v>
      </c>
    </row>
    <row r="271" spans="1:27" x14ac:dyDescent="0.25">
      <c r="A271" s="60" t="s">
        <v>46</v>
      </c>
      <c r="B271" s="1" t="s">
        <v>22</v>
      </c>
      <c r="C271" s="6">
        <v>56</v>
      </c>
      <c r="D271" s="33">
        <v>78</v>
      </c>
      <c r="E271" s="34">
        <v>79</v>
      </c>
      <c r="F271" s="36">
        <v>89</v>
      </c>
      <c r="G271" s="36">
        <v>91</v>
      </c>
      <c r="H271" s="36">
        <v>105</v>
      </c>
      <c r="I271" s="36">
        <v>105</v>
      </c>
      <c r="J271" s="35">
        <v>6</v>
      </c>
      <c r="K271" s="52" t="s">
        <v>170</v>
      </c>
      <c r="L271" t="s">
        <v>168</v>
      </c>
      <c r="M271" t="s">
        <v>168</v>
      </c>
      <c r="N271" t="s">
        <v>168</v>
      </c>
      <c r="O271" t="s">
        <v>168</v>
      </c>
      <c r="P271" t="s">
        <v>168</v>
      </c>
      <c r="Q271" t="s">
        <v>168</v>
      </c>
      <c r="R271" t="s">
        <v>168</v>
      </c>
      <c r="S271" t="s">
        <v>168</v>
      </c>
      <c r="T271" t="s">
        <v>168</v>
      </c>
      <c r="U271" t="s">
        <v>168</v>
      </c>
      <c r="V271" t="s">
        <v>168</v>
      </c>
      <c r="W271" t="s">
        <v>168</v>
      </c>
      <c r="X271" t="s">
        <v>168</v>
      </c>
      <c r="Y271" t="s">
        <v>168</v>
      </c>
      <c r="Z271">
        <v>2</v>
      </c>
      <c r="AA271">
        <v>1</v>
      </c>
    </row>
    <row r="272" spans="1:27" x14ac:dyDescent="0.25">
      <c r="A272" s="60" t="s">
        <v>46</v>
      </c>
      <c r="B272" s="1" t="s">
        <v>53</v>
      </c>
      <c r="C272" s="6">
        <v>58</v>
      </c>
      <c r="D272" s="33">
        <v>78</v>
      </c>
      <c r="E272" s="34">
        <v>78</v>
      </c>
      <c r="F272" s="36">
        <v>91</v>
      </c>
      <c r="G272" s="36">
        <v>98</v>
      </c>
      <c r="H272" s="36">
        <v>111</v>
      </c>
      <c r="I272" s="36">
        <v>111</v>
      </c>
      <c r="J272" s="35">
        <v>5</v>
      </c>
      <c r="K272" s="52" t="s">
        <v>170</v>
      </c>
      <c r="L272" t="s">
        <v>168</v>
      </c>
      <c r="M272" t="s">
        <v>168</v>
      </c>
      <c r="N272" t="s">
        <v>168</v>
      </c>
      <c r="O272" t="s">
        <v>168</v>
      </c>
      <c r="P272" t="s">
        <v>168</v>
      </c>
      <c r="Q272" t="s">
        <v>168</v>
      </c>
      <c r="R272" t="s">
        <v>168</v>
      </c>
      <c r="S272" t="s">
        <v>168</v>
      </c>
      <c r="T272" t="s">
        <v>168</v>
      </c>
      <c r="U272" t="s">
        <v>168</v>
      </c>
      <c r="V272" t="s">
        <v>168</v>
      </c>
      <c r="W272" t="s">
        <v>168</v>
      </c>
      <c r="X272" t="s">
        <v>168</v>
      </c>
      <c r="Y272" t="s">
        <v>168</v>
      </c>
      <c r="Z272">
        <v>2</v>
      </c>
      <c r="AA272">
        <v>1</v>
      </c>
    </row>
    <row r="273" spans="1:27" x14ac:dyDescent="0.25">
      <c r="A273" s="60" t="s">
        <v>46</v>
      </c>
      <c r="B273" s="1" t="s">
        <v>83</v>
      </c>
      <c r="C273" s="6">
        <v>56</v>
      </c>
      <c r="D273" s="33">
        <v>77</v>
      </c>
      <c r="E273" s="34">
        <v>78</v>
      </c>
      <c r="F273" s="36">
        <v>107</v>
      </c>
      <c r="G273" s="36">
        <v>107</v>
      </c>
      <c r="H273" s="36">
        <v>111</v>
      </c>
      <c r="I273" s="36">
        <v>115</v>
      </c>
      <c r="J273" s="35">
        <v>4</v>
      </c>
      <c r="K273" s="52" t="s">
        <v>170</v>
      </c>
      <c r="L273" t="s">
        <v>168</v>
      </c>
      <c r="M273" t="s">
        <v>168</v>
      </c>
      <c r="N273" t="s">
        <v>168</v>
      </c>
      <c r="O273" t="s">
        <v>168</v>
      </c>
      <c r="P273" t="s">
        <v>168</v>
      </c>
      <c r="Q273" t="s">
        <v>168</v>
      </c>
      <c r="R273" t="s">
        <v>168</v>
      </c>
      <c r="S273" t="s">
        <v>168</v>
      </c>
      <c r="T273" t="s">
        <v>168</v>
      </c>
      <c r="U273" t="s">
        <v>168</v>
      </c>
      <c r="V273" t="s">
        <v>168</v>
      </c>
      <c r="W273" t="s">
        <v>168</v>
      </c>
      <c r="X273" t="s">
        <v>168</v>
      </c>
      <c r="Y273" t="s">
        <v>168</v>
      </c>
      <c r="Z273">
        <v>2</v>
      </c>
      <c r="AA273">
        <v>1</v>
      </c>
    </row>
    <row r="274" spans="1:27" x14ac:dyDescent="0.25">
      <c r="A274" s="60" t="s">
        <v>46</v>
      </c>
      <c r="B274" s="1" t="s">
        <v>24</v>
      </c>
      <c r="C274" s="6">
        <v>41</v>
      </c>
      <c r="D274" s="33">
        <v>57</v>
      </c>
      <c r="E274" s="34">
        <v>57</v>
      </c>
      <c r="F274" s="36">
        <v>69</v>
      </c>
      <c r="G274" s="36">
        <v>72</v>
      </c>
      <c r="H274" s="36">
        <v>74</v>
      </c>
      <c r="I274" s="36">
        <v>74</v>
      </c>
      <c r="J274" s="35">
        <v>13</v>
      </c>
      <c r="K274" s="52" t="s">
        <v>170</v>
      </c>
      <c r="L274" t="s">
        <v>168</v>
      </c>
      <c r="M274" t="s">
        <v>168</v>
      </c>
      <c r="N274" t="s">
        <v>168</v>
      </c>
      <c r="O274" t="s">
        <v>168</v>
      </c>
      <c r="P274" t="s">
        <v>168</v>
      </c>
      <c r="Q274" t="s">
        <v>168</v>
      </c>
      <c r="R274" t="s">
        <v>168</v>
      </c>
      <c r="S274" t="s">
        <v>168</v>
      </c>
      <c r="T274" t="s">
        <v>168</v>
      </c>
      <c r="U274" t="s">
        <v>168</v>
      </c>
      <c r="V274" t="s">
        <v>168</v>
      </c>
      <c r="W274" t="s">
        <v>168</v>
      </c>
      <c r="X274" t="s">
        <v>168</v>
      </c>
      <c r="Y274" t="s">
        <v>168</v>
      </c>
      <c r="Z274">
        <v>2</v>
      </c>
      <c r="AA274">
        <v>1</v>
      </c>
    </row>
    <row r="275" spans="1:27" x14ac:dyDescent="0.25">
      <c r="A275" s="60" t="s">
        <v>46</v>
      </c>
      <c r="B275" s="1" t="s">
        <v>90</v>
      </c>
      <c r="C275" s="6">
        <v>50</v>
      </c>
      <c r="D275" s="33">
        <v>71</v>
      </c>
      <c r="E275" s="34">
        <v>71</v>
      </c>
      <c r="F275" s="36">
        <v>92</v>
      </c>
      <c r="G275" s="36">
        <v>94</v>
      </c>
      <c r="H275" s="36">
        <v>115</v>
      </c>
      <c r="I275" s="36">
        <v>119</v>
      </c>
      <c r="J275" s="35">
        <v>6</v>
      </c>
      <c r="K275" s="52" t="s">
        <v>170</v>
      </c>
      <c r="L275" t="s">
        <v>168</v>
      </c>
      <c r="M275" t="s">
        <v>168</v>
      </c>
      <c r="N275" t="s">
        <v>168</v>
      </c>
      <c r="O275" t="s">
        <v>168</v>
      </c>
      <c r="P275" t="s">
        <v>168</v>
      </c>
      <c r="Q275" t="s">
        <v>168</v>
      </c>
      <c r="R275" t="s">
        <v>168</v>
      </c>
      <c r="S275" t="s">
        <v>168</v>
      </c>
      <c r="T275" t="s">
        <v>168</v>
      </c>
      <c r="U275" t="s">
        <v>168</v>
      </c>
      <c r="V275" t="s">
        <v>168</v>
      </c>
      <c r="W275" t="s">
        <v>168</v>
      </c>
      <c r="X275" t="s">
        <v>168</v>
      </c>
      <c r="Y275" t="s">
        <v>168</v>
      </c>
      <c r="Z275">
        <v>2</v>
      </c>
      <c r="AA275">
        <v>1</v>
      </c>
    </row>
    <row r="276" spans="1:27" x14ac:dyDescent="0.25">
      <c r="A276" s="60" t="s">
        <v>46</v>
      </c>
      <c r="B276" s="1" t="s">
        <v>55</v>
      </c>
      <c r="C276" s="6">
        <v>63</v>
      </c>
      <c r="D276" s="33">
        <v>77</v>
      </c>
      <c r="E276" s="34">
        <v>78</v>
      </c>
      <c r="F276" s="36">
        <v>94</v>
      </c>
      <c r="G276" s="36">
        <v>94</v>
      </c>
      <c r="H276" s="36">
        <v>99</v>
      </c>
      <c r="I276" s="36">
        <v>99</v>
      </c>
      <c r="J276" s="35">
        <v>6</v>
      </c>
      <c r="K276" s="52" t="s">
        <v>170</v>
      </c>
      <c r="L276" t="s">
        <v>168</v>
      </c>
      <c r="M276" t="s">
        <v>168</v>
      </c>
      <c r="N276" t="s">
        <v>168</v>
      </c>
      <c r="O276" t="s">
        <v>168</v>
      </c>
      <c r="P276" t="s">
        <v>168</v>
      </c>
      <c r="Q276" t="s">
        <v>168</v>
      </c>
      <c r="R276" t="s">
        <v>168</v>
      </c>
      <c r="S276" t="s">
        <v>168</v>
      </c>
      <c r="T276" t="s">
        <v>168</v>
      </c>
      <c r="U276" t="s">
        <v>168</v>
      </c>
      <c r="V276" t="s">
        <v>168</v>
      </c>
      <c r="W276" t="s">
        <v>168</v>
      </c>
      <c r="X276" t="s">
        <v>168</v>
      </c>
      <c r="Y276" t="s">
        <v>168</v>
      </c>
      <c r="Z276">
        <v>2</v>
      </c>
      <c r="AA276">
        <v>1</v>
      </c>
    </row>
    <row r="277" spans="1:27" x14ac:dyDescent="0.25">
      <c r="A277" s="60" t="s">
        <v>46</v>
      </c>
      <c r="B277" s="1" t="s">
        <v>25</v>
      </c>
      <c r="C277" s="6">
        <v>30</v>
      </c>
      <c r="D277" s="33">
        <v>44</v>
      </c>
      <c r="E277" s="34">
        <v>46</v>
      </c>
      <c r="F277" s="36">
        <v>56</v>
      </c>
      <c r="G277" s="36">
        <v>57</v>
      </c>
      <c r="H277" s="36">
        <v>58</v>
      </c>
      <c r="I277" s="36">
        <v>62</v>
      </c>
      <c r="J277" s="35">
        <v>33</v>
      </c>
      <c r="K277" s="52" t="s">
        <v>170</v>
      </c>
      <c r="L277" t="s">
        <v>168</v>
      </c>
      <c r="M277" t="s">
        <v>168</v>
      </c>
      <c r="N277" t="s">
        <v>168</v>
      </c>
      <c r="O277" t="s">
        <v>168</v>
      </c>
      <c r="P277" t="s">
        <v>168</v>
      </c>
      <c r="Q277" t="s">
        <v>168</v>
      </c>
      <c r="R277" t="s">
        <v>168</v>
      </c>
      <c r="S277" t="s">
        <v>168</v>
      </c>
      <c r="T277" t="s">
        <v>168</v>
      </c>
      <c r="U277" t="s">
        <v>168</v>
      </c>
      <c r="V277" t="s">
        <v>168</v>
      </c>
      <c r="W277" t="s">
        <v>168</v>
      </c>
      <c r="X277" t="s">
        <v>168</v>
      </c>
      <c r="Y277" t="s">
        <v>168</v>
      </c>
      <c r="Z277">
        <v>2</v>
      </c>
      <c r="AA277">
        <v>1</v>
      </c>
    </row>
    <row r="278" spans="1:27" x14ac:dyDescent="0.25">
      <c r="A278" s="60" t="s">
        <v>46</v>
      </c>
      <c r="B278" s="1" t="s">
        <v>29</v>
      </c>
      <c r="C278" s="6">
        <v>57</v>
      </c>
      <c r="D278" s="33">
        <v>78</v>
      </c>
      <c r="E278" s="34">
        <v>95</v>
      </c>
      <c r="F278" s="36">
        <v>101</v>
      </c>
      <c r="G278" s="36">
        <v>103</v>
      </c>
      <c r="H278" s="36">
        <v>121</v>
      </c>
      <c r="I278" s="36">
        <v>121</v>
      </c>
      <c r="J278" s="35">
        <v>4</v>
      </c>
      <c r="K278" s="52" t="s">
        <v>170</v>
      </c>
      <c r="L278" t="s">
        <v>168</v>
      </c>
      <c r="M278" t="s">
        <v>168</v>
      </c>
      <c r="N278" t="s">
        <v>168</v>
      </c>
      <c r="O278" t="s">
        <v>168</v>
      </c>
      <c r="P278" t="s">
        <v>168</v>
      </c>
      <c r="Q278" t="s">
        <v>168</v>
      </c>
      <c r="R278" t="s">
        <v>168</v>
      </c>
      <c r="S278" t="s">
        <v>168</v>
      </c>
      <c r="T278" t="s">
        <v>168</v>
      </c>
      <c r="U278" t="s">
        <v>168</v>
      </c>
      <c r="V278" t="s">
        <v>168</v>
      </c>
      <c r="W278" t="s">
        <v>168</v>
      </c>
      <c r="X278" t="s">
        <v>168</v>
      </c>
      <c r="Y278" t="s">
        <v>168</v>
      </c>
      <c r="Z278">
        <v>2</v>
      </c>
      <c r="AA278">
        <v>1</v>
      </c>
    </row>
    <row r="279" spans="1:27" x14ac:dyDescent="0.25">
      <c r="A279" s="60" t="s">
        <v>46</v>
      </c>
      <c r="B279" s="1" t="s">
        <v>57</v>
      </c>
      <c r="C279" s="6">
        <v>57</v>
      </c>
      <c r="D279" s="33">
        <v>77</v>
      </c>
      <c r="E279" s="34">
        <v>79</v>
      </c>
      <c r="F279" s="36">
        <v>96</v>
      </c>
      <c r="G279" s="36">
        <v>103</v>
      </c>
      <c r="H279" s="36">
        <v>103</v>
      </c>
      <c r="I279" s="36">
        <v>104</v>
      </c>
      <c r="J279" s="35">
        <v>5</v>
      </c>
      <c r="K279" s="52" t="s">
        <v>170</v>
      </c>
      <c r="L279" t="s">
        <v>168</v>
      </c>
      <c r="M279" t="s">
        <v>168</v>
      </c>
      <c r="N279" t="s">
        <v>168</v>
      </c>
      <c r="O279" t="s">
        <v>168</v>
      </c>
      <c r="P279" t="s">
        <v>168</v>
      </c>
      <c r="Q279" t="s">
        <v>168</v>
      </c>
      <c r="R279" t="s">
        <v>168</v>
      </c>
      <c r="S279" t="s">
        <v>168</v>
      </c>
      <c r="T279" t="s">
        <v>168</v>
      </c>
      <c r="U279" t="s">
        <v>168</v>
      </c>
      <c r="V279" t="s">
        <v>168</v>
      </c>
      <c r="W279" t="s">
        <v>168</v>
      </c>
      <c r="X279" t="s">
        <v>168</v>
      </c>
      <c r="Y279" t="s">
        <v>168</v>
      </c>
      <c r="Z279">
        <v>2</v>
      </c>
      <c r="AA279">
        <v>1</v>
      </c>
    </row>
    <row r="280" spans="1:27" x14ac:dyDescent="0.25">
      <c r="A280" s="60" t="s">
        <v>46</v>
      </c>
      <c r="B280" s="1" t="s">
        <v>30</v>
      </c>
      <c r="C280" s="6">
        <v>44</v>
      </c>
      <c r="D280" s="33">
        <v>61</v>
      </c>
      <c r="E280" s="34">
        <v>65</v>
      </c>
      <c r="F280" s="36">
        <v>76</v>
      </c>
      <c r="G280" s="36">
        <v>80</v>
      </c>
      <c r="H280" s="36">
        <v>80</v>
      </c>
      <c r="I280" s="36">
        <v>81</v>
      </c>
      <c r="J280" s="35">
        <v>8</v>
      </c>
      <c r="K280" s="52" t="s">
        <v>170</v>
      </c>
      <c r="L280" t="s">
        <v>168</v>
      </c>
      <c r="M280" t="s">
        <v>168</v>
      </c>
      <c r="N280" t="s">
        <v>168</v>
      </c>
      <c r="O280" t="s">
        <v>168</v>
      </c>
      <c r="P280" t="s">
        <v>168</v>
      </c>
      <c r="Q280" t="s">
        <v>168</v>
      </c>
      <c r="R280" t="s">
        <v>168</v>
      </c>
      <c r="S280" t="s">
        <v>168</v>
      </c>
      <c r="T280" t="s">
        <v>168</v>
      </c>
      <c r="U280" t="s">
        <v>168</v>
      </c>
      <c r="V280" t="s">
        <v>168</v>
      </c>
      <c r="W280" t="s">
        <v>168</v>
      </c>
      <c r="X280" t="s">
        <v>168</v>
      </c>
      <c r="Y280" t="s">
        <v>168</v>
      </c>
      <c r="Z280">
        <v>2</v>
      </c>
      <c r="AA280">
        <v>1</v>
      </c>
    </row>
    <row r="281" spans="1:27" x14ac:dyDescent="0.25">
      <c r="A281" s="60" t="s">
        <v>46</v>
      </c>
      <c r="B281" s="1" t="s">
        <v>31</v>
      </c>
      <c r="C281" s="6">
        <v>45</v>
      </c>
      <c r="D281" s="33">
        <v>64</v>
      </c>
      <c r="E281" s="34">
        <v>65</v>
      </c>
      <c r="F281" s="36">
        <v>81</v>
      </c>
      <c r="G281" s="36">
        <v>82</v>
      </c>
      <c r="H281" s="36">
        <v>91</v>
      </c>
      <c r="I281" s="36">
        <v>96</v>
      </c>
      <c r="J281" s="35">
        <v>8</v>
      </c>
      <c r="K281" s="52" t="s">
        <v>170</v>
      </c>
      <c r="L281" t="s">
        <v>168</v>
      </c>
      <c r="M281" t="s">
        <v>168</v>
      </c>
      <c r="N281" t="s">
        <v>168</v>
      </c>
      <c r="O281" t="s">
        <v>168</v>
      </c>
      <c r="P281" t="s">
        <v>168</v>
      </c>
      <c r="Q281" t="s">
        <v>168</v>
      </c>
      <c r="R281" t="s">
        <v>168</v>
      </c>
      <c r="S281" t="s">
        <v>168</v>
      </c>
      <c r="T281" t="s">
        <v>168</v>
      </c>
      <c r="U281" t="s">
        <v>168</v>
      </c>
      <c r="V281" t="s">
        <v>168</v>
      </c>
      <c r="W281" t="s">
        <v>168</v>
      </c>
      <c r="X281" t="s">
        <v>168</v>
      </c>
      <c r="Y281" t="s">
        <v>168</v>
      </c>
      <c r="Z281">
        <v>2</v>
      </c>
      <c r="AA281">
        <v>1</v>
      </c>
    </row>
    <row r="282" spans="1:27" x14ac:dyDescent="0.25">
      <c r="A282" s="60" t="s">
        <v>46</v>
      </c>
      <c r="B282" s="1" t="s">
        <v>33</v>
      </c>
      <c r="C282" s="6">
        <v>44</v>
      </c>
      <c r="D282" s="33">
        <v>60</v>
      </c>
      <c r="E282" s="34">
        <v>60</v>
      </c>
      <c r="F282" s="36">
        <v>74</v>
      </c>
      <c r="G282" s="36">
        <v>75</v>
      </c>
      <c r="H282" s="36">
        <v>75</v>
      </c>
      <c r="I282" s="36">
        <v>75</v>
      </c>
      <c r="J282" s="35">
        <v>16</v>
      </c>
      <c r="K282" s="52" t="s">
        <v>170</v>
      </c>
      <c r="L282" t="s">
        <v>168</v>
      </c>
      <c r="M282" t="s">
        <v>168</v>
      </c>
      <c r="N282" t="s">
        <v>168</v>
      </c>
      <c r="O282" t="s">
        <v>168</v>
      </c>
      <c r="P282" t="s">
        <v>168</v>
      </c>
      <c r="Q282" t="s">
        <v>168</v>
      </c>
      <c r="R282" t="s">
        <v>168</v>
      </c>
      <c r="S282" t="s">
        <v>168</v>
      </c>
      <c r="T282" t="s">
        <v>168</v>
      </c>
      <c r="U282" t="s">
        <v>168</v>
      </c>
      <c r="V282" t="s">
        <v>168</v>
      </c>
      <c r="W282" t="s">
        <v>168</v>
      </c>
      <c r="X282" t="s">
        <v>168</v>
      </c>
      <c r="Y282" t="s">
        <v>168</v>
      </c>
      <c r="Z282">
        <v>2</v>
      </c>
      <c r="AA282">
        <v>1</v>
      </c>
    </row>
    <row r="283" spans="1:27" x14ac:dyDescent="0.25">
      <c r="A283" s="60" t="s">
        <v>46</v>
      </c>
      <c r="B283" s="1" t="s">
        <v>84</v>
      </c>
      <c r="C283" s="6">
        <v>33</v>
      </c>
      <c r="D283" s="33">
        <v>46</v>
      </c>
      <c r="E283" s="34">
        <v>47</v>
      </c>
      <c r="F283" s="36">
        <v>56</v>
      </c>
      <c r="G283" s="36">
        <v>57</v>
      </c>
      <c r="H283" s="36">
        <v>57</v>
      </c>
      <c r="I283" s="36">
        <v>57</v>
      </c>
      <c r="J283" s="35">
        <v>50</v>
      </c>
      <c r="K283" s="52" t="s">
        <v>170</v>
      </c>
      <c r="L283" t="s">
        <v>168</v>
      </c>
      <c r="M283" t="s">
        <v>168</v>
      </c>
      <c r="N283" t="s">
        <v>168</v>
      </c>
      <c r="O283" t="s">
        <v>168</v>
      </c>
      <c r="P283" t="s">
        <v>168</v>
      </c>
      <c r="Q283" t="s">
        <v>168</v>
      </c>
      <c r="R283" t="s">
        <v>168</v>
      </c>
      <c r="S283" t="s">
        <v>168</v>
      </c>
      <c r="T283" t="s">
        <v>168</v>
      </c>
      <c r="U283" t="s">
        <v>168</v>
      </c>
      <c r="V283" t="s">
        <v>168</v>
      </c>
      <c r="W283" t="s">
        <v>168</v>
      </c>
      <c r="X283" t="s">
        <v>168</v>
      </c>
      <c r="Y283" t="s">
        <v>168</v>
      </c>
      <c r="Z283">
        <v>2</v>
      </c>
      <c r="AA283">
        <v>1</v>
      </c>
    </row>
    <row r="284" spans="1:27" x14ac:dyDescent="0.25">
      <c r="A284" s="60" t="s">
        <v>46</v>
      </c>
      <c r="B284" s="1" t="s">
        <v>34</v>
      </c>
      <c r="C284" s="6">
        <v>46</v>
      </c>
      <c r="D284" s="33">
        <v>60</v>
      </c>
      <c r="E284" s="34">
        <v>61</v>
      </c>
      <c r="F284" s="36">
        <v>75</v>
      </c>
      <c r="G284" s="36">
        <v>75</v>
      </c>
      <c r="H284" s="36">
        <v>76</v>
      </c>
      <c r="I284" s="36">
        <v>76</v>
      </c>
      <c r="J284" s="35">
        <v>16</v>
      </c>
      <c r="K284" s="52" t="s">
        <v>170</v>
      </c>
      <c r="L284" t="s">
        <v>168</v>
      </c>
      <c r="M284" t="s">
        <v>168</v>
      </c>
      <c r="N284" t="s">
        <v>168</v>
      </c>
      <c r="O284" t="s">
        <v>168</v>
      </c>
      <c r="P284" t="s">
        <v>168</v>
      </c>
      <c r="Q284" t="s">
        <v>168</v>
      </c>
      <c r="R284" t="s">
        <v>168</v>
      </c>
      <c r="S284" t="s">
        <v>168</v>
      </c>
      <c r="T284" t="s">
        <v>168</v>
      </c>
      <c r="U284" t="s">
        <v>168</v>
      </c>
      <c r="V284" t="s">
        <v>168</v>
      </c>
      <c r="W284" t="s">
        <v>168</v>
      </c>
      <c r="X284" t="s">
        <v>168</v>
      </c>
      <c r="Y284" t="s">
        <v>168</v>
      </c>
      <c r="Z284">
        <v>2</v>
      </c>
      <c r="AA284">
        <v>1</v>
      </c>
    </row>
    <row r="285" spans="1:27" x14ac:dyDescent="0.25">
      <c r="A285" s="60" t="s">
        <v>46</v>
      </c>
      <c r="B285" s="1" t="s">
        <v>85</v>
      </c>
      <c r="C285" s="6">
        <v>45</v>
      </c>
      <c r="D285" s="33">
        <v>60</v>
      </c>
      <c r="E285" s="34">
        <v>62</v>
      </c>
      <c r="F285" s="36">
        <v>73</v>
      </c>
      <c r="G285" s="36">
        <v>74</v>
      </c>
      <c r="H285" s="36">
        <v>75</v>
      </c>
      <c r="I285" s="36">
        <v>75</v>
      </c>
      <c r="J285" s="35">
        <v>16</v>
      </c>
      <c r="K285" s="52" t="s">
        <v>170</v>
      </c>
      <c r="L285" t="s">
        <v>168</v>
      </c>
      <c r="M285" t="s">
        <v>168</v>
      </c>
      <c r="N285" t="s">
        <v>168</v>
      </c>
      <c r="O285" t="s">
        <v>168</v>
      </c>
      <c r="P285" t="s">
        <v>168</v>
      </c>
      <c r="Q285" t="s">
        <v>168</v>
      </c>
      <c r="R285" t="s">
        <v>168</v>
      </c>
      <c r="S285" t="s">
        <v>168</v>
      </c>
      <c r="T285" t="s">
        <v>168</v>
      </c>
      <c r="U285" t="s">
        <v>168</v>
      </c>
      <c r="V285" t="s">
        <v>168</v>
      </c>
      <c r="W285" t="s">
        <v>168</v>
      </c>
      <c r="X285" t="s">
        <v>168</v>
      </c>
      <c r="Y285" t="s">
        <v>168</v>
      </c>
      <c r="Z285">
        <v>2</v>
      </c>
      <c r="AA285">
        <v>1</v>
      </c>
    </row>
    <row r="286" spans="1:27" x14ac:dyDescent="0.25">
      <c r="A286" s="60" t="s">
        <v>46</v>
      </c>
      <c r="B286" s="1" t="s">
        <v>76</v>
      </c>
      <c r="C286" s="6">
        <v>46</v>
      </c>
      <c r="D286" s="33">
        <v>65</v>
      </c>
      <c r="E286" s="34">
        <v>68</v>
      </c>
      <c r="F286" s="36">
        <v>81</v>
      </c>
      <c r="G286" s="36">
        <v>82</v>
      </c>
      <c r="H286" s="36">
        <v>87</v>
      </c>
      <c r="I286" s="36">
        <v>87</v>
      </c>
      <c r="J286" s="35">
        <v>10</v>
      </c>
      <c r="K286" s="52" t="s">
        <v>170</v>
      </c>
      <c r="L286" t="s">
        <v>168</v>
      </c>
      <c r="M286" t="s">
        <v>168</v>
      </c>
      <c r="N286" t="s">
        <v>168</v>
      </c>
      <c r="O286" t="s">
        <v>168</v>
      </c>
      <c r="P286" t="s">
        <v>168</v>
      </c>
      <c r="Q286" t="s">
        <v>168</v>
      </c>
      <c r="R286" t="s">
        <v>168</v>
      </c>
      <c r="S286" t="s">
        <v>168</v>
      </c>
      <c r="T286" t="s">
        <v>168</v>
      </c>
      <c r="U286" t="s">
        <v>168</v>
      </c>
      <c r="V286" t="s">
        <v>168</v>
      </c>
      <c r="W286" t="s">
        <v>168</v>
      </c>
      <c r="X286" t="s">
        <v>168</v>
      </c>
      <c r="Y286" t="s">
        <v>168</v>
      </c>
      <c r="Z286">
        <v>2</v>
      </c>
      <c r="AA286">
        <v>1</v>
      </c>
    </row>
    <row r="287" spans="1:27" x14ac:dyDescent="0.25">
      <c r="A287" s="60" t="s">
        <v>46</v>
      </c>
      <c r="B287" s="1" t="s">
        <v>96</v>
      </c>
      <c r="C287" s="6">
        <v>51</v>
      </c>
      <c r="D287" s="33">
        <v>68</v>
      </c>
      <c r="E287" s="34">
        <v>71</v>
      </c>
      <c r="F287" s="36">
        <v>87</v>
      </c>
      <c r="G287" s="36">
        <v>88</v>
      </c>
      <c r="H287" s="36">
        <v>101</v>
      </c>
      <c r="I287" s="36">
        <v>103</v>
      </c>
      <c r="J287" s="35">
        <v>6</v>
      </c>
      <c r="K287" s="52" t="s">
        <v>170</v>
      </c>
      <c r="L287" t="s">
        <v>168</v>
      </c>
      <c r="M287" t="s">
        <v>168</v>
      </c>
      <c r="N287" t="s">
        <v>168</v>
      </c>
      <c r="O287" t="s">
        <v>168</v>
      </c>
      <c r="P287" t="s">
        <v>168</v>
      </c>
      <c r="Q287" t="s">
        <v>168</v>
      </c>
      <c r="R287" t="s">
        <v>168</v>
      </c>
      <c r="S287" t="s">
        <v>168</v>
      </c>
      <c r="T287" t="s">
        <v>168</v>
      </c>
      <c r="U287" t="s">
        <v>168</v>
      </c>
      <c r="V287" t="s">
        <v>168</v>
      </c>
      <c r="W287" t="s">
        <v>168</v>
      </c>
      <c r="X287" t="s">
        <v>168</v>
      </c>
      <c r="Y287" t="s">
        <v>168</v>
      </c>
      <c r="Z287">
        <v>2</v>
      </c>
      <c r="AA287">
        <v>1</v>
      </c>
    </row>
    <row r="288" spans="1:27" x14ac:dyDescent="0.25">
      <c r="A288" s="60" t="s">
        <v>46</v>
      </c>
      <c r="B288" s="1" t="s">
        <v>61</v>
      </c>
      <c r="C288" s="6">
        <v>53</v>
      </c>
      <c r="D288" s="33">
        <v>74</v>
      </c>
      <c r="E288" s="34">
        <v>75</v>
      </c>
      <c r="F288" s="36">
        <v>95</v>
      </c>
      <c r="G288" s="36">
        <v>98</v>
      </c>
      <c r="H288" s="36">
        <v>102</v>
      </c>
      <c r="I288" s="36">
        <v>106</v>
      </c>
      <c r="J288" s="35">
        <v>5</v>
      </c>
      <c r="K288" s="52" t="s">
        <v>170</v>
      </c>
      <c r="L288" t="s">
        <v>168</v>
      </c>
      <c r="M288" t="s">
        <v>168</v>
      </c>
      <c r="N288" t="s">
        <v>168</v>
      </c>
      <c r="O288" t="s">
        <v>168</v>
      </c>
      <c r="P288" t="s">
        <v>168</v>
      </c>
      <c r="Q288" t="s">
        <v>168</v>
      </c>
      <c r="R288" t="s">
        <v>168</v>
      </c>
      <c r="S288" t="s">
        <v>168</v>
      </c>
      <c r="T288" t="s">
        <v>168</v>
      </c>
      <c r="U288" t="s">
        <v>168</v>
      </c>
      <c r="V288" t="s">
        <v>168</v>
      </c>
      <c r="W288" t="s">
        <v>168</v>
      </c>
      <c r="X288" t="s">
        <v>168</v>
      </c>
      <c r="Y288" t="s">
        <v>168</v>
      </c>
      <c r="Z288">
        <v>2</v>
      </c>
      <c r="AA288">
        <v>1</v>
      </c>
    </row>
    <row r="289" spans="1:27" x14ac:dyDescent="0.25">
      <c r="A289" s="60" t="s">
        <v>46</v>
      </c>
      <c r="B289" s="1" t="s">
        <v>35</v>
      </c>
      <c r="C289" s="6">
        <v>45</v>
      </c>
      <c r="D289" s="33">
        <v>61</v>
      </c>
      <c r="E289" s="34">
        <v>63</v>
      </c>
      <c r="F289" s="36">
        <v>72</v>
      </c>
      <c r="G289" s="36">
        <v>73</v>
      </c>
      <c r="H289" s="36">
        <v>73</v>
      </c>
      <c r="I289" s="36">
        <v>74</v>
      </c>
      <c r="J289" s="35">
        <v>18</v>
      </c>
      <c r="K289" s="52" t="s">
        <v>170</v>
      </c>
      <c r="L289" t="s">
        <v>168</v>
      </c>
      <c r="M289" t="s">
        <v>168</v>
      </c>
      <c r="N289" t="s">
        <v>168</v>
      </c>
      <c r="O289" t="s">
        <v>168</v>
      </c>
      <c r="P289" t="s">
        <v>168</v>
      </c>
      <c r="Q289" t="s">
        <v>168</v>
      </c>
      <c r="R289" t="s">
        <v>168</v>
      </c>
      <c r="S289" t="s">
        <v>168</v>
      </c>
      <c r="T289" t="s">
        <v>168</v>
      </c>
      <c r="U289" t="s">
        <v>168</v>
      </c>
      <c r="V289" t="s">
        <v>168</v>
      </c>
      <c r="W289" t="s">
        <v>168</v>
      </c>
      <c r="X289" t="s">
        <v>168</v>
      </c>
      <c r="Y289" t="s">
        <v>168</v>
      </c>
      <c r="Z289">
        <v>2</v>
      </c>
      <c r="AA289">
        <v>1</v>
      </c>
    </row>
    <row r="290" spans="1:27" x14ac:dyDescent="0.25">
      <c r="A290" s="60" t="s">
        <v>46</v>
      </c>
      <c r="B290" s="1" t="s">
        <v>62</v>
      </c>
      <c r="C290" s="6">
        <v>27</v>
      </c>
      <c r="D290" s="33">
        <v>37</v>
      </c>
      <c r="E290" s="34">
        <v>37</v>
      </c>
      <c r="F290" s="36">
        <v>48</v>
      </c>
      <c r="G290" s="36">
        <v>49</v>
      </c>
      <c r="H290" s="36">
        <v>50</v>
      </c>
      <c r="I290" s="36">
        <v>51</v>
      </c>
      <c r="J290" s="35">
        <v>71</v>
      </c>
      <c r="K290" s="52" t="s">
        <v>170</v>
      </c>
      <c r="L290" t="s">
        <v>168</v>
      </c>
      <c r="M290" t="s">
        <v>168</v>
      </c>
      <c r="N290" t="s">
        <v>168</v>
      </c>
      <c r="O290" t="s">
        <v>168</v>
      </c>
      <c r="P290" t="s">
        <v>168</v>
      </c>
      <c r="Q290" t="s">
        <v>168</v>
      </c>
      <c r="R290" t="s">
        <v>168</v>
      </c>
      <c r="S290" t="s">
        <v>168</v>
      </c>
      <c r="T290" t="s">
        <v>168</v>
      </c>
      <c r="U290" t="s">
        <v>168</v>
      </c>
      <c r="V290" t="s">
        <v>168</v>
      </c>
      <c r="W290" t="s">
        <v>168</v>
      </c>
      <c r="X290" t="s">
        <v>168</v>
      </c>
      <c r="Y290" t="s">
        <v>168</v>
      </c>
      <c r="Z290">
        <v>2</v>
      </c>
      <c r="AA290">
        <v>1</v>
      </c>
    </row>
    <row r="291" spans="1:27" x14ac:dyDescent="0.25">
      <c r="A291" s="60" t="s">
        <v>46</v>
      </c>
      <c r="B291" s="1" t="s">
        <v>91</v>
      </c>
      <c r="C291" s="6">
        <v>36</v>
      </c>
      <c r="D291" s="33">
        <v>50</v>
      </c>
      <c r="E291" s="34">
        <v>51</v>
      </c>
      <c r="F291" s="36">
        <v>62</v>
      </c>
      <c r="G291" s="36">
        <v>62</v>
      </c>
      <c r="H291" s="36">
        <v>64</v>
      </c>
      <c r="I291" s="36">
        <v>64</v>
      </c>
      <c r="J291" s="35">
        <v>32</v>
      </c>
      <c r="K291" s="52" t="s">
        <v>170</v>
      </c>
      <c r="L291" t="s">
        <v>168</v>
      </c>
      <c r="M291" t="s">
        <v>168</v>
      </c>
      <c r="N291" t="s">
        <v>168</v>
      </c>
      <c r="O291" t="s">
        <v>168</v>
      </c>
      <c r="P291" t="s">
        <v>168</v>
      </c>
      <c r="Q291" t="s">
        <v>168</v>
      </c>
      <c r="R291" t="s">
        <v>168</v>
      </c>
      <c r="S291" t="s">
        <v>168</v>
      </c>
      <c r="T291" t="s">
        <v>168</v>
      </c>
      <c r="U291" t="s">
        <v>168</v>
      </c>
      <c r="V291" t="s">
        <v>168</v>
      </c>
      <c r="W291" t="s">
        <v>168</v>
      </c>
      <c r="X291" t="s">
        <v>168</v>
      </c>
      <c r="Y291" t="s">
        <v>168</v>
      </c>
      <c r="Z291">
        <v>2</v>
      </c>
      <c r="AA291">
        <v>1</v>
      </c>
    </row>
    <row r="292" spans="1:27" x14ac:dyDescent="0.25">
      <c r="A292" s="60" t="s">
        <v>46</v>
      </c>
      <c r="B292" s="1" t="s">
        <v>36</v>
      </c>
      <c r="C292" s="6">
        <v>53</v>
      </c>
      <c r="D292" s="33">
        <v>70</v>
      </c>
      <c r="E292" s="34">
        <v>71</v>
      </c>
      <c r="F292" s="36">
        <v>86</v>
      </c>
      <c r="G292" s="36">
        <v>87</v>
      </c>
      <c r="H292" s="36">
        <v>95</v>
      </c>
      <c r="I292" s="36">
        <v>95</v>
      </c>
      <c r="J292" s="35">
        <v>8</v>
      </c>
      <c r="K292" s="52" t="s">
        <v>170</v>
      </c>
      <c r="L292" t="s">
        <v>168</v>
      </c>
      <c r="M292" t="s">
        <v>168</v>
      </c>
      <c r="N292" t="s">
        <v>168</v>
      </c>
      <c r="O292" t="s">
        <v>168</v>
      </c>
      <c r="P292" t="s">
        <v>168</v>
      </c>
      <c r="Q292" t="s">
        <v>168</v>
      </c>
      <c r="R292" t="s">
        <v>168</v>
      </c>
      <c r="S292" t="s">
        <v>168</v>
      </c>
      <c r="T292" t="s">
        <v>168</v>
      </c>
      <c r="U292" t="s">
        <v>168</v>
      </c>
      <c r="V292" t="s">
        <v>168</v>
      </c>
      <c r="W292" t="s">
        <v>168</v>
      </c>
      <c r="X292" t="s">
        <v>168</v>
      </c>
      <c r="Y292" t="s">
        <v>168</v>
      </c>
      <c r="Z292">
        <v>2</v>
      </c>
      <c r="AA292">
        <v>1</v>
      </c>
    </row>
    <row r="293" spans="1:27" x14ac:dyDescent="0.25">
      <c r="A293" s="60" t="s">
        <v>46</v>
      </c>
      <c r="B293" s="1" t="s">
        <v>63</v>
      </c>
      <c r="C293" s="6">
        <v>33</v>
      </c>
      <c r="D293" s="33">
        <v>49</v>
      </c>
      <c r="E293" s="34">
        <v>51</v>
      </c>
      <c r="F293" s="36">
        <v>62</v>
      </c>
      <c r="G293" s="36">
        <v>62</v>
      </c>
      <c r="H293" s="36">
        <v>65</v>
      </c>
      <c r="I293" s="36">
        <v>66</v>
      </c>
      <c r="J293" s="35">
        <v>32</v>
      </c>
      <c r="K293" s="52" t="s">
        <v>170</v>
      </c>
      <c r="L293" t="s">
        <v>168</v>
      </c>
      <c r="M293" t="s">
        <v>168</v>
      </c>
      <c r="N293" t="s">
        <v>168</v>
      </c>
      <c r="O293" t="s">
        <v>168</v>
      </c>
      <c r="P293" t="s">
        <v>168</v>
      </c>
      <c r="Q293" t="s">
        <v>168</v>
      </c>
      <c r="R293" t="s">
        <v>168</v>
      </c>
      <c r="S293" t="s">
        <v>168</v>
      </c>
      <c r="T293" t="s">
        <v>168</v>
      </c>
      <c r="U293" t="s">
        <v>168</v>
      </c>
      <c r="V293" t="s">
        <v>168</v>
      </c>
      <c r="W293" t="s">
        <v>168</v>
      </c>
      <c r="X293" t="s">
        <v>168</v>
      </c>
      <c r="Y293" t="s">
        <v>168</v>
      </c>
      <c r="Z293">
        <v>2</v>
      </c>
      <c r="AA293">
        <v>1</v>
      </c>
    </row>
    <row r="294" spans="1:27" x14ac:dyDescent="0.25">
      <c r="A294" s="60" t="s">
        <v>46</v>
      </c>
      <c r="B294" s="1" t="s">
        <v>78</v>
      </c>
      <c r="C294" s="6">
        <v>45</v>
      </c>
      <c r="D294" s="33">
        <v>59</v>
      </c>
      <c r="E294" s="34">
        <v>61</v>
      </c>
      <c r="F294" s="36">
        <v>74</v>
      </c>
      <c r="G294" s="36">
        <v>74</v>
      </c>
      <c r="H294" s="36">
        <v>75</v>
      </c>
      <c r="I294" s="36">
        <v>75</v>
      </c>
      <c r="J294" s="35">
        <v>16</v>
      </c>
      <c r="K294" s="52" t="s">
        <v>170</v>
      </c>
      <c r="L294" t="s">
        <v>168</v>
      </c>
      <c r="M294" t="s">
        <v>168</v>
      </c>
      <c r="N294" t="s">
        <v>168</v>
      </c>
      <c r="O294" t="s">
        <v>168</v>
      </c>
      <c r="P294" t="s">
        <v>168</v>
      </c>
      <c r="Q294" t="s">
        <v>168</v>
      </c>
      <c r="R294" t="s">
        <v>168</v>
      </c>
      <c r="S294" t="s">
        <v>168</v>
      </c>
      <c r="T294" t="s">
        <v>168</v>
      </c>
      <c r="U294" t="s">
        <v>168</v>
      </c>
      <c r="V294" t="s">
        <v>168</v>
      </c>
      <c r="W294" t="s">
        <v>168</v>
      </c>
      <c r="X294" t="s">
        <v>168</v>
      </c>
      <c r="Y294" t="s">
        <v>168</v>
      </c>
      <c r="Z294">
        <v>2</v>
      </c>
      <c r="AA294">
        <v>1</v>
      </c>
    </row>
    <row r="295" spans="1:27" x14ac:dyDescent="0.25">
      <c r="A295" s="60" t="s">
        <v>46</v>
      </c>
      <c r="B295" s="1" t="s">
        <v>37</v>
      </c>
      <c r="C295" s="6">
        <v>46</v>
      </c>
      <c r="D295" s="33">
        <v>63</v>
      </c>
      <c r="E295" s="34">
        <v>63</v>
      </c>
      <c r="F295" s="36">
        <v>73</v>
      </c>
      <c r="G295" s="36">
        <v>74</v>
      </c>
      <c r="H295" s="36">
        <v>75</v>
      </c>
      <c r="I295" s="36">
        <v>75</v>
      </c>
      <c r="J295" s="35">
        <v>16</v>
      </c>
      <c r="K295" s="52" t="s">
        <v>170</v>
      </c>
      <c r="L295" t="s">
        <v>168</v>
      </c>
      <c r="M295" t="s">
        <v>168</v>
      </c>
      <c r="N295" t="s">
        <v>168</v>
      </c>
      <c r="O295" t="s">
        <v>168</v>
      </c>
      <c r="P295" t="s">
        <v>168</v>
      </c>
      <c r="Q295" t="s">
        <v>168</v>
      </c>
      <c r="R295" t="s">
        <v>168</v>
      </c>
      <c r="S295" t="s">
        <v>168</v>
      </c>
      <c r="T295" t="s">
        <v>168</v>
      </c>
      <c r="U295" t="s">
        <v>168</v>
      </c>
      <c r="V295" t="s">
        <v>168</v>
      </c>
      <c r="W295" t="s">
        <v>168</v>
      </c>
      <c r="X295" t="s">
        <v>168</v>
      </c>
      <c r="Y295" t="s">
        <v>168</v>
      </c>
      <c r="Z295">
        <v>2</v>
      </c>
      <c r="AA295">
        <v>1</v>
      </c>
    </row>
    <row r="296" spans="1:27" x14ac:dyDescent="0.25">
      <c r="A296" s="60" t="s">
        <v>46</v>
      </c>
      <c r="B296" s="1" t="s">
        <v>87</v>
      </c>
      <c r="C296" s="6">
        <v>56</v>
      </c>
      <c r="D296" s="33">
        <v>78</v>
      </c>
      <c r="E296" s="34">
        <v>78</v>
      </c>
      <c r="F296" s="36">
        <v>100</v>
      </c>
      <c r="G296" s="36">
        <v>101</v>
      </c>
      <c r="H296" s="36">
        <v>103</v>
      </c>
      <c r="I296" s="36">
        <v>106</v>
      </c>
      <c r="J296" s="35">
        <v>4</v>
      </c>
      <c r="K296" s="52" t="s">
        <v>170</v>
      </c>
      <c r="L296" t="s">
        <v>168</v>
      </c>
      <c r="M296" t="s">
        <v>168</v>
      </c>
      <c r="N296" t="s">
        <v>168</v>
      </c>
      <c r="O296" t="s">
        <v>168</v>
      </c>
      <c r="P296" t="s">
        <v>168</v>
      </c>
      <c r="Q296" t="s">
        <v>168</v>
      </c>
      <c r="R296" t="s">
        <v>168</v>
      </c>
      <c r="S296" t="s">
        <v>168</v>
      </c>
      <c r="T296" t="s">
        <v>168</v>
      </c>
      <c r="U296" t="s">
        <v>168</v>
      </c>
      <c r="V296" t="s">
        <v>168</v>
      </c>
      <c r="W296" t="s">
        <v>168</v>
      </c>
      <c r="X296" t="s">
        <v>168</v>
      </c>
      <c r="Y296" t="s">
        <v>168</v>
      </c>
      <c r="Z296">
        <v>2</v>
      </c>
      <c r="AA296">
        <v>1</v>
      </c>
    </row>
    <row r="297" spans="1:27" x14ac:dyDescent="0.25">
      <c r="A297" s="60" t="s">
        <v>46</v>
      </c>
      <c r="B297" s="1" t="s">
        <v>92</v>
      </c>
      <c r="C297" s="6">
        <v>40</v>
      </c>
      <c r="D297" s="33">
        <v>58</v>
      </c>
      <c r="E297" s="34">
        <v>59</v>
      </c>
      <c r="F297" s="36">
        <v>74</v>
      </c>
      <c r="G297" s="36">
        <v>74</v>
      </c>
      <c r="H297" s="36">
        <v>75</v>
      </c>
      <c r="I297" s="36">
        <v>75</v>
      </c>
      <c r="J297" s="35">
        <v>16</v>
      </c>
      <c r="K297" s="52" t="s">
        <v>170</v>
      </c>
      <c r="L297" t="s">
        <v>168</v>
      </c>
      <c r="M297" t="s">
        <v>168</v>
      </c>
      <c r="N297" t="s">
        <v>168</v>
      </c>
      <c r="O297" t="s">
        <v>168</v>
      </c>
      <c r="P297" t="s">
        <v>168</v>
      </c>
      <c r="Q297" t="s">
        <v>168</v>
      </c>
      <c r="R297" t="s">
        <v>168</v>
      </c>
      <c r="S297" t="s">
        <v>168</v>
      </c>
      <c r="T297" t="s">
        <v>168</v>
      </c>
      <c r="U297" t="s">
        <v>168</v>
      </c>
      <c r="V297" t="s">
        <v>168</v>
      </c>
      <c r="W297" t="s">
        <v>168</v>
      </c>
      <c r="X297" t="s">
        <v>168</v>
      </c>
      <c r="Y297" t="s">
        <v>168</v>
      </c>
      <c r="Z297">
        <v>2</v>
      </c>
      <c r="AA297">
        <v>1</v>
      </c>
    </row>
    <row r="298" spans="1:27" x14ac:dyDescent="0.25">
      <c r="A298" s="60" t="s">
        <v>46</v>
      </c>
      <c r="B298" s="1" t="s">
        <v>67</v>
      </c>
      <c r="C298" s="6">
        <v>45</v>
      </c>
      <c r="D298" s="33">
        <v>59</v>
      </c>
      <c r="E298" s="34">
        <v>61</v>
      </c>
      <c r="F298" s="36">
        <v>73</v>
      </c>
      <c r="G298" s="36">
        <v>73</v>
      </c>
      <c r="H298" s="36">
        <v>76</v>
      </c>
      <c r="I298" s="36">
        <v>79</v>
      </c>
      <c r="J298" s="35">
        <v>14</v>
      </c>
      <c r="K298" s="52" t="s">
        <v>170</v>
      </c>
      <c r="L298" t="s">
        <v>168</v>
      </c>
      <c r="M298" t="s">
        <v>168</v>
      </c>
      <c r="N298" t="s">
        <v>168</v>
      </c>
      <c r="O298" t="s">
        <v>168</v>
      </c>
      <c r="P298" t="s">
        <v>168</v>
      </c>
      <c r="Q298" t="s">
        <v>168</v>
      </c>
      <c r="R298" t="s">
        <v>168</v>
      </c>
      <c r="S298" t="s">
        <v>168</v>
      </c>
      <c r="T298" t="s">
        <v>168</v>
      </c>
      <c r="U298" t="s">
        <v>168</v>
      </c>
      <c r="V298" t="s">
        <v>168</v>
      </c>
      <c r="W298" t="s">
        <v>168</v>
      </c>
      <c r="X298" t="s">
        <v>168</v>
      </c>
      <c r="Y298" t="s">
        <v>168</v>
      </c>
      <c r="Z298">
        <v>2</v>
      </c>
      <c r="AA298">
        <v>1</v>
      </c>
    </row>
    <row r="299" spans="1:27" x14ac:dyDescent="0.25">
      <c r="A299" s="60" t="s">
        <v>46</v>
      </c>
      <c r="B299" s="1" t="s">
        <v>69</v>
      </c>
      <c r="C299" s="6">
        <v>52</v>
      </c>
      <c r="D299" s="33">
        <v>69</v>
      </c>
      <c r="E299" s="34">
        <v>71</v>
      </c>
      <c r="F299" s="36">
        <v>89</v>
      </c>
      <c r="G299" s="36">
        <v>90</v>
      </c>
      <c r="H299" s="36">
        <v>90</v>
      </c>
      <c r="I299" s="36">
        <v>90</v>
      </c>
      <c r="J299" s="35">
        <v>8</v>
      </c>
      <c r="K299" s="52" t="s">
        <v>170</v>
      </c>
      <c r="L299" t="s">
        <v>168</v>
      </c>
      <c r="M299" t="s">
        <v>168</v>
      </c>
      <c r="N299" t="s">
        <v>168</v>
      </c>
      <c r="O299" t="s">
        <v>168</v>
      </c>
      <c r="P299" t="s">
        <v>168</v>
      </c>
      <c r="Q299" t="s">
        <v>168</v>
      </c>
      <c r="R299" t="s">
        <v>168</v>
      </c>
      <c r="S299" t="s">
        <v>168</v>
      </c>
      <c r="T299" t="s">
        <v>168</v>
      </c>
      <c r="U299" t="s">
        <v>168</v>
      </c>
      <c r="V299" t="s">
        <v>168</v>
      </c>
      <c r="W299" t="s">
        <v>168</v>
      </c>
      <c r="X299" t="s">
        <v>168</v>
      </c>
      <c r="Y299" t="s">
        <v>168</v>
      </c>
      <c r="Z299">
        <v>2</v>
      </c>
      <c r="AA299">
        <v>1</v>
      </c>
    </row>
    <row r="300" spans="1:27" x14ac:dyDescent="0.25">
      <c r="A300" s="60" t="s">
        <v>46</v>
      </c>
      <c r="B300" s="1" t="s">
        <v>41</v>
      </c>
      <c r="C300" s="6">
        <v>56</v>
      </c>
      <c r="D300" s="33">
        <v>74</v>
      </c>
      <c r="E300" s="34">
        <v>74</v>
      </c>
      <c r="F300" s="36">
        <v>92</v>
      </c>
      <c r="G300" s="36">
        <v>92</v>
      </c>
      <c r="H300" s="36">
        <v>92</v>
      </c>
      <c r="I300" s="36">
        <v>92</v>
      </c>
      <c r="J300" s="35">
        <v>8</v>
      </c>
      <c r="K300" s="52" t="s">
        <v>170</v>
      </c>
      <c r="L300" t="s">
        <v>168</v>
      </c>
      <c r="M300" t="s">
        <v>168</v>
      </c>
      <c r="N300" t="s">
        <v>168</v>
      </c>
      <c r="O300" t="s">
        <v>168</v>
      </c>
      <c r="P300" t="s">
        <v>168</v>
      </c>
      <c r="Q300" t="s">
        <v>168</v>
      </c>
      <c r="R300" t="s">
        <v>168</v>
      </c>
      <c r="S300" t="s">
        <v>168</v>
      </c>
      <c r="T300" t="s">
        <v>168</v>
      </c>
      <c r="U300" t="s">
        <v>168</v>
      </c>
      <c r="V300" t="s">
        <v>168</v>
      </c>
      <c r="W300" t="s">
        <v>168</v>
      </c>
      <c r="X300" t="s">
        <v>168</v>
      </c>
      <c r="Y300" t="s">
        <v>168</v>
      </c>
      <c r="Z300">
        <v>2</v>
      </c>
      <c r="AA300">
        <v>1</v>
      </c>
    </row>
    <row r="301" spans="1:27" x14ac:dyDescent="0.25">
      <c r="A301" s="28" t="s">
        <v>46</v>
      </c>
      <c r="B301" s="1" t="s">
        <v>72</v>
      </c>
      <c r="C301" s="6">
        <v>41</v>
      </c>
      <c r="D301" s="33">
        <v>57</v>
      </c>
      <c r="E301" s="34">
        <v>60</v>
      </c>
      <c r="F301" s="36">
        <v>75</v>
      </c>
      <c r="G301" s="36">
        <v>75</v>
      </c>
      <c r="H301" s="36">
        <v>75</v>
      </c>
      <c r="I301" s="36">
        <v>90</v>
      </c>
      <c r="J301" s="35">
        <v>10</v>
      </c>
      <c r="K301" s="52" t="s">
        <v>196</v>
      </c>
      <c r="L301" t="s">
        <v>168</v>
      </c>
      <c r="M301" t="s">
        <v>168</v>
      </c>
      <c r="N301" t="s">
        <v>168</v>
      </c>
      <c r="O301" t="s">
        <v>168</v>
      </c>
      <c r="P301" t="s">
        <v>168</v>
      </c>
      <c r="Q301" t="s">
        <v>168</v>
      </c>
      <c r="R301" t="s">
        <v>168</v>
      </c>
      <c r="S301" t="s">
        <v>168</v>
      </c>
      <c r="T301" t="s">
        <v>168</v>
      </c>
      <c r="U301" t="s">
        <v>168</v>
      </c>
      <c r="V301" t="s">
        <v>168</v>
      </c>
      <c r="W301" t="s">
        <v>168</v>
      </c>
      <c r="X301" t="s">
        <v>168</v>
      </c>
      <c r="Y301" t="s">
        <v>168</v>
      </c>
      <c r="Z301">
        <v>2</v>
      </c>
      <c r="AA301">
        <v>1</v>
      </c>
    </row>
    <row r="302" spans="1:27" x14ac:dyDescent="0.25">
      <c r="A302" s="28" t="s">
        <v>46</v>
      </c>
      <c r="B302" s="1" t="s">
        <v>11</v>
      </c>
      <c r="C302" s="6">
        <v>60</v>
      </c>
      <c r="D302" s="33">
        <v>73</v>
      </c>
      <c r="E302" s="34">
        <v>75</v>
      </c>
      <c r="F302" s="36">
        <v>87</v>
      </c>
      <c r="G302" s="36">
        <v>87</v>
      </c>
      <c r="H302" s="36">
        <v>93</v>
      </c>
      <c r="I302" s="36">
        <v>94</v>
      </c>
      <c r="J302" s="35">
        <v>10</v>
      </c>
      <c r="K302" s="52" t="s">
        <v>196</v>
      </c>
      <c r="L302" t="s">
        <v>168</v>
      </c>
      <c r="M302" t="s">
        <v>168</v>
      </c>
      <c r="N302" t="s">
        <v>168</v>
      </c>
      <c r="O302" t="s">
        <v>168</v>
      </c>
      <c r="P302" t="s">
        <v>168</v>
      </c>
      <c r="Q302" t="s">
        <v>168</v>
      </c>
      <c r="R302" t="s">
        <v>168</v>
      </c>
      <c r="S302" t="s">
        <v>168</v>
      </c>
      <c r="T302" t="s">
        <v>168</v>
      </c>
      <c r="U302" t="s">
        <v>168</v>
      </c>
      <c r="V302" t="s">
        <v>168</v>
      </c>
      <c r="W302" t="s">
        <v>168</v>
      </c>
      <c r="X302" t="s">
        <v>168</v>
      </c>
      <c r="Y302" t="s">
        <v>168</v>
      </c>
      <c r="Z302">
        <v>2</v>
      </c>
      <c r="AA302">
        <v>1</v>
      </c>
    </row>
    <row r="303" spans="1:27" x14ac:dyDescent="0.25">
      <c r="A303" s="28" t="s">
        <v>46</v>
      </c>
      <c r="B303" s="1" t="s">
        <v>12</v>
      </c>
      <c r="C303" s="6">
        <v>47</v>
      </c>
      <c r="D303" s="33">
        <v>65</v>
      </c>
      <c r="E303" s="34">
        <v>65</v>
      </c>
      <c r="F303" s="36">
        <v>80</v>
      </c>
      <c r="G303" s="62" t="s">
        <v>194</v>
      </c>
      <c r="H303" s="62" t="s">
        <v>191</v>
      </c>
      <c r="I303" s="62" t="s">
        <v>182</v>
      </c>
      <c r="J303" s="35">
        <v>8</v>
      </c>
      <c r="K303" s="52" t="s">
        <v>196</v>
      </c>
      <c r="L303" t="s">
        <v>168</v>
      </c>
      <c r="M303" t="s">
        <v>168</v>
      </c>
      <c r="N303" t="s">
        <v>168</v>
      </c>
      <c r="O303" t="s">
        <v>168</v>
      </c>
      <c r="P303" t="s">
        <v>168</v>
      </c>
      <c r="Q303" t="s">
        <v>168</v>
      </c>
      <c r="R303" t="s">
        <v>168</v>
      </c>
      <c r="S303" t="s">
        <v>168</v>
      </c>
      <c r="T303" t="s">
        <v>168</v>
      </c>
      <c r="U303" t="s">
        <v>168</v>
      </c>
      <c r="V303" t="s">
        <v>168</v>
      </c>
      <c r="W303" t="s">
        <v>168</v>
      </c>
      <c r="X303" t="s">
        <v>168</v>
      </c>
      <c r="Y303" t="s">
        <v>168</v>
      </c>
      <c r="Z303">
        <v>2</v>
      </c>
      <c r="AA303">
        <v>1</v>
      </c>
    </row>
    <row r="304" spans="1:27" x14ac:dyDescent="0.25">
      <c r="A304" s="28" t="s">
        <v>46</v>
      </c>
      <c r="B304" s="1" t="s">
        <v>13</v>
      </c>
      <c r="C304" s="6">
        <v>43</v>
      </c>
      <c r="D304" s="33">
        <v>57</v>
      </c>
      <c r="E304" s="34">
        <v>60</v>
      </c>
      <c r="F304" s="36">
        <v>76</v>
      </c>
      <c r="G304" s="36">
        <v>77</v>
      </c>
      <c r="H304" s="36">
        <v>81</v>
      </c>
      <c r="I304" s="36">
        <v>81</v>
      </c>
      <c r="J304" s="35">
        <v>8</v>
      </c>
      <c r="K304" s="52" t="s">
        <v>196</v>
      </c>
      <c r="L304" t="s">
        <v>168</v>
      </c>
      <c r="M304" t="s">
        <v>168</v>
      </c>
      <c r="N304" t="s">
        <v>168</v>
      </c>
      <c r="O304" t="s">
        <v>168</v>
      </c>
      <c r="P304" t="s">
        <v>168</v>
      </c>
      <c r="Q304" t="s">
        <v>168</v>
      </c>
      <c r="R304" t="s">
        <v>168</v>
      </c>
      <c r="S304" t="s">
        <v>168</v>
      </c>
      <c r="T304" t="s">
        <v>168</v>
      </c>
      <c r="U304" t="s">
        <v>168</v>
      </c>
      <c r="V304" t="s">
        <v>168</v>
      </c>
      <c r="W304" t="s">
        <v>168</v>
      </c>
      <c r="X304" t="s">
        <v>168</v>
      </c>
      <c r="Y304" t="s">
        <v>168</v>
      </c>
      <c r="Z304">
        <v>2</v>
      </c>
      <c r="AA304">
        <v>1</v>
      </c>
    </row>
    <row r="305" spans="1:27" x14ac:dyDescent="0.25">
      <c r="A305" s="28" t="s">
        <v>46</v>
      </c>
      <c r="B305" s="1" t="s">
        <v>14</v>
      </c>
      <c r="C305" s="6">
        <v>42</v>
      </c>
      <c r="D305" s="33">
        <v>70</v>
      </c>
      <c r="E305" s="34">
        <v>70</v>
      </c>
      <c r="F305" s="36">
        <v>92</v>
      </c>
      <c r="G305" s="36">
        <v>96</v>
      </c>
      <c r="H305" s="62" t="s">
        <v>168</v>
      </c>
      <c r="I305" s="62" t="s">
        <v>168</v>
      </c>
      <c r="J305" s="35">
        <v>6</v>
      </c>
      <c r="K305" s="52" t="s">
        <v>196</v>
      </c>
      <c r="L305" t="s">
        <v>168</v>
      </c>
      <c r="M305" t="s">
        <v>168</v>
      </c>
      <c r="N305" t="s">
        <v>168</v>
      </c>
      <c r="O305" t="s">
        <v>168</v>
      </c>
      <c r="P305" t="s">
        <v>168</v>
      </c>
      <c r="Q305" t="s">
        <v>168</v>
      </c>
      <c r="R305" t="s">
        <v>168</v>
      </c>
      <c r="S305" t="s">
        <v>168</v>
      </c>
      <c r="T305" t="s">
        <v>168</v>
      </c>
      <c r="U305" t="s">
        <v>168</v>
      </c>
      <c r="V305" t="s">
        <v>168</v>
      </c>
      <c r="W305" t="s">
        <v>168</v>
      </c>
      <c r="X305" t="s">
        <v>168</v>
      </c>
      <c r="Y305" t="s">
        <v>168</v>
      </c>
      <c r="Z305">
        <v>2</v>
      </c>
      <c r="AA305">
        <v>1</v>
      </c>
    </row>
    <row r="306" spans="1:27" x14ac:dyDescent="0.25">
      <c r="A306" s="28" t="s">
        <v>46</v>
      </c>
      <c r="B306" s="1" t="s">
        <v>15</v>
      </c>
      <c r="C306" s="6">
        <v>51</v>
      </c>
      <c r="D306" s="33">
        <v>69</v>
      </c>
      <c r="E306" s="34">
        <v>69</v>
      </c>
      <c r="F306" s="62" t="s">
        <v>168</v>
      </c>
      <c r="G306" s="62" t="s">
        <v>168</v>
      </c>
      <c r="H306" s="62" t="s">
        <v>168</v>
      </c>
      <c r="I306" s="62" t="s">
        <v>168</v>
      </c>
      <c r="J306" s="35">
        <v>4</v>
      </c>
      <c r="K306" s="52" t="s">
        <v>196</v>
      </c>
      <c r="L306" t="s">
        <v>168</v>
      </c>
      <c r="M306" t="s">
        <v>168</v>
      </c>
      <c r="N306" t="s">
        <v>168</v>
      </c>
      <c r="O306" t="s">
        <v>168</v>
      </c>
      <c r="P306" t="s">
        <v>168</v>
      </c>
      <c r="Q306" t="s">
        <v>168</v>
      </c>
      <c r="R306" t="s">
        <v>168</v>
      </c>
      <c r="S306" t="s">
        <v>168</v>
      </c>
      <c r="T306" t="s">
        <v>168</v>
      </c>
      <c r="U306" t="s">
        <v>168</v>
      </c>
      <c r="V306" t="s">
        <v>168</v>
      </c>
      <c r="W306" t="s">
        <v>168</v>
      </c>
      <c r="X306" t="s">
        <v>168</v>
      </c>
      <c r="Y306" t="s">
        <v>168</v>
      </c>
      <c r="Z306">
        <v>2</v>
      </c>
      <c r="AA306">
        <v>1</v>
      </c>
    </row>
    <row r="307" spans="1:27" x14ac:dyDescent="0.25">
      <c r="A307" s="28" t="s">
        <v>46</v>
      </c>
      <c r="B307" s="1" t="s">
        <v>81</v>
      </c>
      <c r="C307" s="6">
        <v>37</v>
      </c>
      <c r="D307" s="33">
        <v>57</v>
      </c>
      <c r="E307" s="34">
        <v>57</v>
      </c>
      <c r="F307" s="36">
        <v>78</v>
      </c>
      <c r="G307" s="36">
        <v>78</v>
      </c>
      <c r="H307" s="36">
        <v>91</v>
      </c>
      <c r="I307" s="36">
        <v>95</v>
      </c>
      <c r="J307" s="35">
        <v>9</v>
      </c>
      <c r="K307" s="52" t="s">
        <v>196</v>
      </c>
      <c r="L307" t="s">
        <v>168</v>
      </c>
      <c r="M307" t="s">
        <v>168</v>
      </c>
      <c r="N307" t="s">
        <v>168</v>
      </c>
      <c r="O307" t="s">
        <v>168</v>
      </c>
      <c r="P307" t="s">
        <v>168</v>
      </c>
      <c r="Q307" t="s">
        <v>168</v>
      </c>
      <c r="R307" t="s">
        <v>168</v>
      </c>
      <c r="S307" t="s">
        <v>168</v>
      </c>
      <c r="T307" t="s">
        <v>168</v>
      </c>
      <c r="U307" t="s">
        <v>168</v>
      </c>
      <c r="V307" t="s">
        <v>168</v>
      </c>
      <c r="W307" t="s">
        <v>168</v>
      </c>
      <c r="X307" t="s">
        <v>168</v>
      </c>
      <c r="Y307" t="s">
        <v>168</v>
      </c>
      <c r="Z307">
        <v>2</v>
      </c>
      <c r="AA307">
        <v>1</v>
      </c>
    </row>
    <row r="308" spans="1:27" x14ac:dyDescent="0.25">
      <c r="A308" s="28" t="s">
        <v>46</v>
      </c>
      <c r="B308" s="1" t="s">
        <v>88</v>
      </c>
      <c r="C308" s="6">
        <v>46</v>
      </c>
      <c r="D308" s="33">
        <v>61</v>
      </c>
      <c r="E308" s="34">
        <v>62</v>
      </c>
      <c r="F308" s="36">
        <v>75</v>
      </c>
      <c r="G308" s="36">
        <v>77</v>
      </c>
      <c r="H308" s="36">
        <v>77</v>
      </c>
      <c r="I308" s="36">
        <v>81</v>
      </c>
      <c r="J308" s="35">
        <v>8</v>
      </c>
      <c r="K308" s="52" t="s">
        <v>196</v>
      </c>
      <c r="L308" t="s">
        <v>168</v>
      </c>
      <c r="M308" t="s">
        <v>168</v>
      </c>
      <c r="N308" t="s">
        <v>168</v>
      </c>
      <c r="O308" t="s">
        <v>168</v>
      </c>
      <c r="P308" t="s">
        <v>168</v>
      </c>
      <c r="Q308" t="s">
        <v>168</v>
      </c>
      <c r="R308" t="s">
        <v>168</v>
      </c>
      <c r="S308" t="s">
        <v>168</v>
      </c>
      <c r="T308" t="s">
        <v>168</v>
      </c>
      <c r="U308" t="s">
        <v>168</v>
      </c>
      <c r="V308" t="s">
        <v>168</v>
      </c>
      <c r="W308" t="s">
        <v>168</v>
      </c>
      <c r="X308" t="s">
        <v>168</v>
      </c>
      <c r="Y308" t="s">
        <v>168</v>
      </c>
      <c r="Z308">
        <v>2</v>
      </c>
      <c r="AA308">
        <v>1</v>
      </c>
    </row>
    <row r="309" spans="1:27" x14ac:dyDescent="0.25">
      <c r="A309" s="28" t="s">
        <v>46</v>
      </c>
      <c r="B309" s="1" t="s">
        <v>16</v>
      </c>
      <c r="C309" s="6">
        <v>59</v>
      </c>
      <c r="D309" s="33">
        <v>81</v>
      </c>
      <c r="E309" s="34" t="s">
        <v>168</v>
      </c>
      <c r="F309" s="62" t="s">
        <v>168</v>
      </c>
      <c r="G309" s="62" t="s">
        <v>168</v>
      </c>
      <c r="H309" s="62" t="s">
        <v>168</v>
      </c>
      <c r="I309" s="62" t="s">
        <v>168</v>
      </c>
      <c r="J309" s="35">
        <v>3</v>
      </c>
      <c r="K309" s="52" t="s">
        <v>196</v>
      </c>
      <c r="L309" t="s">
        <v>168</v>
      </c>
      <c r="M309" t="s">
        <v>168</v>
      </c>
      <c r="N309" t="s">
        <v>168</v>
      </c>
      <c r="O309" t="s">
        <v>168</v>
      </c>
      <c r="P309" t="s">
        <v>168</v>
      </c>
      <c r="Q309" t="s">
        <v>168</v>
      </c>
      <c r="R309" t="s">
        <v>168</v>
      </c>
      <c r="S309" t="s">
        <v>168</v>
      </c>
      <c r="T309" t="s">
        <v>168</v>
      </c>
      <c r="U309" t="s">
        <v>168</v>
      </c>
      <c r="V309" t="s">
        <v>168</v>
      </c>
      <c r="W309" t="s">
        <v>168</v>
      </c>
      <c r="X309" t="s">
        <v>168</v>
      </c>
      <c r="Y309" t="s">
        <v>168</v>
      </c>
      <c r="Z309">
        <v>2</v>
      </c>
      <c r="AA309">
        <v>1</v>
      </c>
    </row>
    <row r="310" spans="1:27" x14ac:dyDescent="0.25">
      <c r="A310" s="28" t="s">
        <v>46</v>
      </c>
      <c r="B310" s="1" t="s">
        <v>17</v>
      </c>
      <c r="C310" s="6">
        <v>40</v>
      </c>
      <c r="D310" s="33">
        <v>59</v>
      </c>
      <c r="E310" s="34">
        <v>59</v>
      </c>
      <c r="F310" s="36">
        <v>73</v>
      </c>
      <c r="G310" s="36">
        <v>74</v>
      </c>
      <c r="H310" s="36">
        <v>77</v>
      </c>
      <c r="I310" s="36">
        <v>85</v>
      </c>
      <c r="J310" s="35">
        <v>11</v>
      </c>
      <c r="K310" s="52" t="s">
        <v>196</v>
      </c>
      <c r="L310" t="s">
        <v>168</v>
      </c>
      <c r="M310" t="s">
        <v>168</v>
      </c>
      <c r="N310" t="s">
        <v>168</v>
      </c>
      <c r="O310" t="s">
        <v>168</v>
      </c>
      <c r="P310" t="s">
        <v>168</v>
      </c>
      <c r="Q310" t="s">
        <v>168</v>
      </c>
      <c r="R310" t="s">
        <v>168</v>
      </c>
      <c r="S310" t="s">
        <v>168</v>
      </c>
      <c r="T310" t="s">
        <v>168</v>
      </c>
      <c r="U310" t="s">
        <v>168</v>
      </c>
      <c r="V310" t="s">
        <v>168</v>
      </c>
      <c r="W310" t="s">
        <v>168</v>
      </c>
      <c r="X310" t="s">
        <v>168</v>
      </c>
      <c r="Y310" t="s">
        <v>168</v>
      </c>
      <c r="Z310">
        <v>2</v>
      </c>
      <c r="AA310">
        <v>1</v>
      </c>
    </row>
    <row r="311" spans="1:27" x14ac:dyDescent="0.25">
      <c r="A311" s="28" t="s">
        <v>46</v>
      </c>
      <c r="B311" s="1" t="s">
        <v>197</v>
      </c>
      <c r="C311" s="6">
        <v>46</v>
      </c>
      <c r="D311" s="33">
        <v>59</v>
      </c>
      <c r="E311" s="34">
        <v>59</v>
      </c>
      <c r="F311" s="36">
        <v>72</v>
      </c>
      <c r="G311" s="36">
        <v>73</v>
      </c>
      <c r="H311" s="36">
        <v>73</v>
      </c>
      <c r="I311" s="36">
        <v>78</v>
      </c>
      <c r="J311" s="35">
        <v>11</v>
      </c>
      <c r="K311" s="52" t="s">
        <v>196</v>
      </c>
      <c r="L311" t="s">
        <v>168</v>
      </c>
      <c r="M311" t="s">
        <v>168</v>
      </c>
      <c r="N311" t="s">
        <v>168</v>
      </c>
      <c r="O311" t="s">
        <v>168</v>
      </c>
      <c r="P311" t="s">
        <v>168</v>
      </c>
      <c r="Q311" t="s">
        <v>168</v>
      </c>
      <c r="R311" t="s">
        <v>168</v>
      </c>
      <c r="S311" t="s">
        <v>168</v>
      </c>
      <c r="T311" t="s">
        <v>168</v>
      </c>
      <c r="U311" t="s">
        <v>168</v>
      </c>
      <c r="V311" t="s">
        <v>168</v>
      </c>
      <c r="W311" t="s">
        <v>168</v>
      </c>
      <c r="X311" t="s">
        <v>168</v>
      </c>
      <c r="Y311" t="s">
        <v>168</v>
      </c>
      <c r="Z311">
        <v>2</v>
      </c>
      <c r="AA311">
        <v>1</v>
      </c>
    </row>
    <row r="312" spans="1:27" x14ac:dyDescent="0.25">
      <c r="A312" s="28" t="s">
        <v>46</v>
      </c>
      <c r="B312" s="1" t="s">
        <v>47</v>
      </c>
      <c r="C312" s="6">
        <v>39</v>
      </c>
      <c r="D312" s="33">
        <v>53</v>
      </c>
      <c r="E312" s="34">
        <v>54</v>
      </c>
      <c r="F312" s="36">
        <v>69</v>
      </c>
      <c r="G312" s="36">
        <v>70</v>
      </c>
      <c r="H312" s="36">
        <v>70</v>
      </c>
      <c r="I312" s="36">
        <v>71</v>
      </c>
      <c r="J312" s="35">
        <v>18</v>
      </c>
      <c r="K312" s="52" t="s">
        <v>196</v>
      </c>
      <c r="L312" t="s">
        <v>168</v>
      </c>
      <c r="M312" t="s">
        <v>168</v>
      </c>
      <c r="N312" t="s">
        <v>168</v>
      </c>
      <c r="O312" t="s">
        <v>168</v>
      </c>
      <c r="P312" t="s">
        <v>168</v>
      </c>
      <c r="Q312" t="s">
        <v>168</v>
      </c>
      <c r="R312" t="s">
        <v>168</v>
      </c>
      <c r="S312" t="s">
        <v>168</v>
      </c>
      <c r="T312" t="s">
        <v>168</v>
      </c>
      <c r="U312" t="s">
        <v>168</v>
      </c>
      <c r="V312" t="s">
        <v>168</v>
      </c>
      <c r="W312" t="s">
        <v>168</v>
      </c>
      <c r="X312" t="s">
        <v>168</v>
      </c>
      <c r="Y312" t="s">
        <v>168</v>
      </c>
      <c r="Z312">
        <v>2</v>
      </c>
      <c r="AA312">
        <v>1</v>
      </c>
    </row>
    <row r="313" spans="1:27" x14ac:dyDescent="0.25">
      <c r="A313" s="28" t="s">
        <v>46</v>
      </c>
      <c r="B313" s="1" t="s">
        <v>48</v>
      </c>
      <c r="C313" s="6">
        <v>50</v>
      </c>
      <c r="D313" s="33">
        <v>67</v>
      </c>
      <c r="E313" s="34">
        <v>69</v>
      </c>
      <c r="F313" s="62" t="s">
        <v>168</v>
      </c>
      <c r="G313" s="62" t="s">
        <v>168</v>
      </c>
      <c r="H313" s="62" t="s">
        <v>168</v>
      </c>
      <c r="I313" s="62" t="s">
        <v>168</v>
      </c>
      <c r="J313" s="35">
        <v>4</v>
      </c>
      <c r="K313" s="52" t="s">
        <v>196</v>
      </c>
      <c r="L313" t="s">
        <v>168</v>
      </c>
      <c r="M313" t="s">
        <v>168</v>
      </c>
      <c r="N313" t="s">
        <v>168</v>
      </c>
      <c r="O313" t="s">
        <v>168</v>
      </c>
      <c r="P313" t="s">
        <v>168</v>
      </c>
      <c r="Q313" t="s">
        <v>168</v>
      </c>
      <c r="R313" t="s">
        <v>168</v>
      </c>
      <c r="S313" t="s">
        <v>168</v>
      </c>
      <c r="T313" t="s">
        <v>168</v>
      </c>
      <c r="U313" t="s">
        <v>168</v>
      </c>
      <c r="V313" t="s">
        <v>168</v>
      </c>
      <c r="W313" t="s">
        <v>168</v>
      </c>
      <c r="X313" t="s">
        <v>168</v>
      </c>
      <c r="Y313" t="s">
        <v>168</v>
      </c>
      <c r="Z313">
        <v>2</v>
      </c>
      <c r="AA313">
        <v>1</v>
      </c>
    </row>
    <row r="314" spans="1:27" x14ac:dyDescent="0.25">
      <c r="A314" s="28" t="s">
        <v>46</v>
      </c>
      <c r="B314" s="1" t="s">
        <v>89</v>
      </c>
      <c r="C314" s="6">
        <v>47</v>
      </c>
      <c r="D314" s="33">
        <v>67</v>
      </c>
      <c r="E314" s="34">
        <v>70</v>
      </c>
      <c r="F314" s="36">
        <v>82</v>
      </c>
      <c r="G314" s="36">
        <v>89</v>
      </c>
      <c r="H314" s="62" t="s">
        <v>168</v>
      </c>
      <c r="I314" s="62" t="s">
        <v>168</v>
      </c>
      <c r="J314" s="35">
        <v>6</v>
      </c>
      <c r="K314" s="52" t="s">
        <v>196</v>
      </c>
      <c r="L314" t="s">
        <v>168</v>
      </c>
      <c r="M314" t="s">
        <v>168</v>
      </c>
      <c r="N314" t="s">
        <v>168</v>
      </c>
      <c r="O314" t="s">
        <v>168</v>
      </c>
      <c r="P314" t="s">
        <v>168</v>
      </c>
      <c r="Q314" t="s">
        <v>168</v>
      </c>
      <c r="R314" t="s">
        <v>168</v>
      </c>
      <c r="S314" t="s">
        <v>168</v>
      </c>
      <c r="T314" t="s">
        <v>168</v>
      </c>
      <c r="U314" t="s">
        <v>168</v>
      </c>
      <c r="V314" t="s">
        <v>168</v>
      </c>
      <c r="W314" t="s">
        <v>168</v>
      </c>
      <c r="X314" t="s">
        <v>168</v>
      </c>
      <c r="Y314" t="s">
        <v>168</v>
      </c>
      <c r="Z314">
        <v>2</v>
      </c>
      <c r="AA314">
        <v>1</v>
      </c>
    </row>
    <row r="315" spans="1:27" x14ac:dyDescent="0.25">
      <c r="A315" s="28" t="s">
        <v>46</v>
      </c>
      <c r="B315" s="1" t="s">
        <v>73</v>
      </c>
      <c r="C315" s="6">
        <v>50</v>
      </c>
      <c r="D315" s="33">
        <v>67</v>
      </c>
      <c r="E315" s="34">
        <v>67</v>
      </c>
      <c r="F315" s="36">
        <v>87</v>
      </c>
      <c r="G315" s="62" t="s">
        <v>187</v>
      </c>
      <c r="H315" s="62" t="s">
        <v>168</v>
      </c>
      <c r="I315" s="62" t="s">
        <v>168</v>
      </c>
      <c r="J315" s="35">
        <v>6</v>
      </c>
      <c r="K315" s="52" t="s">
        <v>196</v>
      </c>
      <c r="L315" t="s">
        <v>168</v>
      </c>
      <c r="M315" t="s">
        <v>168</v>
      </c>
      <c r="N315" t="s">
        <v>168</v>
      </c>
      <c r="O315" t="s">
        <v>168</v>
      </c>
      <c r="P315" t="s">
        <v>168</v>
      </c>
      <c r="Q315" t="s">
        <v>168</v>
      </c>
      <c r="R315" t="s">
        <v>168</v>
      </c>
      <c r="S315" t="s">
        <v>168</v>
      </c>
      <c r="T315" t="s">
        <v>168</v>
      </c>
      <c r="U315" t="s">
        <v>168</v>
      </c>
      <c r="V315" t="s">
        <v>168</v>
      </c>
      <c r="W315" t="s">
        <v>168</v>
      </c>
      <c r="X315" t="s">
        <v>168</v>
      </c>
      <c r="Y315" t="s">
        <v>168</v>
      </c>
      <c r="Z315">
        <v>2</v>
      </c>
      <c r="AA315">
        <v>1</v>
      </c>
    </row>
    <row r="316" spans="1:27" x14ac:dyDescent="0.25">
      <c r="A316" s="28" t="s">
        <v>46</v>
      </c>
      <c r="B316" s="1" t="s">
        <v>82</v>
      </c>
      <c r="C316" s="6">
        <v>53</v>
      </c>
      <c r="D316" s="33">
        <v>71</v>
      </c>
      <c r="E316" s="34">
        <v>73</v>
      </c>
      <c r="F316" s="36">
        <v>81</v>
      </c>
      <c r="G316" s="36">
        <v>82</v>
      </c>
      <c r="H316" s="62" t="s">
        <v>168</v>
      </c>
      <c r="I316" s="62" t="s">
        <v>168</v>
      </c>
      <c r="J316" s="35">
        <v>6</v>
      </c>
      <c r="K316" s="52" t="s">
        <v>196</v>
      </c>
      <c r="L316" t="s">
        <v>168</v>
      </c>
      <c r="M316" t="s">
        <v>168</v>
      </c>
      <c r="N316" t="s">
        <v>168</v>
      </c>
      <c r="O316" t="s">
        <v>168</v>
      </c>
      <c r="P316" t="s">
        <v>168</v>
      </c>
      <c r="Q316" t="s">
        <v>168</v>
      </c>
      <c r="R316" t="s">
        <v>168</v>
      </c>
      <c r="S316" t="s">
        <v>168</v>
      </c>
      <c r="T316" t="s">
        <v>168</v>
      </c>
      <c r="U316" t="s">
        <v>168</v>
      </c>
      <c r="V316" t="s">
        <v>168</v>
      </c>
      <c r="W316" t="s">
        <v>168</v>
      </c>
      <c r="X316" t="s">
        <v>168</v>
      </c>
      <c r="Y316" t="s">
        <v>168</v>
      </c>
      <c r="Z316">
        <v>2</v>
      </c>
      <c r="AA316">
        <v>1</v>
      </c>
    </row>
    <row r="317" spans="1:27" x14ac:dyDescent="0.25">
      <c r="A317" s="28" t="s">
        <v>46</v>
      </c>
      <c r="B317" s="1" t="s">
        <v>74</v>
      </c>
      <c r="C317" s="6">
        <v>53</v>
      </c>
      <c r="D317" s="33">
        <v>70</v>
      </c>
      <c r="E317" s="34">
        <v>70</v>
      </c>
      <c r="F317" s="36">
        <v>86</v>
      </c>
      <c r="G317" s="36">
        <v>86</v>
      </c>
      <c r="H317" s="36">
        <v>89</v>
      </c>
      <c r="I317" s="62" t="s">
        <v>188</v>
      </c>
      <c r="J317" s="35">
        <v>8</v>
      </c>
      <c r="K317" s="52" t="s">
        <v>196</v>
      </c>
      <c r="L317" t="s">
        <v>168</v>
      </c>
      <c r="M317" t="s">
        <v>168</v>
      </c>
      <c r="N317" t="s">
        <v>168</v>
      </c>
      <c r="O317" t="s">
        <v>168</v>
      </c>
      <c r="P317" t="s">
        <v>168</v>
      </c>
      <c r="Q317" t="s">
        <v>168</v>
      </c>
      <c r="R317" t="s">
        <v>168</v>
      </c>
      <c r="S317" t="s">
        <v>168</v>
      </c>
      <c r="T317" t="s">
        <v>168</v>
      </c>
      <c r="U317" t="s">
        <v>168</v>
      </c>
      <c r="V317" t="s">
        <v>168</v>
      </c>
      <c r="W317" t="s">
        <v>168</v>
      </c>
      <c r="X317" t="s">
        <v>168</v>
      </c>
      <c r="Y317" t="s">
        <v>168</v>
      </c>
      <c r="Z317">
        <v>2</v>
      </c>
      <c r="AA317">
        <v>1</v>
      </c>
    </row>
    <row r="318" spans="1:27" x14ac:dyDescent="0.25">
      <c r="A318" s="28" t="s">
        <v>46</v>
      </c>
      <c r="B318" s="1" t="s">
        <v>19</v>
      </c>
      <c r="C318" s="6">
        <v>48</v>
      </c>
      <c r="D318" s="33">
        <v>61</v>
      </c>
      <c r="E318" s="34">
        <v>62</v>
      </c>
      <c r="F318" s="36">
        <v>85</v>
      </c>
      <c r="G318" s="36">
        <v>86</v>
      </c>
      <c r="H318" s="36">
        <v>87</v>
      </c>
      <c r="I318" s="36">
        <v>89</v>
      </c>
      <c r="J318" s="35">
        <v>8</v>
      </c>
      <c r="K318" s="52" t="s">
        <v>196</v>
      </c>
      <c r="L318" t="s">
        <v>168</v>
      </c>
      <c r="M318" t="s">
        <v>168</v>
      </c>
      <c r="N318" t="s">
        <v>168</v>
      </c>
      <c r="O318" t="s">
        <v>168</v>
      </c>
      <c r="P318" t="s">
        <v>168</v>
      </c>
      <c r="Q318" t="s">
        <v>168</v>
      </c>
      <c r="R318" t="s">
        <v>168</v>
      </c>
      <c r="S318" t="s">
        <v>168</v>
      </c>
      <c r="T318" t="s">
        <v>168</v>
      </c>
      <c r="U318" t="s">
        <v>168</v>
      </c>
      <c r="V318" t="s">
        <v>168</v>
      </c>
      <c r="W318" t="s">
        <v>168</v>
      </c>
      <c r="X318" t="s">
        <v>168</v>
      </c>
      <c r="Y318" t="s">
        <v>168</v>
      </c>
      <c r="Z318">
        <v>2</v>
      </c>
      <c r="AA318">
        <v>1</v>
      </c>
    </row>
    <row r="319" spans="1:27" x14ac:dyDescent="0.25">
      <c r="A319" s="28" t="s">
        <v>46</v>
      </c>
      <c r="B319" s="1" t="s">
        <v>20</v>
      </c>
      <c r="C319" s="6">
        <v>49</v>
      </c>
      <c r="D319" s="33">
        <v>65</v>
      </c>
      <c r="E319" s="34">
        <v>65</v>
      </c>
      <c r="F319" s="36">
        <v>76</v>
      </c>
      <c r="G319" s="36">
        <v>77</v>
      </c>
      <c r="H319" s="36">
        <v>81</v>
      </c>
      <c r="I319" s="36">
        <v>81</v>
      </c>
      <c r="J319" s="35">
        <v>12</v>
      </c>
      <c r="K319" s="52" t="s">
        <v>196</v>
      </c>
      <c r="L319" t="s">
        <v>168</v>
      </c>
      <c r="M319" t="s">
        <v>168</v>
      </c>
      <c r="N319" t="s">
        <v>168</v>
      </c>
      <c r="O319" t="s">
        <v>168</v>
      </c>
      <c r="P319" t="s">
        <v>168</v>
      </c>
      <c r="Q319" t="s">
        <v>168</v>
      </c>
      <c r="R319" t="s">
        <v>168</v>
      </c>
      <c r="S319" t="s">
        <v>168</v>
      </c>
      <c r="T319" t="s">
        <v>168</v>
      </c>
      <c r="U319" t="s">
        <v>168</v>
      </c>
      <c r="V319" t="s">
        <v>168</v>
      </c>
      <c r="W319" t="s">
        <v>168</v>
      </c>
      <c r="X319" t="s">
        <v>168</v>
      </c>
      <c r="Y319" t="s">
        <v>168</v>
      </c>
      <c r="Z319">
        <v>2</v>
      </c>
      <c r="AA319">
        <v>1</v>
      </c>
    </row>
    <row r="320" spans="1:27" x14ac:dyDescent="0.25">
      <c r="A320" s="28" t="s">
        <v>46</v>
      </c>
      <c r="B320" s="1" t="s">
        <v>50</v>
      </c>
      <c r="C320" s="6">
        <v>51</v>
      </c>
      <c r="D320" s="33">
        <v>75</v>
      </c>
      <c r="E320" s="34">
        <v>76</v>
      </c>
      <c r="F320" s="62" t="s">
        <v>168</v>
      </c>
      <c r="G320" s="62" t="s">
        <v>168</v>
      </c>
      <c r="H320" s="62" t="s">
        <v>168</v>
      </c>
      <c r="I320" s="62" t="s">
        <v>168</v>
      </c>
      <c r="J320" s="35">
        <v>4</v>
      </c>
      <c r="K320" s="52" t="s">
        <v>196</v>
      </c>
      <c r="L320" t="s">
        <v>168</v>
      </c>
      <c r="M320" t="s">
        <v>168</v>
      </c>
      <c r="N320" t="s">
        <v>168</v>
      </c>
      <c r="O320" t="s">
        <v>168</v>
      </c>
      <c r="P320" t="s">
        <v>168</v>
      </c>
      <c r="Q320" t="s">
        <v>168</v>
      </c>
      <c r="R320" t="s">
        <v>168</v>
      </c>
      <c r="S320" t="s">
        <v>168</v>
      </c>
      <c r="T320" t="s">
        <v>168</v>
      </c>
      <c r="U320" t="s">
        <v>168</v>
      </c>
      <c r="V320" t="s">
        <v>168</v>
      </c>
      <c r="W320" t="s">
        <v>168</v>
      </c>
      <c r="X320" t="s">
        <v>168</v>
      </c>
      <c r="Y320" t="s">
        <v>168</v>
      </c>
      <c r="Z320">
        <v>2</v>
      </c>
      <c r="AA320">
        <v>1</v>
      </c>
    </row>
    <row r="321" spans="1:27" x14ac:dyDescent="0.25">
      <c r="A321" s="28" t="s">
        <v>46</v>
      </c>
      <c r="B321" s="1" t="s">
        <v>51</v>
      </c>
      <c r="C321" s="6">
        <v>42</v>
      </c>
      <c r="D321" s="33">
        <v>55</v>
      </c>
      <c r="E321" s="34">
        <v>55</v>
      </c>
      <c r="F321" s="36">
        <v>69</v>
      </c>
      <c r="G321" s="36">
        <v>69</v>
      </c>
      <c r="H321" s="36">
        <v>70</v>
      </c>
      <c r="I321" s="36">
        <v>72</v>
      </c>
      <c r="J321" s="35">
        <v>26</v>
      </c>
      <c r="K321" s="52" t="s">
        <v>196</v>
      </c>
      <c r="L321" t="s">
        <v>168</v>
      </c>
      <c r="M321" t="s">
        <v>168</v>
      </c>
      <c r="N321" t="s">
        <v>168</v>
      </c>
      <c r="O321" t="s">
        <v>168</v>
      </c>
      <c r="P321" t="s">
        <v>168</v>
      </c>
      <c r="Q321" t="s">
        <v>168</v>
      </c>
      <c r="R321" t="s">
        <v>168</v>
      </c>
      <c r="S321" t="s">
        <v>168</v>
      </c>
      <c r="T321" t="s">
        <v>168</v>
      </c>
      <c r="U321" t="s">
        <v>168</v>
      </c>
      <c r="V321" t="s">
        <v>168</v>
      </c>
      <c r="W321" t="s">
        <v>168</v>
      </c>
      <c r="X321" t="s">
        <v>168</v>
      </c>
      <c r="Y321" t="s">
        <v>168</v>
      </c>
      <c r="Z321">
        <v>2</v>
      </c>
      <c r="AA321">
        <v>1</v>
      </c>
    </row>
    <row r="322" spans="1:27" x14ac:dyDescent="0.25">
      <c r="A322" s="28" t="s">
        <v>46</v>
      </c>
      <c r="B322" s="1" t="s">
        <v>21</v>
      </c>
      <c r="C322" s="6">
        <v>42</v>
      </c>
      <c r="D322" s="33">
        <v>61</v>
      </c>
      <c r="E322" s="34">
        <v>62</v>
      </c>
      <c r="F322" s="36">
        <v>76</v>
      </c>
      <c r="G322" s="36">
        <v>76</v>
      </c>
      <c r="H322" s="36">
        <v>77</v>
      </c>
      <c r="I322" s="36">
        <v>77</v>
      </c>
      <c r="J322" s="35">
        <v>16</v>
      </c>
      <c r="K322" s="52" t="s">
        <v>196</v>
      </c>
      <c r="L322" t="s">
        <v>168</v>
      </c>
      <c r="M322" t="s">
        <v>168</v>
      </c>
      <c r="N322" t="s">
        <v>168</v>
      </c>
      <c r="O322" t="s">
        <v>168</v>
      </c>
      <c r="P322" t="s">
        <v>168</v>
      </c>
      <c r="Q322" t="s">
        <v>168</v>
      </c>
      <c r="R322" t="s">
        <v>168</v>
      </c>
      <c r="S322" t="s">
        <v>168</v>
      </c>
      <c r="T322" t="s">
        <v>168</v>
      </c>
      <c r="U322" t="s">
        <v>168</v>
      </c>
      <c r="V322" t="s">
        <v>168</v>
      </c>
      <c r="W322" t="s">
        <v>168</v>
      </c>
      <c r="X322" t="s">
        <v>168</v>
      </c>
      <c r="Y322" t="s">
        <v>168</v>
      </c>
      <c r="Z322">
        <v>2</v>
      </c>
      <c r="AA322">
        <v>1</v>
      </c>
    </row>
    <row r="323" spans="1:27" x14ac:dyDescent="0.25">
      <c r="A323" s="28" t="s">
        <v>46</v>
      </c>
      <c r="B323" s="1" t="s">
        <v>22</v>
      </c>
      <c r="C323" s="6">
        <v>49</v>
      </c>
      <c r="D323" s="33">
        <v>65</v>
      </c>
      <c r="E323" s="34">
        <v>69</v>
      </c>
      <c r="F323" s="36">
        <v>79</v>
      </c>
      <c r="G323" s="36">
        <v>85</v>
      </c>
      <c r="H323" s="36">
        <v>85</v>
      </c>
      <c r="I323" s="36">
        <v>92</v>
      </c>
      <c r="J323" s="35">
        <v>8</v>
      </c>
      <c r="K323" s="52" t="s">
        <v>196</v>
      </c>
      <c r="L323" t="s">
        <v>168</v>
      </c>
      <c r="M323" t="s">
        <v>168</v>
      </c>
      <c r="N323" t="s">
        <v>168</v>
      </c>
      <c r="O323" t="s">
        <v>168</v>
      </c>
      <c r="P323" t="s">
        <v>168</v>
      </c>
      <c r="Q323" t="s">
        <v>168</v>
      </c>
      <c r="R323" t="s">
        <v>168</v>
      </c>
      <c r="S323" t="s">
        <v>168</v>
      </c>
      <c r="T323" t="s">
        <v>168</v>
      </c>
      <c r="U323" t="s">
        <v>168</v>
      </c>
      <c r="V323" t="s">
        <v>168</v>
      </c>
      <c r="W323" t="s">
        <v>168</v>
      </c>
      <c r="X323" t="s">
        <v>168</v>
      </c>
      <c r="Y323" t="s">
        <v>168</v>
      </c>
      <c r="Z323">
        <v>2</v>
      </c>
      <c r="AA323">
        <v>1</v>
      </c>
    </row>
    <row r="324" spans="1:27" x14ac:dyDescent="0.25">
      <c r="A324" s="28" t="s">
        <v>46</v>
      </c>
      <c r="B324" s="1" t="s">
        <v>23</v>
      </c>
      <c r="C324" s="6">
        <v>50</v>
      </c>
      <c r="D324" s="33">
        <v>73</v>
      </c>
      <c r="E324" s="34">
        <v>74</v>
      </c>
      <c r="F324" s="36">
        <v>95</v>
      </c>
      <c r="G324" s="62" t="s">
        <v>168</v>
      </c>
      <c r="H324" s="62" t="s">
        <v>168</v>
      </c>
      <c r="I324" s="62" t="s">
        <v>168</v>
      </c>
      <c r="J324" s="35">
        <v>5</v>
      </c>
      <c r="K324" s="52" t="s">
        <v>196</v>
      </c>
      <c r="L324" t="s">
        <v>168</v>
      </c>
      <c r="M324" t="s">
        <v>168</v>
      </c>
      <c r="N324" t="s">
        <v>168</v>
      </c>
      <c r="O324" t="s">
        <v>168</v>
      </c>
      <c r="P324" t="s">
        <v>168</v>
      </c>
      <c r="Q324" t="s">
        <v>168</v>
      </c>
      <c r="R324" t="s">
        <v>168</v>
      </c>
      <c r="S324" t="s">
        <v>168</v>
      </c>
      <c r="T324" t="s">
        <v>168</v>
      </c>
      <c r="U324" t="s">
        <v>168</v>
      </c>
      <c r="V324" t="s">
        <v>168</v>
      </c>
      <c r="W324" t="s">
        <v>168</v>
      </c>
      <c r="X324" t="s">
        <v>168</v>
      </c>
      <c r="Y324" t="s">
        <v>168</v>
      </c>
      <c r="Z324">
        <v>2</v>
      </c>
      <c r="AA324">
        <v>1</v>
      </c>
    </row>
    <row r="325" spans="1:27" x14ac:dyDescent="0.25">
      <c r="A325" s="28" t="s">
        <v>46</v>
      </c>
      <c r="B325" s="1" t="s">
        <v>54</v>
      </c>
      <c r="C325" s="6">
        <v>41</v>
      </c>
      <c r="D325" s="33">
        <v>71</v>
      </c>
      <c r="E325" s="34">
        <v>78</v>
      </c>
      <c r="F325" s="62" t="s">
        <v>168</v>
      </c>
      <c r="G325" s="62" t="s">
        <v>168</v>
      </c>
      <c r="H325" s="62" t="s">
        <v>168</v>
      </c>
      <c r="I325" s="62" t="s">
        <v>168</v>
      </c>
      <c r="J325" s="35">
        <v>4</v>
      </c>
      <c r="K325" s="52" t="s">
        <v>196</v>
      </c>
      <c r="L325" t="s">
        <v>168</v>
      </c>
      <c r="M325" t="s">
        <v>168</v>
      </c>
      <c r="N325" t="s">
        <v>168</v>
      </c>
      <c r="O325" t="s">
        <v>168</v>
      </c>
      <c r="P325" t="s">
        <v>168</v>
      </c>
      <c r="Q325" t="s">
        <v>168</v>
      </c>
      <c r="R325" t="s">
        <v>168</v>
      </c>
      <c r="S325" t="s">
        <v>168</v>
      </c>
      <c r="T325" t="s">
        <v>168</v>
      </c>
      <c r="U325" t="s">
        <v>168</v>
      </c>
      <c r="V325" t="s">
        <v>168</v>
      </c>
      <c r="W325" t="s">
        <v>168</v>
      </c>
      <c r="X325" t="s">
        <v>168</v>
      </c>
      <c r="Y325" t="s">
        <v>168</v>
      </c>
      <c r="Z325">
        <v>2</v>
      </c>
      <c r="AA325">
        <v>1</v>
      </c>
    </row>
    <row r="326" spans="1:27" x14ac:dyDescent="0.25">
      <c r="A326" s="28" t="s">
        <v>46</v>
      </c>
      <c r="B326" s="1" t="s">
        <v>83</v>
      </c>
      <c r="C326" s="6">
        <v>53</v>
      </c>
      <c r="D326" s="33">
        <v>65</v>
      </c>
      <c r="E326" s="34">
        <v>69</v>
      </c>
      <c r="F326" s="36">
        <v>89</v>
      </c>
      <c r="G326" s="36">
        <v>90</v>
      </c>
      <c r="H326" s="36">
        <v>91</v>
      </c>
      <c r="I326" s="36">
        <v>95</v>
      </c>
      <c r="J326" s="35">
        <v>8</v>
      </c>
      <c r="K326" s="52" t="s">
        <v>196</v>
      </c>
      <c r="L326" t="s">
        <v>168</v>
      </c>
      <c r="M326" t="s">
        <v>168</v>
      </c>
      <c r="N326" t="s">
        <v>168</v>
      </c>
      <c r="O326" t="s">
        <v>168</v>
      </c>
      <c r="P326" t="s">
        <v>168</v>
      </c>
      <c r="Q326" t="s">
        <v>168</v>
      </c>
      <c r="R326" t="s">
        <v>168</v>
      </c>
      <c r="S326" t="s">
        <v>168</v>
      </c>
      <c r="T326" t="s">
        <v>168</v>
      </c>
      <c r="U326" t="s">
        <v>168</v>
      </c>
      <c r="V326" t="s">
        <v>168</v>
      </c>
      <c r="W326" t="s">
        <v>168</v>
      </c>
      <c r="X326" t="s">
        <v>168</v>
      </c>
      <c r="Y326" t="s">
        <v>168</v>
      </c>
      <c r="Z326">
        <v>2</v>
      </c>
      <c r="AA326">
        <v>1</v>
      </c>
    </row>
    <row r="327" spans="1:27" x14ac:dyDescent="0.25">
      <c r="A327" s="28" t="s">
        <v>46</v>
      </c>
      <c r="B327" s="1" t="s">
        <v>24</v>
      </c>
      <c r="C327" s="6">
        <v>52</v>
      </c>
      <c r="D327" s="33">
        <v>75</v>
      </c>
      <c r="E327" s="34">
        <v>77</v>
      </c>
      <c r="F327" s="36">
        <v>96</v>
      </c>
      <c r="G327" s="62" t="s">
        <v>168</v>
      </c>
      <c r="H327" s="62" t="s">
        <v>168</v>
      </c>
      <c r="I327" s="62" t="s">
        <v>168</v>
      </c>
      <c r="J327" s="35">
        <v>5</v>
      </c>
      <c r="K327" s="52" t="s">
        <v>196</v>
      </c>
      <c r="L327" t="s">
        <v>168</v>
      </c>
      <c r="M327" t="s">
        <v>168</v>
      </c>
      <c r="N327" t="s">
        <v>168</v>
      </c>
      <c r="O327" t="s">
        <v>168</v>
      </c>
      <c r="P327" t="s">
        <v>168</v>
      </c>
      <c r="Q327" t="s">
        <v>168</v>
      </c>
      <c r="R327" t="s">
        <v>168</v>
      </c>
      <c r="S327" t="s">
        <v>168</v>
      </c>
      <c r="T327" t="s">
        <v>168</v>
      </c>
      <c r="U327" t="s">
        <v>168</v>
      </c>
      <c r="V327" t="s">
        <v>168</v>
      </c>
      <c r="W327" t="s">
        <v>168</v>
      </c>
      <c r="X327" t="s">
        <v>168</v>
      </c>
      <c r="Y327" t="s">
        <v>168</v>
      </c>
      <c r="Z327">
        <v>2</v>
      </c>
      <c r="AA327">
        <v>1</v>
      </c>
    </row>
    <row r="328" spans="1:27" x14ac:dyDescent="0.25">
      <c r="A328" s="28" t="s">
        <v>46</v>
      </c>
      <c r="B328" s="1" t="s">
        <v>90</v>
      </c>
      <c r="C328" s="6">
        <v>48</v>
      </c>
      <c r="D328" s="33">
        <v>69</v>
      </c>
      <c r="E328" s="34">
        <v>71</v>
      </c>
      <c r="F328" s="36">
        <v>86</v>
      </c>
      <c r="G328" s="36">
        <v>86</v>
      </c>
      <c r="H328" s="36">
        <v>89</v>
      </c>
      <c r="I328" s="36">
        <v>96</v>
      </c>
      <c r="J328" s="35">
        <v>9</v>
      </c>
      <c r="K328" s="52" t="s">
        <v>196</v>
      </c>
      <c r="L328" t="s">
        <v>168</v>
      </c>
      <c r="M328" t="s">
        <v>168</v>
      </c>
      <c r="N328" t="s">
        <v>168</v>
      </c>
      <c r="O328" t="s">
        <v>168</v>
      </c>
      <c r="P328" t="s">
        <v>168</v>
      </c>
      <c r="Q328" t="s">
        <v>168</v>
      </c>
      <c r="R328" t="s">
        <v>168</v>
      </c>
      <c r="S328" t="s">
        <v>168</v>
      </c>
      <c r="T328" t="s">
        <v>168</v>
      </c>
      <c r="U328" t="s">
        <v>168</v>
      </c>
      <c r="V328" t="s">
        <v>168</v>
      </c>
      <c r="W328" t="s">
        <v>168</v>
      </c>
      <c r="X328" t="s">
        <v>168</v>
      </c>
      <c r="Y328" t="s">
        <v>168</v>
      </c>
      <c r="Z328">
        <v>2</v>
      </c>
      <c r="AA328">
        <v>1</v>
      </c>
    </row>
    <row r="329" spans="1:27" x14ac:dyDescent="0.25">
      <c r="A329" s="28" t="s">
        <v>46</v>
      </c>
      <c r="B329" s="1" t="s">
        <v>55</v>
      </c>
      <c r="C329" s="6">
        <v>45</v>
      </c>
      <c r="D329" s="33">
        <v>60</v>
      </c>
      <c r="E329" s="34">
        <v>60</v>
      </c>
      <c r="F329" s="36">
        <v>78</v>
      </c>
      <c r="G329" s="36">
        <v>79</v>
      </c>
      <c r="H329" s="36">
        <v>83</v>
      </c>
      <c r="I329" s="36">
        <v>89</v>
      </c>
      <c r="J329" s="35">
        <v>12</v>
      </c>
      <c r="K329" s="52" t="s">
        <v>196</v>
      </c>
      <c r="L329" t="s">
        <v>168</v>
      </c>
      <c r="M329" t="s">
        <v>168</v>
      </c>
      <c r="N329" t="s">
        <v>168</v>
      </c>
      <c r="O329" t="s">
        <v>168</v>
      </c>
      <c r="P329" t="s">
        <v>168</v>
      </c>
      <c r="Q329" t="s">
        <v>168</v>
      </c>
      <c r="R329" t="s">
        <v>168</v>
      </c>
      <c r="S329" t="s">
        <v>168</v>
      </c>
      <c r="T329" t="s">
        <v>168</v>
      </c>
      <c r="U329" t="s">
        <v>168</v>
      </c>
      <c r="V329" t="s">
        <v>168</v>
      </c>
      <c r="W329" t="s">
        <v>168</v>
      </c>
      <c r="X329" t="s">
        <v>168</v>
      </c>
      <c r="Y329" t="s">
        <v>168</v>
      </c>
      <c r="Z329">
        <v>2</v>
      </c>
      <c r="AA329">
        <v>1</v>
      </c>
    </row>
    <row r="330" spans="1:27" x14ac:dyDescent="0.25">
      <c r="A330" s="28" t="s">
        <v>46</v>
      </c>
      <c r="B330" s="1" t="s">
        <v>25</v>
      </c>
      <c r="C330" s="6">
        <v>57</v>
      </c>
      <c r="D330" s="33">
        <v>85</v>
      </c>
      <c r="E330" s="34">
        <v>86</v>
      </c>
      <c r="F330" s="62" t="s">
        <v>168</v>
      </c>
      <c r="G330" s="62" t="s">
        <v>168</v>
      </c>
      <c r="H330" s="62" t="s">
        <v>168</v>
      </c>
      <c r="I330" s="62" t="s">
        <v>168</v>
      </c>
      <c r="J330" s="35">
        <v>4</v>
      </c>
      <c r="K330" s="52" t="s">
        <v>196</v>
      </c>
      <c r="L330" t="s">
        <v>168</v>
      </c>
      <c r="M330" t="s">
        <v>168</v>
      </c>
      <c r="N330" t="s">
        <v>168</v>
      </c>
      <c r="O330" t="s">
        <v>168</v>
      </c>
      <c r="P330" t="s">
        <v>168</v>
      </c>
      <c r="Q330" t="s">
        <v>168</v>
      </c>
      <c r="R330" t="s">
        <v>168</v>
      </c>
      <c r="S330" t="s">
        <v>168</v>
      </c>
      <c r="T330" t="s">
        <v>168</v>
      </c>
      <c r="U330" t="s">
        <v>168</v>
      </c>
      <c r="V330" t="s">
        <v>168</v>
      </c>
      <c r="W330" t="s">
        <v>168</v>
      </c>
      <c r="X330" t="s">
        <v>168</v>
      </c>
      <c r="Y330" t="s">
        <v>168</v>
      </c>
      <c r="Z330">
        <v>2</v>
      </c>
      <c r="AA330">
        <v>1</v>
      </c>
    </row>
    <row r="331" spans="1:27" x14ac:dyDescent="0.25">
      <c r="A331" s="28" t="s">
        <v>46</v>
      </c>
      <c r="B331" s="1" t="s">
        <v>26</v>
      </c>
      <c r="C331" s="6">
        <v>47</v>
      </c>
      <c r="D331" s="33">
        <v>65</v>
      </c>
      <c r="E331" s="34">
        <v>65</v>
      </c>
      <c r="F331" s="36">
        <v>83</v>
      </c>
      <c r="G331" s="36">
        <v>85</v>
      </c>
      <c r="H331" s="36">
        <v>85</v>
      </c>
      <c r="I331" s="36">
        <v>93</v>
      </c>
      <c r="J331" s="35">
        <v>8</v>
      </c>
      <c r="K331" s="52" t="s">
        <v>196</v>
      </c>
      <c r="L331" t="s">
        <v>168</v>
      </c>
      <c r="M331" t="s">
        <v>168</v>
      </c>
      <c r="N331" t="s">
        <v>168</v>
      </c>
      <c r="O331" t="s">
        <v>168</v>
      </c>
      <c r="P331" t="s">
        <v>168</v>
      </c>
      <c r="Q331" t="s">
        <v>168</v>
      </c>
      <c r="R331" t="s">
        <v>168</v>
      </c>
      <c r="S331" t="s">
        <v>168</v>
      </c>
      <c r="T331" t="s">
        <v>168</v>
      </c>
      <c r="U331" t="s">
        <v>168</v>
      </c>
      <c r="V331" t="s">
        <v>168</v>
      </c>
      <c r="W331" t="s">
        <v>168</v>
      </c>
      <c r="X331" t="s">
        <v>168</v>
      </c>
      <c r="Y331" t="s">
        <v>168</v>
      </c>
      <c r="Z331">
        <v>2</v>
      </c>
      <c r="AA331">
        <v>1</v>
      </c>
    </row>
    <row r="332" spans="1:27" x14ac:dyDescent="0.25">
      <c r="A332" s="28" t="s">
        <v>46</v>
      </c>
      <c r="B332" s="1" t="s">
        <v>75</v>
      </c>
      <c r="C332" s="6">
        <v>41</v>
      </c>
      <c r="D332" s="33">
        <v>58</v>
      </c>
      <c r="E332" s="34">
        <v>59</v>
      </c>
      <c r="F332" s="36">
        <v>73</v>
      </c>
      <c r="G332" s="36">
        <v>75</v>
      </c>
      <c r="H332" s="36">
        <v>76</v>
      </c>
      <c r="I332" s="36">
        <v>81</v>
      </c>
      <c r="J332" s="35">
        <v>11</v>
      </c>
      <c r="K332" s="52" t="s">
        <v>196</v>
      </c>
      <c r="L332" t="s">
        <v>168</v>
      </c>
      <c r="M332" t="s">
        <v>168</v>
      </c>
      <c r="N332" t="s">
        <v>168</v>
      </c>
      <c r="O332" t="s">
        <v>168</v>
      </c>
      <c r="P332" t="s">
        <v>168</v>
      </c>
      <c r="Q332" t="s">
        <v>168</v>
      </c>
      <c r="R332" t="s">
        <v>168</v>
      </c>
      <c r="S332" t="s">
        <v>168</v>
      </c>
      <c r="T332" t="s">
        <v>168</v>
      </c>
      <c r="U332" t="s">
        <v>168</v>
      </c>
      <c r="V332" t="s">
        <v>168</v>
      </c>
      <c r="W332" t="s">
        <v>168</v>
      </c>
      <c r="X332" t="s">
        <v>168</v>
      </c>
      <c r="Y332" t="s">
        <v>168</v>
      </c>
      <c r="Z332">
        <v>2</v>
      </c>
      <c r="AA332">
        <v>1</v>
      </c>
    </row>
    <row r="333" spans="1:27" x14ac:dyDescent="0.25">
      <c r="A333" s="28" t="s">
        <v>46</v>
      </c>
      <c r="B333" s="1" t="s">
        <v>27</v>
      </c>
      <c r="C333" s="6">
        <v>40</v>
      </c>
      <c r="D333" s="33">
        <v>65</v>
      </c>
      <c r="E333" s="34">
        <v>67</v>
      </c>
      <c r="F333" s="36">
        <v>92</v>
      </c>
      <c r="G333" s="36">
        <v>94</v>
      </c>
      <c r="H333" s="36">
        <v>95</v>
      </c>
      <c r="I333" s="62" t="s">
        <v>168</v>
      </c>
      <c r="J333" s="35">
        <v>7</v>
      </c>
      <c r="K333" s="52" t="s">
        <v>196</v>
      </c>
      <c r="L333" t="s">
        <v>168</v>
      </c>
      <c r="M333" t="s">
        <v>168</v>
      </c>
      <c r="N333" t="s">
        <v>168</v>
      </c>
      <c r="O333" t="s">
        <v>168</v>
      </c>
      <c r="P333" t="s">
        <v>168</v>
      </c>
      <c r="Q333" t="s">
        <v>168</v>
      </c>
      <c r="R333" t="s">
        <v>168</v>
      </c>
      <c r="S333" t="s">
        <v>168</v>
      </c>
      <c r="T333" t="s">
        <v>168</v>
      </c>
      <c r="U333" t="s">
        <v>168</v>
      </c>
      <c r="V333" t="s">
        <v>168</v>
      </c>
      <c r="W333" t="s">
        <v>168</v>
      </c>
      <c r="X333" t="s">
        <v>168</v>
      </c>
      <c r="Y333" t="s">
        <v>168</v>
      </c>
      <c r="Z333">
        <v>2</v>
      </c>
      <c r="AA333">
        <v>1</v>
      </c>
    </row>
    <row r="334" spans="1:27" x14ac:dyDescent="0.25">
      <c r="A334" s="28" t="s">
        <v>46</v>
      </c>
      <c r="B334" s="1" t="s">
        <v>28</v>
      </c>
      <c r="C334" s="6">
        <v>46</v>
      </c>
      <c r="D334" s="33">
        <v>71</v>
      </c>
      <c r="E334" s="34">
        <v>71</v>
      </c>
      <c r="F334" s="36">
        <v>85</v>
      </c>
      <c r="G334" s="36">
        <v>86</v>
      </c>
      <c r="H334" s="36">
        <v>88</v>
      </c>
      <c r="I334" s="36">
        <v>93</v>
      </c>
      <c r="J334" s="35">
        <v>8</v>
      </c>
      <c r="K334" s="52" t="s">
        <v>196</v>
      </c>
      <c r="L334" t="s">
        <v>168</v>
      </c>
      <c r="M334" t="s">
        <v>168</v>
      </c>
      <c r="N334" t="s">
        <v>168</v>
      </c>
      <c r="O334" t="s">
        <v>168</v>
      </c>
      <c r="P334" t="s">
        <v>168</v>
      </c>
      <c r="Q334" t="s">
        <v>168</v>
      </c>
      <c r="R334" t="s">
        <v>168</v>
      </c>
      <c r="S334" t="s">
        <v>168</v>
      </c>
      <c r="T334" t="s">
        <v>168</v>
      </c>
      <c r="U334" t="s">
        <v>168</v>
      </c>
      <c r="V334" t="s">
        <v>168</v>
      </c>
      <c r="W334" t="s">
        <v>168</v>
      </c>
      <c r="X334" t="s">
        <v>168</v>
      </c>
      <c r="Y334" t="s">
        <v>168</v>
      </c>
      <c r="Z334">
        <v>2</v>
      </c>
      <c r="AA334">
        <v>1</v>
      </c>
    </row>
    <row r="335" spans="1:27" x14ac:dyDescent="0.25">
      <c r="A335" s="28" t="s">
        <v>46</v>
      </c>
      <c r="B335" s="1" t="s">
        <v>29</v>
      </c>
      <c r="C335" s="6">
        <v>52</v>
      </c>
      <c r="D335" s="33">
        <v>67</v>
      </c>
      <c r="E335" s="34">
        <v>67</v>
      </c>
      <c r="F335" s="36">
        <v>81</v>
      </c>
      <c r="G335" s="36">
        <v>82</v>
      </c>
      <c r="H335" s="36">
        <v>83</v>
      </c>
      <c r="I335" s="36">
        <v>88</v>
      </c>
      <c r="J335" s="35">
        <v>8</v>
      </c>
      <c r="K335" s="52" t="s">
        <v>196</v>
      </c>
      <c r="L335" t="s">
        <v>168</v>
      </c>
      <c r="M335" t="s">
        <v>168</v>
      </c>
      <c r="N335" t="s">
        <v>168</v>
      </c>
      <c r="O335" t="s">
        <v>168</v>
      </c>
      <c r="P335" t="s">
        <v>168</v>
      </c>
      <c r="Q335" t="s">
        <v>168</v>
      </c>
      <c r="R335" t="s">
        <v>168</v>
      </c>
      <c r="S335" t="s">
        <v>168</v>
      </c>
      <c r="T335" t="s">
        <v>168</v>
      </c>
      <c r="U335" t="s">
        <v>168</v>
      </c>
      <c r="V335" t="s">
        <v>168</v>
      </c>
      <c r="W335" t="s">
        <v>168</v>
      </c>
      <c r="X335" t="s">
        <v>168</v>
      </c>
      <c r="Y335" t="s">
        <v>168</v>
      </c>
      <c r="Z335">
        <v>2</v>
      </c>
      <c r="AA335">
        <v>1</v>
      </c>
    </row>
    <row r="336" spans="1:27" x14ac:dyDescent="0.25">
      <c r="A336" s="28" t="s">
        <v>46</v>
      </c>
      <c r="B336" s="1" t="s">
        <v>57</v>
      </c>
      <c r="C336" s="6">
        <v>48</v>
      </c>
      <c r="D336" s="33">
        <v>65</v>
      </c>
      <c r="E336" s="34">
        <v>67</v>
      </c>
      <c r="F336" s="36">
        <v>79</v>
      </c>
      <c r="G336" s="36">
        <v>80</v>
      </c>
      <c r="H336" s="36">
        <v>81</v>
      </c>
      <c r="I336" s="36">
        <v>85</v>
      </c>
      <c r="J336" s="35">
        <v>13</v>
      </c>
      <c r="K336" s="52" t="s">
        <v>196</v>
      </c>
      <c r="L336" t="s">
        <v>168</v>
      </c>
      <c r="M336" t="s">
        <v>168</v>
      </c>
      <c r="N336" t="s">
        <v>168</v>
      </c>
      <c r="O336" t="s">
        <v>168</v>
      </c>
      <c r="P336" t="s">
        <v>168</v>
      </c>
      <c r="Q336" t="s">
        <v>168</v>
      </c>
      <c r="R336" t="s">
        <v>168</v>
      </c>
      <c r="S336" t="s">
        <v>168</v>
      </c>
      <c r="T336" t="s">
        <v>168</v>
      </c>
      <c r="U336" t="s">
        <v>168</v>
      </c>
      <c r="V336" t="s">
        <v>168</v>
      </c>
      <c r="W336" t="s">
        <v>168</v>
      </c>
      <c r="X336" t="s">
        <v>168</v>
      </c>
      <c r="Y336" t="s">
        <v>168</v>
      </c>
      <c r="Z336">
        <v>2</v>
      </c>
      <c r="AA336">
        <v>1</v>
      </c>
    </row>
    <row r="337" spans="1:27" x14ac:dyDescent="0.25">
      <c r="A337" s="28" t="s">
        <v>46</v>
      </c>
      <c r="B337" s="1" t="s">
        <v>30</v>
      </c>
      <c r="C337" s="6">
        <v>43</v>
      </c>
      <c r="D337" s="33">
        <v>58</v>
      </c>
      <c r="E337" s="34">
        <v>60</v>
      </c>
      <c r="F337" s="36">
        <v>74</v>
      </c>
      <c r="G337" s="36">
        <v>76</v>
      </c>
      <c r="H337" s="36">
        <v>79</v>
      </c>
      <c r="I337" s="36">
        <v>92</v>
      </c>
      <c r="J337" s="35">
        <v>10</v>
      </c>
      <c r="K337" s="52" t="s">
        <v>196</v>
      </c>
      <c r="L337" t="s">
        <v>168</v>
      </c>
      <c r="M337" t="s">
        <v>168</v>
      </c>
      <c r="N337" t="s">
        <v>168</v>
      </c>
      <c r="O337" t="s">
        <v>168</v>
      </c>
      <c r="P337" t="s">
        <v>168</v>
      </c>
      <c r="Q337" t="s">
        <v>168</v>
      </c>
      <c r="R337" t="s">
        <v>168</v>
      </c>
      <c r="S337" t="s">
        <v>168</v>
      </c>
      <c r="T337" t="s">
        <v>168</v>
      </c>
      <c r="U337" t="s">
        <v>168</v>
      </c>
      <c r="V337" t="s">
        <v>168</v>
      </c>
      <c r="W337" t="s">
        <v>168</v>
      </c>
      <c r="X337" t="s">
        <v>168</v>
      </c>
      <c r="Y337" t="s">
        <v>168</v>
      </c>
      <c r="Z337">
        <v>2</v>
      </c>
      <c r="AA337">
        <v>1</v>
      </c>
    </row>
    <row r="338" spans="1:27" x14ac:dyDescent="0.25">
      <c r="A338" s="28" t="s">
        <v>46</v>
      </c>
      <c r="B338" s="1" t="s">
        <v>31</v>
      </c>
      <c r="C338" s="6">
        <v>52</v>
      </c>
      <c r="D338" s="33">
        <v>80</v>
      </c>
      <c r="E338" s="34">
        <v>81</v>
      </c>
      <c r="F338" s="62" t="s">
        <v>168</v>
      </c>
      <c r="G338" s="62" t="s">
        <v>168</v>
      </c>
      <c r="H338" s="62" t="s">
        <v>168</v>
      </c>
      <c r="I338" s="62" t="s">
        <v>168</v>
      </c>
      <c r="J338" s="35">
        <v>4</v>
      </c>
      <c r="K338" s="52" t="s">
        <v>196</v>
      </c>
      <c r="L338" t="s">
        <v>168</v>
      </c>
      <c r="M338" t="s">
        <v>168</v>
      </c>
      <c r="N338" t="s">
        <v>168</v>
      </c>
      <c r="O338" t="s">
        <v>168</v>
      </c>
      <c r="P338" t="s">
        <v>168</v>
      </c>
      <c r="Q338" t="s">
        <v>168</v>
      </c>
      <c r="R338" t="s">
        <v>168</v>
      </c>
      <c r="S338" t="s">
        <v>168</v>
      </c>
      <c r="T338" t="s">
        <v>168</v>
      </c>
      <c r="U338" t="s">
        <v>168</v>
      </c>
      <c r="V338" t="s">
        <v>168</v>
      </c>
      <c r="W338" t="s">
        <v>168</v>
      </c>
      <c r="X338" t="s">
        <v>168</v>
      </c>
      <c r="Y338" t="s">
        <v>168</v>
      </c>
      <c r="Z338">
        <v>2</v>
      </c>
      <c r="AA338">
        <v>1</v>
      </c>
    </row>
    <row r="339" spans="1:27" x14ac:dyDescent="0.25">
      <c r="A339" s="28" t="s">
        <v>46</v>
      </c>
      <c r="B339" s="1" t="s">
        <v>32</v>
      </c>
      <c r="C339" s="6">
        <v>61</v>
      </c>
      <c r="D339" s="33">
        <v>88</v>
      </c>
      <c r="E339" s="34">
        <v>88</v>
      </c>
      <c r="F339" s="62" t="s">
        <v>168</v>
      </c>
      <c r="G339" s="62" t="s">
        <v>168</v>
      </c>
      <c r="H339" s="62" t="s">
        <v>168</v>
      </c>
      <c r="I339" s="62" t="s">
        <v>168</v>
      </c>
      <c r="J339" s="35">
        <v>4</v>
      </c>
      <c r="K339" s="52" t="s">
        <v>196</v>
      </c>
      <c r="L339" t="s">
        <v>168</v>
      </c>
      <c r="M339" t="s">
        <v>168</v>
      </c>
      <c r="N339" t="s">
        <v>168</v>
      </c>
      <c r="O339" t="s">
        <v>168</v>
      </c>
      <c r="P339" t="s">
        <v>168</v>
      </c>
      <c r="Q339" t="s">
        <v>168</v>
      </c>
      <c r="R339" t="s">
        <v>168</v>
      </c>
      <c r="S339" t="s">
        <v>168</v>
      </c>
      <c r="T339" t="s">
        <v>168</v>
      </c>
      <c r="U339" t="s">
        <v>168</v>
      </c>
      <c r="V339" t="s">
        <v>168</v>
      </c>
      <c r="W339" t="s">
        <v>168</v>
      </c>
      <c r="X339" t="s">
        <v>168</v>
      </c>
      <c r="Y339" t="s">
        <v>168</v>
      </c>
      <c r="Z339">
        <v>2</v>
      </c>
      <c r="AA339">
        <v>1</v>
      </c>
    </row>
    <row r="340" spans="1:27" x14ac:dyDescent="0.25">
      <c r="A340" s="28" t="s">
        <v>46</v>
      </c>
      <c r="B340" s="1" t="s">
        <v>33</v>
      </c>
      <c r="C340" s="6">
        <v>55</v>
      </c>
      <c r="D340" s="33">
        <v>72</v>
      </c>
      <c r="E340" s="34">
        <v>72</v>
      </c>
      <c r="F340" s="36">
        <v>80</v>
      </c>
      <c r="G340" s="36">
        <v>85</v>
      </c>
      <c r="H340" s="36">
        <v>90</v>
      </c>
      <c r="I340" s="36">
        <v>95</v>
      </c>
      <c r="J340" s="35">
        <v>8</v>
      </c>
      <c r="K340" s="52" t="s">
        <v>196</v>
      </c>
      <c r="L340" t="s">
        <v>168</v>
      </c>
      <c r="M340" t="s">
        <v>168</v>
      </c>
      <c r="N340" t="s">
        <v>168</v>
      </c>
      <c r="O340" t="s">
        <v>168</v>
      </c>
      <c r="P340" t="s">
        <v>168</v>
      </c>
      <c r="Q340" t="s">
        <v>168</v>
      </c>
      <c r="R340" t="s">
        <v>168</v>
      </c>
      <c r="S340" t="s">
        <v>168</v>
      </c>
      <c r="T340" t="s">
        <v>168</v>
      </c>
      <c r="U340" t="s">
        <v>168</v>
      </c>
      <c r="V340" t="s">
        <v>168</v>
      </c>
      <c r="W340" t="s">
        <v>168</v>
      </c>
      <c r="X340" t="s">
        <v>168</v>
      </c>
      <c r="Y340" t="s">
        <v>168</v>
      </c>
      <c r="Z340">
        <v>2</v>
      </c>
      <c r="AA340">
        <v>1</v>
      </c>
    </row>
    <row r="341" spans="1:27" x14ac:dyDescent="0.25">
      <c r="A341" s="28" t="s">
        <v>46</v>
      </c>
      <c r="B341" s="1" t="s">
        <v>58</v>
      </c>
      <c r="C341" s="6">
        <v>52</v>
      </c>
      <c r="D341" s="33">
        <v>73</v>
      </c>
      <c r="E341" s="34">
        <v>74</v>
      </c>
      <c r="F341" s="36">
        <v>88</v>
      </c>
      <c r="G341" s="36">
        <v>89</v>
      </c>
      <c r="H341" s="36">
        <v>93</v>
      </c>
      <c r="I341" s="62" t="s">
        <v>168</v>
      </c>
      <c r="J341" s="35">
        <v>7</v>
      </c>
      <c r="K341" s="52" t="s">
        <v>196</v>
      </c>
      <c r="L341" t="s">
        <v>168</v>
      </c>
      <c r="M341" t="s">
        <v>168</v>
      </c>
      <c r="N341" t="s">
        <v>168</v>
      </c>
      <c r="O341" t="s">
        <v>168</v>
      </c>
      <c r="P341" t="s">
        <v>168</v>
      </c>
      <c r="Q341" t="s">
        <v>168</v>
      </c>
      <c r="R341" t="s">
        <v>168</v>
      </c>
      <c r="S341" t="s">
        <v>168</v>
      </c>
      <c r="T341" t="s">
        <v>168</v>
      </c>
      <c r="U341" t="s">
        <v>168</v>
      </c>
      <c r="V341" t="s">
        <v>168</v>
      </c>
      <c r="W341" t="s">
        <v>168</v>
      </c>
      <c r="X341" t="s">
        <v>168</v>
      </c>
      <c r="Y341" t="s">
        <v>168</v>
      </c>
      <c r="Z341">
        <v>2</v>
      </c>
      <c r="AA341">
        <v>1</v>
      </c>
    </row>
    <row r="342" spans="1:27" x14ac:dyDescent="0.25">
      <c r="A342" s="28" t="s">
        <v>46</v>
      </c>
      <c r="B342" s="1" t="s">
        <v>84</v>
      </c>
      <c r="C342" s="6">
        <v>35</v>
      </c>
      <c r="D342" s="33">
        <v>50</v>
      </c>
      <c r="E342" s="34">
        <v>50</v>
      </c>
      <c r="F342" s="36">
        <v>65</v>
      </c>
      <c r="G342" s="36">
        <v>65</v>
      </c>
      <c r="H342" s="36">
        <v>65</v>
      </c>
      <c r="I342" s="36">
        <v>69</v>
      </c>
      <c r="J342" s="35">
        <v>27</v>
      </c>
      <c r="K342" s="52" t="s">
        <v>196</v>
      </c>
      <c r="L342" t="s">
        <v>168</v>
      </c>
      <c r="M342" t="s">
        <v>168</v>
      </c>
      <c r="N342" t="s">
        <v>168</v>
      </c>
      <c r="O342" t="s">
        <v>168</v>
      </c>
      <c r="P342" t="s">
        <v>168</v>
      </c>
      <c r="Q342" t="s">
        <v>168</v>
      </c>
      <c r="R342" t="s">
        <v>168</v>
      </c>
      <c r="S342" t="s">
        <v>168</v>
      </c>
      <c r="T342" t="s">
        <v>168</v>
      </c>
      <c r="U342" t="s">
        <v>168</v>
      </c>
      <c r="V342" t="s">
        <v>168</v>
      </c>
      <c r="W342" t="s">
        <v>168</v>
      </c>
      <c r="X342" t="s">
        <v>168</v>
      </c>
      <c r="Y342" t="s">
        <v>168</v>
      </c>
      <c r="Z342">
        <v>2</v>
      </c>
      <c r="AA342">
        <v>1</v>
      </c>
    </row>
    <row r="343" spans="1:27" x14ac:dyDescent="0.25">
      <c r="A343" s="28" t="s">
        <v>46</v>
      </c>
      <c r="B343" s="1" t="s">
        <v>34</v>
      </c>
      <c r="C343" s="6">
        <v>48</v>
      </c>
      <c r="D343" s="33">
        <v>65</v>
      </c>
      <c r="E343" s="34">
        <v>67</v>
      </c>
      <c r="F343" s="36">
        <v>85</v>
      </c>
      <c r="G343" s="62" t="s">
        <v>191</v>
      </c>
      <c r="H343" s="62" t="s">
        <v>191</v>
      </c>
      <c r="I343" s="62" t="s">
        <v>168</v>
      </c>
      <c r="J343" s="35">
        <v>7</v>
      </c>
      <c r="K343" s="52" t="s">
        <v>196</v>
      </c>
      <c r="L343" t="s">
        <v>168</v>
      </c>
      <c r="M343" t="s">
        <v>168</v>
      </c>
      <c r="N343" t="s">
        <v>168</v>
      </c>
      <c r="O343" t="s">
        <v>168</v>
      </c>
      <c r="P343" t="s">
        <v>168</v>
      </c>
      <c r="Q343" t="s">
        <v>168</v>
      </c>
      <c r="R343" t="s">
        <v>168</v>
      </c>
      <c r="S343" t="s">
        <v>168</v>
      </c>
      <c r="T343" t="s">
        <v>168</v>
      </c>
      <c r="U343" t="s">
        <v>168</v>
      </c>
      <c r="V343" t="s">
        <v>168</v>
      </c>
      <c r="W343" t="s">
        <v>168</v>
      </c>
      <c r="X343" t="s">
        <v>168</v>
      </c>
      <c r="Y343" t="s">
        <v>168</v>
      </c>
      <c r="Z343">
        <v>2</v>
      </c>
      <c r="AA343">
        <v>1</v>
      </c>
    </row>
    <row r="344" spans="1:27" x14ac:dyDescent="0.25">
      <c r="A344" s="28" t="s">
        <v>46</v>
      </c>
      <c r="B344" s="1" t="s">
        <v>59</v>
      </c>
      <c r="C344" s="6">
        <v>44</v>
      </c>
      <c r="D344" s="33">
        <v>59</v>
      </c>
      <c r="E344" s="34">
        <v>61</v>
      </c>
      <c r="F344" s="36">
        <v>75</v>
      </c>
      <c r="G344" s="36">
        <v>75</v>
      </c>
      <c r="H344" s="36">
        <v>75</v>
      </c>
      <c r="I344" s="36">
        <v>75</v>
      </c>
      <c r="J344" s="35">
        <v>15</v>
      </c>
      <c r="K344" s="52" t="s">
        <v>196</v>
      </c>
      <c r="L344" t="s">
        <v>168</v>
      </c>
      <c r="M344" t="s">
        <v>168</v>
      </c>
      <c r="N344" t="s">
        <v>168</v>
      </c>
      <c r="O344" t="s">
        <v>168</v>
      </c>
      <c r="P344" t="s">
        <v>168</v>
      </c>
      <c r="Q344" t="s">
        <v>168</v>
      </c>
      <c r="R344" t="s">
        <v>168</v>
      </c>
      <c r="S344" t="s">
        <v>168</v>
      </c>
      <c r="T344" t="s">
        <v>168</v>
      </c>
      <c r="U344" t="s">
        <v>168</v>
      </c>
      <c r="V344" t="s">
        <v>168</v>
      </c>
      <c r="W344" t="s">
        <v>168</v>
      </c>
      <c r="X344" t="s">
        <v>168</v>
      </c>
      <c r="Y344" t="s">
        <v>168</v>
      </c>
      <c r="Z344">
        <v>2</v>
      </c>
      <c r="AA344">
        <v>1</v>
      </c>
    </row>
    <row r="345" spans="1:27" x14ac:dyDescent="0.25">
      <c r="A345" s="28" t="s">
        <v>46</v>
      </c>
      <c r="B345" s="1" t="s">
        <v>85</v>
      </c>
      <c r="C345" s="6">
        <v>50</v>
      </c>
      <c r="D345" s="33">
        <v>67</v>
      </c>
      <c r="E345" s="34">
        <v>71</v>
      </c>
      <c r="F345" s="36">
        <v>85</v>
      </c>
      <c r="G345" s="36">
        <v>86</v>
      </c>
      <c r="H345" s="36">
        <v>94</v>
      </c>
      <c r="I345" s="62" t="s">
        <v>186</v>
      </c>
      <c r="J345" s="35">
        <v>8</v>
      </c>
      <c r="K345" s="52" t="s">
        <v>196</v>
      </c>
      <c r="L345" t="s">
        <v>168</v>
      </c>
      <c r="M345" t="s">
        <v>168</v>
      </c>
      <c r="N345" t="s">
        <v>168</v>
      </c>
      <c r="O345" t="s">
        <v>168</v>
      </c>
      <c r="P345" t="s">
        <v>168</v>
      </c>
      <c r="Q345" t="s">
        <v>168</v>
      </c>
      <c r="R345" t="s">
        <v>168</v>
      </c>
      <c r="S345" t="s">
        <v>168</v>
      </c>
      <c r="T345" t="s">
        <v>168</v>
      </c>
      <c r="U345" t="s">
        <v>168</v>
      </c>
      <c r="V345" t="s">
        <v>168</v>
      </c>
      <c r="W345" t="s">
        <v>168</v>
      </c>
      <c r="X345" t="s">
        <v>168</v>
      </c>
      <c r="Y345" t="s">
        <v>168</v>
      </c>
      <c r="Z345">
        <v>2</v>
      </c>
      <c r="AA345">
        <v>1</v>
      </c>
    </row>
    <row r="346" spans="1:27" x14ac:dyDescent="0.25">
      <c r="A346" s="28" t="s">
        <v>46</v>
      </c>
      <c r="B346" s="1" t="s">
        <v>76</v>
      </c>
      <c r="C346" s="6">
        <v>49</v>
      </c>
      <c r="D346" s="33">
        <v>67</v>
      </c>
      <c r="E346" s="34">
        <v>68</v>
      </c>
      <c r="F346" s="36">
        <v>83</v>
      </c>
      <c r="G346" s="36">
        <v>83</v>
      </c>
      <c r="H346" s="36">
        <v>86</v>
      </c>
      <c r="I346" s="36">
        <v>86</v>
      </c>
      <c r="J346" s="35">
        <v>10</v>
      </c>
      <c r="K346" s="52" t="s">
        <v>196</v>
      </c>
      <c r="L346" t="s">
        <v>168</v>
      </c>
      <c r="M346" t="s">
        <v>168</v>
      </c>
      <c r="N346" t="s">
        <v>168</v>
      </c>
      <c r="O346" t="s">
        <v>168</v>
      </c>
      <c r="P346" t="s">
        <v>168</v>
      </c>
      <c r="Q346" t="s">
        <v>168</v>
      </c>
      <c r="R346" t="s">
        <v>168</v>
      </c>
      <c r="S346" t="s">
        <v>168</v>
      </c>
      <c r="T346" t="s">
        <v>168</v>
      </c>
      <c r="U346" t="s">
        <v>168</v>
      </c>
      <c r="V346" t="s">
        <v>168</v>
      </c>
      <c r="W346" t="s">
        <v>168</v>
      </c>
      <c r="X346" t="s">
        <v>168</v>
      </c>
      <c r="Y346" t="s">
        <v>168</v>
      </c>
      <c r="Z346">
        <v>2</v>
      </c>
      <c r="AA346">
        <v>1</v>
      </c>
    </row>
    <row r="347" spans="1:27" x14ac:dyDescent="0.25">
      <c r="A347" s="28" t="s">
        <v>46</v>
      </c>
      <c r="B347" s="1" t="s">
        <v>60</v>
      </c>
      <c r="C347" s="6">
        <v>44</v>
      </c>
      <c r="D347" s="33">
        <v>59</v>
      </c>
      <c r="E347" s="34">
        <v>60</v>
      </c>
      <c r="F347" s="36">
        <v>73</v>
      </c>
      <c r="G347" s="36">
        <v>74</v>
      </c>
      <c r="H347" s="36">
        <v>76</v>
      </c>
      <c r="I347" s="36">
        <v>77</v>
      </c>
      <c r="J347" s="35">
        <v>15</v>
      </c>
      <c r="K347" s="52" t="s">
        <v>196</v>
      </c>
      <c r="L347" t="s">
        <v>168</v>
      </c>
      <c r="M347" t="s">
        <v>168</v>
      </c>
      <c r="N347" t="s">
        <v>168</v>
      </c>
      <c r="O347" t="s">
        <v>168</v>
      </c>
      <c r="P347" t="s">
        <v>168</v>
      </c>
      <c r="Q347" t="s">
        <v>168</v>
      </c>
      <c r="R347" t="s">
        <v>168</v>
      </c>
      <c r="S347" t="s">
        <v>168</v>
      </c>
      <c r="T347" t="s">
        <v>168</v>
      </c>
      <c r="U347" t="s">
        <v>168</v>
      </c>
      <c r="V347" t="s">
        <v>168</v>
      </c>
      <c r="W347" t="s">
        <v>168</v>
      </c>
      <c r="X347" t="s">
        <v>168</v>
      </c>
      <c r="Y347" t="s">
        <v>168</v>
      </c>
      <c r="Z347">
        <v>2</v>
      </c>
      <c r="AA347">
        <v>1</v>
      </c>
    </row>
    <row r="348" spans="1:27" x14ac:dyDescent="0.25">
      <c r="A348" s="28" t="s">
        <v>46</v>
      </c>
      <c r="B348" s="1" t="s">
        <v>96</v>
      </c>
      <c r="C348" s="6">
        <v>54</v>
      </c>
      <c r="D348" s="33">
        <v>78</v>
      </c>
      <c r="E348" s="34">
        <v>78</v>
      </c>
      <c r="F348" s="36">
        <v>96</v>
      </c>
      <c r="G348" s="62" t="s">
        <v>168</v>
      </c>
      <c r="H348" s="62" t="s">
        <v>168</v>
      </c>
      <c r="I348" s="62" t="s">
        <v>168</v>
      </c>
      <c r="J348" s="35">
        <v>5</v>
      </c>
      <c r="K348" s="52" t="s">
        <v>196</v>
      </c>
      <c r="L348" t="s">
        <v>168</v>
      </c>
      <c r="M348" t="s">
        <v>168</v>
      </c>
      <c r="N348" t="s">
        <v>168</v>
      </c>
      <c r="O348" t="s">
        <v>168</v>
      </c>
      <c r="P348" t="s">
        <v>168</v>
      </c>
      <c r="Q348" t="s">
        <v>168</v>
      </c>
      <c r="R348" t="s">
        <v>168</v>
      </c>
      <c r="S348" t="s">
        <v>168</v>
      </c>
      <c r="T348" t="s">
        <v>168</v>
      </c>
      <c r="U348" t="s">
        <v>168</v>
      </c>
      <c r="V348" t="s">
        <v>168</v>
      </c>
      <c r="W348" t="s">
        <v>168</v>
      </c>
      <c r="X348" t="s">
        <v>168</v>
      </c>
      <c r="Y348" t="s">
        <v>168</v>
      </c>
      <c r="Z348">
        <v>2</v>
      </c>
      <c r="AA348">
        <v>1</v>
      </c>
    </row>
    <row r="349" spans="1:27" x14ac:dyDescent="0.25">
      <c r="A349" s="28" t="s">
        <v>46</v>
      </c>
      <c r="B349" s="1" t="s">
        <v>61</v>
      </c>
      <c r="C349" s="6">
        <v>49</v>
      </c>
      <c r="D349" s="33">
        <v>73</v>
      </c>
      <c r="E349" s="34">
        <v>74</v>
      </c>
      <c r="F349" s="36">
        <v>96</v>
      </c>
      <c r="G349" s="62" t="s">
        <v>168</v>
      </c>
      <c r="H349" s="62" t="s">
        <v>168</v>
      </c>
      <c r="I349" s="62" t="s">
        <v>168</v>
      </c>
      <c r="J349" s="35">
        <v>5</v>
      </c>
      <c r="K349" s="52" t="s">
        <v>196</v>
      </c>
      <c r="L349" t="s">
        <v>168</v>
      </c>
      <c r="M349" t="s">
        <v>168</v>
      </c>
      <c r="N349" t="s">
        <v>168</v>
      </c>
      <c r="O349" t="s">
        <v>168</v>
      </c>
      <c r="P349" t="s">
        <v>168</v>
      </c>
      <c r="Q349" t="s">
        <v>168</v>
      </c>
      <c r="R349" t="s">
        <v>168</v>
      </c>
      <c r="S349" t="s">
        <v>168</v>
      </c>
      <c r="T349" t="s">
        <v>168</v>
      </c>
      <c r="U349" t="s">
        <v>168</v>
      </c>
      <c r="V349" t="s">
        <v>168</v>
      </c>
      <c r="W349" t="s">
        <v>168</v>
      </c>
      <c r="X349" t="s">
        <v>168</v>
      </c>
      <c r="Y349" t="s">
        <v>168</v>
      </c>
      <c r="Z349">
        <v>2</v>
      </c>
      <c r="AA349">
        <v>1</v>
      </c>
    </row>
    <row r="350" spans="1:27" x14ac:dyDescent="0.25">
      <c r="A350" s="28" t="s">
        <v>46</v>
      </c>
      <c r="B350" s="1" t="s">
        <v>86</v>
      </c>
      <c r="C350" s="6">
        <v>46</v>
      </c>
      <c r="D350" s="33">
        <v>60</v>
      </c>
      <c r="E350" s="34">
        <v>62</v>
      </c>
      <c r="F350" s="36">
        <v>76</v>
      </c>
      <c r="G350" s="36">
        <v>85</v>
      </c>
      <c r="H350" s="36">
        <v>91</v>
      </c>
      <c r="I350" s="36">
        <v>91</v>
      </c>
      <c r="J350" s="35">
        <v>8</v>
      </c>
      <c r="K350" s="52" t="s">
        <v>196</v>
      </c>
      <c r="L350" t="s">
        <v>168</v>
      </c>
      <c r="M350" t="s">
        <v>168</v>
      </c>
      <c r="N350" t="s">
        <v>168</v>
      </c>
      <c r="O350" t="s">
        <v>168</v>
      </c>
      <c r="P350" t="s">
        <v>168</v>
      </c>
      <c r="Q350" t="s">
        <v>168</v>
      </c>
      <c r="R350" t="s">
        <v>168</v>
      </c>
      <c r="S350" t="s">
        <v>168</v>
      </c>
      <c r="T350" t="s">
        <v>168</v>
      </c>
      <c r="U350" t="s">
        <v>168</v>
      </c>
      <c r="V350" t="s">
        <v>168</v>
      </c>
      <c r="W350" t="s">
        <v>168</v>
      </c>
      <c r="X350" t="s">
        <v>168</v>
      </c>
      <c r="Y350" t="s">
        <v>168</v>
      </c>
      <c r="Z350">
        <v>2</v>
      </c>
      <c r="AA350">
        <v>1</v>
      </c>
    </row>
    <row r="351" spans="1:27" x14ac:dyDescent="0.25">
      <c r="A351" s="28" t="s">
        <v>46</v>
      </c>
      <c r="B351" s="1" t="s">
        <v>77</v>
      </c>
      <c r="C351" s="6">
        <v>38</v>
      </c>
      <c r="D351" s="33">
        <v>55</v>
      </c>
      <c r="E351" s="34">
        <v>56</v>
      </c>
      <c r="F351" s="36">
        <v>70</v>
      </c>
      <c r="G351" s="36">
        <v>70</v>
      </c>
      <c r="H351" s="36">
        <v>75</v>
      </c>
      <c r="I351" s="36">
        <v>76</v>
      </c>
      <c r="J351" s="35">
        <v>16</v>
      </c>
      <c r="K351" s="52" t="s">
        <v>196</v>
      </c>
      <c r="L351" t="s">
        <v>168</v>
      </c>
      <c r="M351" t="s">
        <v>168</v>
      </c>
      <c r="N351" t="s">
        <v>168</v>
      </c>
      <c r="O351" t="s">
        <v>168</v>
      </c>
      <c r="P351" t="s">
        <v>168</v>
      </c>
      <c r="Q351" t="s">
        <v>168</v>
      </c>
      <c r="R351" t="s">
        <v>168</v>
      </c>
      <c r="S351" t="s">
        <v>168</v>
      </c>
      <c r="T351" t="s">
        <v>168</v>
      </c>
      <c r="U351" t="s">
        <v>168</v>
      </c>
      <c r="V351" t="s">
        <v>168</v>
      </c>
      <c r="W351" t="s">
        <v>168</v>
      </c>
      <c r="X351" t="s">
        <v>168</v>
      </c>
      <c r="Y351" t="s">
        <v>168</v>
      </c>
      <c r="Z351">
        <v>2</v>
      </c>
      <c r="AA351">
        <v>1</v>
      </c>
    </row>
    <row r="352" spans="1:27" x14ac:dyDescent="0.25">
      <c r="A352" s="28" t="s">
        <v>46</v>
      </c>
      <c r="B352" s="1" t="s">
        <v>35</v>
      </c>
      <c r="C352" s="6">
        <v>52</v>
      </c>
      <c r="D352" s="33">
        <v>73</v>
      </c>
      <c r="E352" s="34">
        <v>73</v>
      </c>
      <c r="F352" s="36">
        <v>90</v>
      </c>
      <c r="G352" s="36">
        <v>92</v>
      </c>
      <c r="H352" s="62" t="s">
        <v>187</v>
      </c>
      <c r="I352" s="62" t="s">
        <v>168</v>
      </c>
      <c r="J352" s="35">
        <v>7</v>
      </c>
      <c r="K352" s="52" t="s">
        <v>196</v>
      </c>
      <c r="L352" t="s">
        <v>168</v>
      </c>
      <c r="M352" t="s">
        <v>168</v>
      </c>
      <c r="N352" t="s">
        <v>168</v>
      </c>
      <c r="O352" t="s">
        <v>168</v>
      </c>
      <c r="P352" t="s">
        <v>168</v>
      </c>
      <c r="Q352" t="s">
        <v>168</v>
      </c>
      <c r="R352" t="s">
        <v>168</v>
      </c>
      <c r="S352" t="s">
        <v>168</v>
      </c>
      <c r="T352" t="s">
        <v>168</v>
      </c>
      <c r="U352" t="s">
        <v>168</v>
      </c>
      <c r="V352" t="s">
        <v>168</v>
      </c>
      <c r="W352" t="s">
        <v>168</v>
      </c>
      <c r="X352" t="s">
        <v>168</v>
      </c>
      <c r="Y352" t="s">
        <v>168</v>
      </c>
      <c r="Z352">
        <v>2</v>
      </c>
      <c r="AA352">
        <v>1</v>
      </c>
    </row>
    <row r="353" spans="1:27" x14ac:dyDescent="0.25">
      <c r="A353" s="28" t="s">
        <v>46</v>
      </c>
      <c r="B353" s="1" t="s">
        <v>62</v>
      </c>
      <c r="C353" s="6">
        <v>41</v>
      </c>
      <c r="D353" s="33">
        <v>55</v>
      </c>
      <c r="E353" s="34">
        <v>56</v>
      </c>
      <c r="F353" s="36">
        <v>69</v>
      </c>
      <c r="G353" s="36">
        <v>70</v>
      </c>
      <c r="H353" s="36">
        <v>70</v>
      </c>
      <c r="I353" s="36">
        <v>70</v>
      </c>
      <c r="J353" s="35">
        <v>12</v>
      </c>
      <c r="K353" s="52" t="s">
        <v>196</v>
      </c>
      <c r="L353" t="s">
        <v>168</v>
      </c>
      <c r="M353" t="s">
        <v>168</v>
      </c>
      <c r="N353" t="s">
        <v>168</v>
      </c>
      <c r="O353" t="s">
        <v>168</v>
      </c>
      <c r="P353" t="s">
        <v>168</v>
      </c>
      <c r="Q353" t="s">
        <v>168</v>
      </c>
      <c r="R353" t="s">
        <v>168</v>
      </c>
      <c r="S353" t="s">
        <v>168</v>
      </c>
      <c r="T353" t="s">
        <v>168</v>
      </c>
      <c r="U353" t="s">
        <v>168</v>
      </c>
      <c r="V353" t="s">
        <v>168</v>
      </c>
      <c r="W353" t="s">
        <v>168</v>
      </c>
      <c r="X353" t="s">
        <v>168</v>
      </c>
      <c r="Y353" t="s">
        <v>168</v>
      </c>
      <c r="Z353">
        <v>2</v>
      </c>
      <c r="AA353">
        <v>1</v>
      </c>
    </row>
    <row r="354" spans="1:27" x14ac:dyDescent="0.25">
      <c r="A354" s="28" t="s">
        <v>46</v>
      </c>
      <c r="B354" s="1" t="s">
        <v>91</v>
      </c>
      <c r="C354" s="6">
        <v>53</v>
      </c>
      <c r="D354" s="33">
        <v>71</v>
      </c>
      <c r="E354" s="34">
        <v>71</v>
      </c>
      <c r="F354" s="36">
        <v>86</v>
      </c>
      <c r="G354" s="36">
        <v>88</v>
      </c>
      <c r="H354" s="36">
        <v>90</v>
      </c>
      <c r="I354" s="62" t="s">
        <v>186</v>
      </c>
      <c r="J354" s="35">
        <v>7</v>
      </c>
      <c r="K354" s="52" t="s">
        <v>196</v>
      </c>
      <c r="L354" t="s">
        <v>168</v>
      </c>
      <c r="M354" t="s">
        <v>168</v>
      </c>
      <c r="N354" t="s">
        <v>168</v>
      </c>
      <c r="O354" t="s">
        <v>168</v>
      </c>
      <c r="P354" t="s">
        <v>168</v>
      </c>
      <c r="Q354" t="s">
        <v>168</v>
      </c>
      <c r="R354" t="s">
        <v>168</v>
      </c>
      <c r="S354" t="s">
        <v>168</v>
      </c>
      <c r="T354" t="s">
        <v>168</v>
      </c>
      <c r="U354" t="s">
        <v>168</v>
      </c>
      <c r="V354" t="s">
        <v>168</v>
      </c>
      <c r="W354" t="s">
        <v>168</v>
      </c>
      <c r="X354" t="s">
        <v>168</v>
      </c>
      <c r="Y354" t="s">
        <v>168</v>
      </c>
      <c r="Z354">
        <v>2</v>
      </c>
      <c r="AA354">
        <v>1</v>
      </c>
    </row>
    <row r="355" spans="1:27" x14ac:dyDescent="0.25">
      <c r="A355" s="28" t="s">
        <v>46</v>
      </c>
      <c r="B355" s="1" t="s">
        <v>36</v>
      </c>
      <c r="C355" s="6">
        <v>46</v>
      </c>
      <c r="D355" s="33">
        <v>62</v>
      </c>
      <c r="E355" s="34">
        <v>62</v>
      </c>
      <c r="F355" s="36">
        <v>76</v>
      </c>
      <c r="G355" s="36">
        <v>77</v>
      </c>
      <c r="H355" s="36">
        <v>77</v>
      </c>
      <c r="I355" s="36">
        <v>77</v>
      </c>
      <c r="J355" s="35">
        <v>16</v>
      </c>
      <c r="K355" s="52" t="s">
        <v>196</v>
      </c>
      <c r="L355" t="s">
        <v>168</v>
      </c>
      <c r="M355" t="s">
        <v>168</v>
      </c>
      <c r="N355" t="s">
        <v>168</v>
      </c>
      <c r="O355" t="s">
        <v>168</v>
      </c>
      <c r="P355" t="s">
        <v>168</v>
      </c>
      <c r="Q355" t="s">
        <v>168</v>
      </c>
      <c r="R355" t="s">
        <v>168</v>
      </c>
      <c r="S355" t="s">
        <v>168</v>
      </c>
      <c r="T355" t="s">
        <v>168</v>
      </c>
      <c r="U355" t="s">
        <v>168</v>
      </c>
      <c r="V355" t="s">
        <v>168</v>
      </c>
      <c r="W355" t="s">
        <v>168</v>
      </c>
      <c r="X355" t="s">
        <v>168</v>
      </c>
      <c r="Y355" t="s">
        <v>168</v>
      </c>
      <c r="Z355">
        <v>2</v>
      </c>
      <c r="AA355">
        <v>1</v>
      </c>
    </row>
    <row r="356" spans="1:27" x14ac:dyDescent="0.25">
      <c r="A356" s="28" t="s">
        <v>46</v>
      </c>
      <c r="B356" s="1" t="s">
        <v>63</v>
      </c>
      <c r="C356" s="6">
        <v>46</v>
      </c>
      <c r="D356" s="33">
        <v>59</v>
      </c>
      <c r="E356" s="34">
        <v>59</v>
      </c>
      <c r="F356" s="36">
        <v>71</v>
      </c>
      <c r="G356" s="36">
        <v>71</v>
      </c>
      <c r="H356" s="36">
        <v>72</v>
      </c>
      <c r="I356" s="36">
        <v>72</v>
      </c>
      <c r="J356" s="35">
        <v>16</v>
      </c>
      <c r="K356" s="52" t="s">
        <v>196</v>
      </c>
      <c r="L356" t="s">
        <v>168</v>
      </c>
      <c r="M356" t="s">
        <v>168</v>
      </c>
      <c r="N356" t="s">
        <v>168</v>
      </c>
      <c r="O356" t="s">
        <v>168</v>
      </c>
      <c r="P356" t="s">
        <v>168</v>
      </c>
      <c r="Q356" t="s">
        <v>168</v>
      </c>
      <c r="R356" t="s">
        <v>168</v>
      </c>
      <c r="S356" t="s">
        <v>168</v>
      </c>
      <c r="T356" t="s">
        <v>168</v>
      </c>
      <c r="U356" t="s">
        <v>168</v>
      </c>
      <c r="V356" t="s">
        <v>168</v>
      </c>
      <c r="W356" t="s">
        <v>168</v>
      </c>
      <c r="X356" t="s">
        <v>168</v>
      </c>
      <c r="Y356" t="s">
        <v>168</v>
      </c>
      <c r="Z356">
        <v>2</v>
      </c>
      <c r="AA356">
        <v>1</v>
      </c>
    </row>
    <row r="357" spans="1:27" x14ac:dyDescent="0.25">
      <c r="A357" s="28" t="s">
        <v>46</v>
      </c>
      <c r="B357" s="1" t="s">
        <v>78</v>
      </c>
      <c r="C357" s="6">
        <v>49</v>
      </c>
      <c r="D357" s="33">
        <v>65</v>
      </c>
      <c r="E357" s="34">
        <v>65</v>
      </c>
      <c r="F357" s="36">
        <v>77</v>
      </c>
      <c r="G357" s="36">
        <v>77</v>
      </c>
      <c r="H357" s="36">
        <v>79</v>
      </c>
      <c r="I357" s="36">
        <v>85</v>
      </c>
      <c r="J357" s="35">
        <v>14</v>
      </c>
      <c r="K357" s="52" t="s">
        <v>196</v>
      </c>
      <c r="L357" t="s">
        <v>168</v>
      </c>
      <c r="M357" t="s">
        <v>168</v>
      </c>
      <c r="N357" t="s">
        <v>168</v>
      </c>
      <c r="O357" t="s">
        <v>168</v>
      </c>
      <c r="P357" t="s">
        <v>168</v>
      </c>
      <c r="Q357" t="s">
        <v>168</v>
      </c>
      <c r="R357" t="s">
        <v>168</v>
      </c>
      <c r="S357" t="s">
        <v>168</v>
      </c>
      <c r="T357" t="s">
        <v>168</v>
      </c>
      <c r="U357" t="s">
        <v>168</v>
      </c>
      <c r="V357" t="s">
        <v>168</v>
      </c>
      <c r="W357" t="s">
        <v>168</v>
      </c>
      <c r="X357" t="s">
        <v>168</v>
      </c>
      <c r="Y357" t="s">
        <v>168</v>
      </c>
      <c r="Z357">
        <v>2</v>
      </c>
      <c r="AA357">
        <v>1</v>
      </c>
    </row>
    <row r="358" spans="1:27" x14ac:dyDescent="0.25">
      <c r="A358" s="28" t="s">
        <v>46</v>
      </c>
      <c r="B358" s="1" t="s">
        <v>37</v>
      </c>
      <c r="C358" s="6">
        <v>53</v>
      </c>
      <c r="D358" s="33">
        <v>79</v>
      </c>
      <c r="E358" s="34">
        <v>79</v>
      </c>
      <c r="F358" s="36">
        <v>95</v>
      </c>
      <c r="G358" s="62" t="s">
        <v>168</v>
      </c>
      <c r="H358" s="62" t="s">
        <v>168</v>
      </c>
      <c r="I358" s="62" t="s">
        <v>168</v>
      </c>
      <c r="J358" s="35">
        <v>5</v>
      </c>
      <c r="K358" s="52" t="s">
        <v>196</v>
      </c>
      <c r="L358" t="s">
        <v>168</v>
      </c>
      <c r="M358" t="s">
        <v>168</v>
      </c>
      <c r="N358" t="s">
        <v>168</v>
      </c>
      <c r="O358" t="s">
        <v>168</v>
      </c>
      <c r="P358" t="s">
        <v>168</v>
      </c>
      <c r="Q358" t="s">
        <v>168</v>
      </c>
      <c r="R358" t="s">
        <v>168</v>
      </c>
      <c r="S358" t="s">
        <v>168</v>
      </c>
      <c r="T358" t="s">
        <v>168</v>
      </c>
      <c r="U358" t="s">
        <v>168</v>
      </c>
      <c r="V358" t="s">
        <v>168</v>
      </c>
      <c r="W358" t="s">
        <v>168</v>
      </c>
      <c r="X358" t="s">
        <v>168</v>
      </c>
      <c r="Y358" t="s">
        <v>168</v>
      </c>
      <c r="Z358">
        <v>2</v>
      </c>
      <c r="AA358">
        <v>1</v>
      </c>
    </row>
    <row r="359" spans="1:27" x14ac:dyDescent="0.25">
      <c r="A359" s="28" t="s">
        <v>46</v>
      </c>
      <c r="B359" s="1" t="s">
        <v>64</v>
      </c>
      <c r="C359" s="6">
        <v>56</v>
      </c>
      <c r="D359" s="33">
        <v>77</v>
      </c>
      <c r="E359" s="34">
        <v>78</v>
      </c>
      <c r="F359" s="36">
        <v>92</v>
      </c>
      <c r="G359" s="36">
        <v>94</v>
      </c>
      <c r="H359" s="62" t="s">
        <v>168</v>
      </c>
      <c r="I359" s="62" t="s">
        <v>168</v>
      </c>
      <c r="J359" s="35">
        <v>6</v>
      </c>
      <c r="K359" s="52" t="s">
        <v>196</v>
      </c>
      <c r="L359" t="s">
        <v>168</v>
      </c>
      <c r="M359" t="s">
        <v>168</v>
      </c>
      <c r="N359" t="s">
        <v>168</v>
      </c>
      <c r="O359" t="s">
        <v>168</v>
      </c>
      <c r="P359" t="s">
        <v>168</v>
      </c>
      <c r="Q359" t="s">
        <v>168</v>
      </c>
      <c r="R359" t="s">
        <v>168</v>
      </c>
      <c r="S359" t="s">
        <v>168</v>
      </c>
      <c r="T359" t="s">
        <v>168</v>
      </c>
      <c r="U359" t="s">
        <v>168</v>
      </c>
      <c r="V359" t="s">
        <v>168</v>
      </c>
      <c r="W359" t="s">
        <v>168</v>
      </c>
      <c r="X359" t="s">
        <v>168</v>
      </c>
      <c r="Y359" t="s">
        <v>168</v>
      </c>
      <c r="Z359">
        <v>2</v>
      </c>
      <c r="AA359">
        <v>1</v>
      </c>
    </row>
    <row r="360" spans="1:27" x14ac:dyDescent="0.25">
      <c r="A360" s="28" t="s">
        <v>46</v>
      </c>
      <c r="B360" s="1" t="s">
        <v>38</v>
      </c>
      <c r="C360" s="6">
        <v>40</v>
      </c>
      <c r="D360" s="33">
        <v>52</v>
      </c>
      <c r="E360" s="34">
        <v>53</v>
      </c>
      <c r="F360" s="36">
        <v>65</v>
      </c>
      <c r="G360" s="36">
        <v>65</v>
      </c>
      <c r="H360" s="36">
        <v>65</v>
      </c>
      <c r="I360" s="36">
        <v>69</v>
      </c>
      <c r="J360" s="35">
        <v>30</v>
      </c>
      <c r="K360" s="52" t="s">
        <v>196</v>
      </c>
      <c r="L360" t="s">
        <v>168</v>
      </c>
      <c r="M360" t="s">
        <v>168</v>
      </c>
      <c r="N360" t="s">
        <v>168</v>
      </c>
      <c r="O360" t="s">
        <v>168</v>
      </c>
      <c r="P360" t="s">
        <v>168</v>
      </c>
      <c r="Q360" t="s">
        <v>168</v>
      </c>
      <c r="R360" t="s">
        <v>168</v>
      </c>
      <c r="S360" t="s">
        <v>168</v>
      </c>
      <c r="T360" t="s">
        <v>168</v>
      </c>
      <c r="U360" t="s">
        <v>168</v>
      </c>
      <c r="V360" t="s">
        <v>168</v>
      </c>
      <c r="W360" t="s">
        <v>168</v>
      </c>
      <c r="X360" t="s">
        <v>168</v>
      </c>
      <c r="Y360" t="s">
        <v>168</v>
      </c>
      <c r="Z360">
        <v>2</v>
      </c>
      <c r="AA360">
        <v>1</v>
      </c>
    </row>
    <row r="361" spans="1:27" x14ac:dyDescent="0.25">
      <c r="A361" s="28" t="s">
        <v>46</v>
      </c>
      <c r="B361" s="1" t="s">
        <v>39</v>
      </c>
      <c r="C361" s="6">
        <v>55</v>
      </c>
      <c r="D361" s="33">
        <v>70</v>
      </c>
      <c r="E361" s="34">
        <v>78</v>
      </c>
      <c r="F361" s="62" t="s">
        <v>168</v>
      </c>
      <c r="G361" s="62" t="s">
        <v>168</v>
      </c>
      <c r="H361" s="62" t="s">
        <v>168</v>
      </c>
      <c r="I361" s="62" t="s">
        <v>168</v>
      </c>
      <c r="J361" s="35">
        <v>4</v>
      </c>
      <c r="K361" s="52" t="s">
        <v>196</v>
      </c>
      <c r="L361" t="s">
        <v>168</v>
      </c>
      <c r="M361" t="s">
        <v>168</v>
      </c>
      <c r="N361" t="s">
        <v>168</v>
      </c>
      <c r="O361" t="s">
        <v>168</v>
      </c>
      <c r="P361" t="s">
        <v>168</v>
      </c>
      <c r="Q361" t="s">
        <v>168</v>
      </c>
      <c r="R361" t="s">
        <v>168</v>
      </c>
      <c r="S361" t="s">
        <v>168</v>
      </c>
      <c r="T361" t="s">
        <v>168</v>
      </c>
      <c r="U361" t="s">
        <v>168</v>
      </c>
      <c r="V361" t="s">
        <v>168</v>
      </c>
      <c r="W361" t="s">
        <v>168</v>
      </c>
      <c r="X361" t="s">
        <v>168</v>
      </c>
      <c r="Y361" t="s">
        <v>168</v>
      </c>
      <c r="Z361">
        <v>2</v>
      </c>
      <c r="AA361">
        <v>1</v>
      </c>
    </row>
    <row r="362" spans="1:27" x14ac:dyDescent="0.25">
      <c r="A362" s="28" t="s">
        <v>46</v>
      </c>
      <c r="B362" s="1" t="s">
        <v>87</v>
      </c>
      <c r="C362" s="6">
        <v>51</v>
      </c>
      <c r="D362" s="33">
        <v>65</v>
      </c>
      <c r="E362" s="34">
        <v>69</v>
      </c>
      <c r="F362" s="36">
        <v>81</v>
      </c>
      <c r="G362" s="36">
        <v>88</v>
      </c>
      <c r="H362" s="36">
        <v>88</v>
      </c>
      <c r="I362" s="36">
        <v>90</v>
      </c>
      <c r="J362" s="35">
        <v>8</v>
      </c>
      <c r="K362" s="52" t="s">
        <v>196</v>
      </c>
      <c r="L362" t="s">
        <v>168</v>
      </c>
      <c r="M362" t="s">
        <v>168</v>
      </c>
      <c r="N362" t="s">
        <v>168</v>
      </c>
      <c r="O362" t="s">
        <v>168</v>
      </c>
      <c r="P362" t="s">
        <v>168</v>
      </c>
      <c r="Q362" t="s">
        <v>168</v>
      </c>
      <c r="R362" t="s">
        <v>168</v>
      </c>
      <c r="S362" t="s">
        <v>168</v>
      </c>
      <c r="T362" t="s">
        <v>168</v>
      </c>
      <c r="U362" t="s">
        <v>168</v>
      </c>
      <c r="V362" t="s">
        <v>168</v>
      </c>
      <c r="W362" t="s">
        <v>168</v>
      </c>
      <c r="X362" t="s">
        <v>168</v>
      </c>
      <c r="Y362" t="s">
        <v>168</v>
      </c>
      <c r="Z362">
        <v>2</v>
      </c>
      <c r="AA362">
        <v>1</v>
      </c>
    </row>
    <row r="363" spans="1:27" x14ac:dyDescent="0.25">
      <c r="A363" s="28" t="s">
        <v>46</v>
      </c>
      <c r="B363" s="1" t="s">
        <v>65</v>
      </c>
      <c r="C363" s="6">
        <v>46</v>
      </c>
      <c r="D363" s="33">
        <v>61</v>
      </c>
      <c r="E363" s="34">
        <v>87</v>
      </c>
      <c r="F363" s="36">
        <v>88</v>
      </c>
      <c r="G363" s="36">
        <v>88</v>
      </c>
      <c r="H363" s="36">
        <v>91</v>
      </c>
      <c r="I363" s="36">
        <v>95</v>
      </c>
      <c r="J363" s="35">
        <v>9</v>
      </c>
      <c r="K363" s="52" t="s">
        <v>196</v>
      </c>
      <c r="L363" t="s">
        <v>168</v>
      </c>
      <c r="M363" t="s">
        <v>168</v>
      </c>
      <c r="N363" t="s">
        <v>168</v>
      </c>
      <c r="O363" t="s">
        <v>168</v>
      </c>
      <c r="P363" t="s">
        <v>168</v>
      </c>
      <c r="Q363" t="s">
        <v>168</v>
      </c>
      <c r="R363" t="s">
        <v>168</v>
      </c>
      <c r="S363" t="s">
        <v>168</v>
      </c>
      <c r="T363" t="s">
        <v>168</v>
      </c>
      <c r="U363" t="s">
        <v>168</v>
      </c>
      <c r="V363" t="s">
        <v>168</v>
      </c>
      <c r="W363" t="s">
        <v>168</v>
      </c>
      <c r="X363" t="s">
        <v>168</v>
      </c>
      <c r="Y363" t="s">
        <v>168</v>
      </c>
      <c r="Z363">
        <v>2</v>
      </c>
      <c r="AA363">
        <v>1</v>
      </c>
    </row>
    <row r="364" spans="1:27" x14ac:dyDescent="0.25">
      <c r="A364" s="28" t="s">
        <v>46</v>
      </c>
      <c r="B364" s="1" t="s">
        <v>79</v>
      </c>
      <c r="C364" s="6">
        <v>39</v>
      </c>
      <c r="D364" s="33">
        <v>53</v>
      </c>
      <c r="E364" s="34">
        <v>54</v>
      </c>
      <c r="F364" s="36">
        <v>69</v>
      </c>
      <c r="G364" s="62" t="s">
        <v>195</v>
      </c>
      <c r="H364" s="62" t="s">
        <v>184</v>
      </c>
      <c r="I364" s="62" t="s">
        <v>168</v>
      </c>
      <c r="J364" s="35">
        <v>6</v>
      </c>
      <c r="K364" s="52" t="s">
        <v>196</v>
      </c>
      <c r="L364" t="s">
        <v>168</v>
      </c>
      <c r="M364" t="s">
        <v>168</v>
      </c>
      <c r="N364" t="s">
        <v>168</v>
      </c>
      <c r="O364" t="s">
        <v>168</v>
      </c>
      <c r="P364" t="s">
        <v>168</v>
      </c>
      <c r="Q364" t="s">
        <v>168</v>
      </c>
      <c r="R364" t="s">
        <v>168</v>
      </c>
      <c r="S364" t="s">
        <v>168</v>
      </c>
      <c r="T364" t="s">
        <v>168</v>
      </c>
      <c r="U364" t="s">
        <v>168</v>
      </c>
      <c r="V364" t="s">
        <v>168</v>
      </c>
      <c r="W364" t="s">
        <v>168</v>
      </c>
      <c r="X364" t="s">
        <v>168</v>
      </c>
      <c r="Y364" t="s">
        <v>168</v>
      </c>
      <c r="Z364">
        <v>2</v>
      </c>
      <c r="AA364">
        <v>1</v>
      </c>
    </row>
    <row r="365" spans="1:27" x14ac:dyDescent="0.25">
      <c r="A365" s="28" t="s">
        <v>46</v>
      </c>
      <c r="B365" s="1" t="s">
        <v>66</v>
      </c>
      <c r="C365" s="6">
        <v>34</v>
      </c>
      <c r="D365" s="33">
        <v>49</v>
      </c>
      <c r="E365" s="34">
        <v>49</v>
      </c>
      <c r="F365" s="36">
        <v>62</v>
      </c>
      <c r="G365" s="36">
        <v>62</v>
      </c>
      <c r="H365" s="36">
        <v>62</v>
      </c>
      <c r="I365" s="36">
        <v>65</v>
      </c>
      <c r="J365" s="35">
        <v>28</v>
      </c>
      <c r="K365" s="52" t="s">
        <v>196</v>
      </c>
      <c r="L365" t="s">
        <v>168</v>
      </c>
      <c r="M365" t="s">
        <v>168</v>
      </c>
      <c r="N365" t="s">
        <v>168</v>
      </c>
      <c r="O365" t="s">
        <v>168</v>
      </c>
      <c r="P365" t="s">
        <v>168</v>
      </c>
      <c r="Q365" t="s">
        <v>168</v>
      </c>
      <c r="R365" t="s">
        <v>168</v>
      </c>
      <c r="S365" t="s">
        <v>168</v>
      </c>
      <c r="T365" t="s">
        <v>168</v>
      </c>
      <c r="U365" t="s">
        <v>168</v>
      </c>
      <c r="V365" t="s">
        <v>168</v>
      </c>
      <c r="W365" t="s">
        <v>168</v>
      </c>
      <c r="X365" t="s">
        <v>168</v>
      </c>
      <c r="Y365" t="s">
        <v>168</v>
      </c>
      <c r="Z365">
        <v>2</v>
      </c>
      <c r="AA365">
        <v>1</v>
      </c>
    </row>
    <row r="366" spans="1:27" x14ac:dyDescent="0.25">
      <c r="A366" s="28" t="s">
        <v>46</v>
      </c>
      <c r="B366" s="1" t="s">
        <v>92</v>
      </c>
      <c r="C366" s="6">
        <v>44</v>
      </c>
      <c r="D366" s="33">
        <v>59</v>
      </c>
      <c r="E366" s="34">
        <v>59</v>
      </c>
      <c r="F366" s="36">
        <v>73</v>
      </c>
      <c r="G366" s="36">
        <v>73</v>
      </c>
      <c r="H366" s="36">
        <v>77</v>
      </c>
      <c r="I366" s="36">
        <v>81</v>
      </c>
      <c r="J366" s="35">
        <v>13</v>
      </c>
      <c r="K366" s="52" t="s">
        <v>196</v>
      </c>
      <c r="L366" t="s">
        <v>168</v>
      </c>
      <c r="M366" t="s">
        <v>168</v>
      </c>
      <c r="N366" t="s">
        <v>168</v>
      </c>
      <c r="O366" t="s">
        <v>168</v>
      </c>
      <c r="P366" t="s">
        <v>168</v>
      </c>
      <c r="Q366" t="s">
        <v>168</v>
      </c>
      <c r="R366" t="s">
        <v>168</v>
      </c>
      <c r="S366" t="s">
        <v>168</v>
      </c>
      <c r="T366" t="s">
        <v>168</v>
      </c>
      <c r="U366" t="s">
        <v>168</v>
      </c>
      <c r="V366" t="s">
        <v>168</v>
      </c>
      <c r="W366" t="s">
        <v>168</v>
      </c>
      <c r="X366" t="s">
        <v>168</v>
      </c>
      <c r="Y366" t="s">
        <v>168</v>
      </c>
      <c r="Z366">
        <v>2</v>
      </c>
      <c r="AA366">
        <v>1</v>
      </c>
    </row>
    <row r="367" spans="1:27" x14ac:dyDescent="0.25">
      <c r="A367" s="28" t="s">
        <v>46</v>
      </c>
      <c r="B367" s="1" t="s">
        <v>67</v>
      </c>
      <c r="C367" s="6">
        <v>56</v>
      </c>
      <c r="D367" s="33">
        <v>75</v>
      </c>
      <c r="E367" s="34">
        <v>76</v>
      </c>
      <c r="F367" s="62" t="s">
        <v>168</v>
      </c>
      <c r="G367" s="62" t="s">
        <v>168</v>
      </c>
      <c r="H367" s="62" t="s">
        <v>168</v>
      </c>
      <c r="I367" s="62" t="s">
        <v>168</v>
      </c>
      <c r="J367" s="35">
        <v>4</v>
      </c>
      <c r="K367" s="52" t="s">
        <v>196</v>
      </c>
      <c r="L367" t="s">
        <v>168</v>
      </c>
      <c r="M367" t="s">
        <v>168</v>
      </c>
      <c r="N367" t="s">
        <v>168</v>
      </c>
      <c r="O367" t="s">
        <v>168</v>
      </c>
      <c r="P367" t="s">
        <v>168</v>
      </c>
      <c r="Q367" t="s">
        <v>168</v>
      </c>
      <c r="R367" t="s">
        <v>168</v>
      </c>
      <c r="S367" t="s">
        <v>168</v>
      </c>
      <c r="T367" t="s">
        <v>168</v>
      </c>
      <c r="U367" t="s">
        <v>168</v>
      </c>
      <c r="V367" t="s">
        <v>168</v>
      </c>
      <c r="W367" t="s">
        <v>168</v>
      </c>
      <c r="X367" t="s">
        <v>168</v>
      </c>
      <c r="Y367" t="s">
        <v>168</v>
      </c>
      <c r="Z367">
        <v>2</v>
      </c>
      <c r="AA367">
        <v>1</v>
      </c>
    </row>
    <row r="368" spans="1:27" x14ac:dyDescent="0.25">
      <c r="A368" s="28" t="s">
        <v>46</v>
      </c>
      <c r="B368" s="1" t="s">
        <v>68</v>
      </c>
      <c r="C368" s="6">
        <v>53</v>
      </c>
      <c r="D368" s="33">
        <v>69</v>
      </c>
      <c r="E368" s="34">
        <v>69</v>
      </c>
      <c r="F368" s="36">
        <v>83</v>
      </c>
      <c r="G368" s="36">
        <v>85</v>
      </c>
      <c r="H368" s="62" t="s">
        <v>187</v>
      </c>
      <c r="I368" s="62" t="s">
        <v>168</v>
      </c>
      <c r="J368" s="35">
        <v>6</v>
      </c>
      <c r="K368" s="52" t="s">
        <v>196</v>
      </c>
      <c r="L368" t="s">
        <v>168</v>
      </c>
      <c r="M368" t="s">
        <v>168</v>
      </c>
      <c r="N368" t="s">
        <v>168</v>
      </c>
      <c r="O368" t="s">
        <v>168</v>
      </c>
      <c r="P368" t="s">
        <v>168</v>
      </c>
      <c r="Q368" t="s">
        <v>168</v>
      </c>
      <c r="R368" t="s">
        <v>168</v>
      </c>
      <c r="S368" t="s">
        <v>168</v>
      </c>
      <c r="T368" t="s">
        <v>168</v>
      </c>
      <c r="U368" t="s">
        <v>168</v>
      </c>
      <c r="V368" t="s">
        <v>168</v>
      </c>
      <c r="W368" t="s">
        <v>168</v>
      </c>
      <c r="X368" t="s">
        <v>168</v>
      </c>
      <c r="Y368" t="s">
        <v>168</v>
      </c>
      <c r="Z368">
        <v>2</v>
      </c>
      <c r="AA368">
        <v>1</v>
      </c>
    </row>
    <row r="369" spans="1:27" x14ac:dyDescent="0.25">
      <c r="A369" s="28" t="s">
        <v>46</v>
      </c>
      <c r="B369" s="1" t="s">
        <v>40</v>
      </c>
      <c r="C369" s="6">
        <v>43</v>
      </c>
      <c r="D369" s="33">
        <v>59</v>
      </c>
      <c r="E369" s="34">
        <v>69</v>
      </c>
      <c r="F369" s="36">
        <v>73</v>
      </c>
      <c r="G369" s="36">
        <v>73</v>
      </c>
      <c r="H369" s="36">
        <v>82</v>
      </c>
      <c r="I369" s="36">
        <v>83</v>
      </c>
      <c r="J369" s="35">
        <v>11</v>
      </c>
      <c r="K369" s="52" t="s">
        <v>196</v>
      </c>
      <c r="L369" t="s">
        <v>168</v>
      </c>
      <c r="M369" t="s">
        <v>168</v>
      </c>
      <c r="N369" t="s">
        <v>168</v>
      </c>
      <c r="O369" t="s">
        <v>168</v>
      </c>
      <c r="P369" t="s">
        <v>168</v>
      </c>
      <c r="Q369" t="s">
        <v>168</v>
      </c>
      <c r="R369" t="s">
        <v>168</v>
      </c>
      <c r="S369" t="s">
        <v>168</v>
      </c>
      <c r="T369" t="s">
        <v>168</v>
      </c>
      <c r="U369" t="s">
        <v>168</v>
      </c>
      <c r="V369" t="s">
        <v>168</v>
      </c>
      <c r="W369" t="s">
        <v>168</v>
      </c>
      <c r="X369" t="s">
        <v>168</v>
      </c>
      <c r="Y369" t="s">
        <v>168</v>
      </c>
      <c r="Z369">
        <v>2</v>
      </c>
      <c r="AA369">
        <v>1</v>
      </c>
    </row>
    <row r="370" spans="1:27" x14ac:dyDescent="0.25">
      <c r="A370" s="28" t="s">
        <v>46</v>
      </c>
      <c r="B370" s="1" t="s">
        <v>69</v>
      </c>
      <c r="C370" s="6">
        <v>35</v>
      </c>
      <c r="D370" s="33">
        <v>49</v>
      </c>
      <c r="E370" s="34">
        <v>50</v>
      </c>
      <c r="F370" s="36">
        <v>60</v>
      </c>
      <c r="G370" s="36">
        <v>61</v>
      </c>
      <c r="H370" s="36">
        <v>62</v>
      </c>
      <c r="I370" s="36">
        <v>65</v>
      </c>
      <c r="J370" s="35">
        <v>27</v>
      </c>
      <c r="K370" s="52" t="s">
        <v>196</v>
      </c>
      <c r="L370" t="s">
        <v>168</v>
      </c>
      <c r="M370" t="s">
        <v>168</v>
      </c>
      <c r="N370" t="s">
        <v>168</v>
      </c>
      <c r="O370" t="s">
        <v>168</v>
      </c>
      <c r="P370" t="s">
        <v>168</v>
      </c>
      <c r="Q370" t="s">
        <v>168</v>
      </c>
      <c r="R370" t="s">
        <v>168</v>
      </c>
      <c r="S370" t="s">
        <v>168</v>
      </c>
      <c r="T370" t="s">
        <v>168</v>
      </c>
      <c r="U370" t="s">
        <v>168</v>
      </c>
      <c r="V370" t="s">
        <v>168</v>
      </c>
      <c r="W370" t="s">
        <v>168</v>
      </c>
      <c r="X370" t="s">
        <v>168</v>
      </c>
      <c r="Y370" t="s">
        <v>168</v>
      </c>
      <c r="Z370">
        <v>2</v>
      </c>
      <c r="AA370">
        <v>1</v>
      </c>
    </row>
    <row r="371" spans="1:27" x14ac:dyDescent="0.25">
      <c r="A371" s="28" t="s">
        <v>46</v>
      </c>
      <c r="B371" s="1" t="s">
        <v>41</v>
      </c>
      <c r="C371" s="6">
        <v>54</v>
      </c>
      <c r="D371" s="33">
        <v>71</v>
      </c>
      <c r="E371" s="34">
        <v>72</v>
      </c>
      <c r="F371" s="36">
        <v>87</v>
      </c>
      <c r="G371" s="36">
        <v>87</v>
      </c>
      <c r="H371" s="62" t="s">
        <v>186</v>
      </c>
      <c r="I371" s="62" t="s">
        <v>168</v>
      </c>
      <c r="J371" s="35">
        <v>6</v>
      </c>
      <c r="K371" s="52" t="s">
        <v>196</v>
      </c>
      <c r="L371" t="s">
        <v>168</v>
      </c>
      <c r="M371" t="s">
        <v>168</v>
      </c>
      <c r="N371" t="s">
        <v>168</v>
      </c>
      <c r="O371" t="s">
        <v>168</v>
      </c>
      <c r="P371" t="s">
        <v>168</v>
      </c>
      <c r="Q371" t="s">
        <v>168</v>
      </c>
      <c r="R371" t="s">
        <v>168</v>
      </c>
      <c r="S371" t="s">
        <v>168</v>
      </c>
      <c r="T371" t="s">
        <v>168</v>
      </c>
      <c r="U371" t="s">
        <v>168</v>
      </c>
      <c r="V371" t="s">
        <v>168</v>
      </c>
      <c r="W371" t="s">
        <v>168</v>
      </c>
      <c r="X371" t="s">
        <v>168</v>
      </c>
      <c r="Y371" t="s">
        <v>168</v>
      </c>
      <c r="Z371">
        <v>2</v>
      </c>
      <c r="AA371">
        <v>1</v>
      </c>
    </row>
    <row r="372" spans="1:27" x14ac:dyDescent="0.25">
      <c r="A372" s="28" t="s">
        <v>46</v>
      </c>
      <c r="B372" s="1" t="s">
        <v>42</v>
      </c>
      <c r="C372" s="6">
        <v>53</v>
      </c>
      <c r="D372" s="33">
        <v>76</v>
      </c>
      <c r="E372" s="34">
        <v>76</v>
      </c>
      <c r="F372" s="62" t="s">
        <v>168</v>
      </c>
      <c r="G372" s="62" t="s">
        <v>168</v>
      </c>
      <c r="H372" s="62" t="s">
        <v>168</v>
      </c>
      <c r="I372" s="62" t="s">
        <v>168</v>
      </c>
      <c r="J372" s="35">
        <v>4</v>
      </c>
      <c r="K372" s="52" t="s">
        <v>196</v>
      </c>
      <c r="L372" t="s">
        <v>168</v>
      </c>
      <c r="M372" t="s">
        <v>168</v>
      </c>
      <c r="N372" t="s">
        <v>168</v>
      </c>
      <c r="O372" t="s">
        <v>168</v>
      </c>
      <c r="P372" t="s">
        <v>168</v>
      </c>
      <c r="Q372" t="s">
        <v>168</v>
      </c>
      <c r="R372" t="s">
        <v>168</v>
      </c>
      <c r="S372" t="s">
        <v>168</v>
      </c>
      <c r="T372" t="s">
        <v>168</v>
      </c>
      <c r="U372" t="s">
        <v>168</v>
      </c>
      <c r="V372" t="s">
        <v>168</v>
      </c>
      <c r="W372" t="s">
        <v>168</v>
      </c>
      <c r="X372" t="s">
        <v>168</v>
      </c>
      <c r="Y372" t="s">
        <v>168</v>
      </c>
      <c r="Z372">
        <v>2</v>
      </c>
      <c r="AA372">
        <v>1</v>
      </c>
    </row>
    <row r="373" spans="1:27" x14ac:dyDescent="0.25">
      <c r="A373" s="28" t="s">
        <v>46</v>
      </c>
      <c r="B373" s="1" t="s">
        <v>43</v>
      </c>
      <c r="C373" s="6">
        <v>57</v>
      </c>
      <c r="D373" s="33">
        <v>81</v>
      </c>
      <c r="E373" s="34">
        <v>81</v>
      </c>
      <c r="F373" s="62" t="s">
        <v>168</v>
      </c>
      <c r="G373" s="62" t="s">
        <v>168</v>
      </c>
      <c r="H373" s="62" t="s">
        <v>168</v>
      </c>
      <c r="I373" s="62" t="s">
        <v>168</v>
      </c>
      <c r="J373" s="35" t="s">
        <v>168</v>
      </c>
      <c r="K373" s="52" t="s">
        <v>196</v>
      </c>
      <c r="L373" t="s">
        <v>168</v>
      </c>
      <c r="M373" t="s">
        <v>168</v>
      </c>
      <c r="N373" t="s">
        <v>168</v>
      </c>
      <c r="O373" t="s">
        <v>168</v>
      </c>
      <c r="P373" t="s">
        <v>168</v>
      </c>
      <c r="Q373" t="s">
        <v>168</v>
      </c>
      <c r="R373" t="s">
        <v>168</v>
      </c>
      <c r="S373" t="s">
        <v>168</v>
      </c>
      <c r="T373" t="s">
        <v>168</v>
      </c>
      <c r="U373" t="s">
        <v>168</v>
      </c>
      <c r="V373" t="s">
        <v>168</v>
      </c>
      <c r="W373" t="s">
        <v>168</v>
      </c>
      <c r="X373" t="s">
        <v>168</v>
      </c>
      <c r="Y373" t="s">
        <v>168</v>
      </c>
      <c r="Z373">
        <v>2</v>
      </c>
      <c r="AA373">
        <v>1</v>
      </c>
    </row>
    <row r="374" spans="1:27" x14ac:dyDescent="0.25">
      <c r="A374" s="28" t="s">
        <v>46</v>
      </c>
      <c r="B374" s="1" t="s">
        <v>70</v>
      </c>
      <c r="C374" s="6">
        <v>52</v>
      </c>
      <c r="D374" s="33">
        <v>77</v>
      </c>
      <c r="E374" s="34">
        <v>77</v>
      </c>
      <c r="F374" s="62" t="s">
        <v>168</v>
      </c>
      <c r="G374" s="62" t="s">
        <v>168</v>
      </c>
      <c r="H374" s="62" t="s">
        <v>168</v>
      </c>
      <c r="I374" s="62" t="s">
        <v>168</v>
      </c>
      <c r="J374" s="35" t="s">
        <v>168</v>
      </c>
      <c r="K374" s="52" t="s">
        <v>196</v>
      </c>
      <c r="L374" t="s">
        <v>168</v>
      </c>
      <c r="M374" t="s">
        <v>168</v>
      </c>
      <c r="N374" t="s">
        <v>168</v>
      </c>
      <c r="O374" t="s">
        <v>168</v>
      </c>
      <c r="P374" t="s">
        <v>168</v>
      </c>
      <c r="Q374" t="s">
        <v>168</v>
      </c>
      <c r="R374" t="s">
        <v>168</v>
      </c>
      <c r="S374" t="s">
        <v>168</v>
      </c>
      <c r="T374" t="s">
        <v>168</v>
      </c>
      <c r="U374" t="s">
        <v>168</v>
      </c>
      <c r="V374" t="s">
        <v>168</v>
      </c>
      <c r="W374" t="s">
        <v>168</v>
      </c>
      <c r="X374" t="s">
        <v>168</v>
      </c>
      <c r="Y374" t="s">
        <v>168</v>
      </c>
      <c r="Z374">
        <v>2</v>
      </c>
      <c r="AA374">
        <v>1</v>
      </c>
    </row>
    <row r="375" spans="1:27" x14ac:dyDescent="0.25">
      <c r="A375" s="28" t="s">
        <v>46</v>
      </c>
      <c r="B375" s="1" t="s">
        <v>44</v>
      </c>
      <c r="C375" s="6">
        <v>50</v>
      </c>
      <c r="D375" s="33">
        <v>67</v>
      </c>
      <c r="E375" s="34">
        <v>67</v>
      </c>
      <c r="F375" s="62" t="s">
        <v>168</v>
      </c>
      <c r="G375" s="62" t="s">
        <v>168</v>
      </c>
      <c r="H375" s="62" t="s">
        <v>168</v>
      </c>
      <c r="I375" s="62" t="s">
        <v>168</v>
      </c>
      <c r="J375" s="35" t="s">
        <v>168</v>
      </c>
      <c r="K375" s="52" t="s">
        <v>196</v>
      </c>
      <c r="L375" t="s">
        <v>168</v>
      </c>
      <c r="M375" t="s">
        <v>168</v>
      </c>
      <c r="N375" t="s">
        <v>168</v>
      </c>
      <c r="O375" t="s">
        <v>168</v>
      </c>
      <c r="P375" t="s">
        <v>168</v>
      </c>
      <c r="Q375" t="s">
        <v>168</v>
      </c>
      <c r="R375" t="s">
        <v>168</v>
      </c>
      <c r="S375" t="s">
        <v>168</v>
      </c>
      <c r="T375" t="s">
        <v>168</v>
      </c>
      <c r="U375" t="s">
        <v>168</v>
      </c>
      <c r="V375" t="s">
        <v>168</v>
      </c>
      <c r="W375" t="s">
        <v>168</v>
      </c>
      <c r="X375" t="s">
        <v>168</v>
      </c>
      <c r="Y375" t="s">
        <v>168</v>
      </c>
      <c r="Z375">
        <v>2</v>
      </c>
      <c r="AA375">
        <v>1</v>
      </c>
    </row>
    <row r="376" spans="1:27" x14ac:dyDescent="0.25">
      <c r="A376" s="28" t="s">
        <v>46</v>
      </c>
      <c r="B376" s="1" t="s">
        <v>80</v>
      </c>
      <c r="C376" s="6">
        <v>60</v>
      </c>
      <c r="D376" s="33">
        <v>90</v>
      </c>
      <c r="E376" s="34">
        <v>94</v>
      </c>
      <c r="F376" s="62" t="s">
        <v>168</v>
      </c>
      <c r="G376" s="62" t="s">
        <v>168</v>
      </c>
      <c r="H376" s="62" t="s">
        <v>168</v>
      </c>
      <c r="I376" s="62" t="s">
        <v>168</v>
      </c>
      <c r="J376" s="35">
        <v>4</v>
      </c>
      <c r="K376" s="52" t="s">
        <v>196</v>
      </c>
      <c r="L376" t="s">
        <v>168</v>
      </c>
      <c r="M376" t="s">
        <v>168</v>
      </c>
      <c r="N376" t="s">
        <v>168</v>
      </c>
      <c r="O376" t="s">
        <v>168</v>
      </c>
      <c r="P376" t="s">
        <v>168</v>
      </c>
      <c r="Q376" t="s">
        <v>168</v>
      </c>
      <c r="R376" t="s">
        <v>168</v>
      </c>
      <c r="S376" t="s">
        <v>168</v>
      </c>
      <c r="T376" t="s">
        <v>168</v>
      </c>
      <c r="U376" t="s">
        <v>168</v>
      </c>
      <c r="V376" t="s">
        <v>168</v>
      </c>
      <c r="W376" t="s">
        <v>168</v>
      </c>
      <c r="X376" t="s">
        <v>168</v>
      </c>
      <c r="Y376" t="s">
        <v>168</v>
      </c>
      <c r="Z376">
        <v>2</v>
      </c>
      <c r="AA376">
        <v>1</v>
      </c>
    </row>
    <row r="377" spans="1:27" x14ac:dyDescent="0.25">
      <c r="A377" s="28" t="s">
        <v>46</v>
      </c>
      <c r="B377" s="1" t="s">
        <v>99</v>
      </c>
      <c r="C377" s="6">
        <v>52</v>
      </c>
      <c r="D377" s="33">
        <v>70</v>
      </c>
      <c r="E377" s="34">
        <v>88</v>
      </c>
      <c r="F377" s="62" t="s">
        <v>188</v>
      </c>
      <c r="G377" s="62" t="s">
        <v>186</v>
      </c>
      <c r="H377" s="62" t="s">
        <v>168</v>
      </c>
      <c r="I377" s="62" t="s">
        <v>168</v>
      </c>
      <c r="J377" s="35">
        <v>6</v>
      </c>
      <c r="K377" s="52" t="s">
        <v>196</v>
      </c>
      <c r="L377" t="s">
        <v>168</v>
      </c>
      <c r="M377" t="s">
        <v>168</v>
      </c>
      <c r="N377" t="s">
        <v>168</v>
      </c>
      <c r="O377" t="s">
        <v>168</v>
      </c>
      <c r="P377" t="s">
        <v>168</v>
      </c>
      <c r="Q377" t="s">
        <v>168</v>
      </c>
      <c r="R377" t="s">
        <v>168</v>
      </c>
      <c r="S377" t="s">
        <v>168</v>
      </c>
      <c r="T377" t="s">
        <v>168</v>
      </c>
      <c r="U377" t="s">
        <v>168</v>
      </c>
      <c r="V377" t="s">
        <v>168</v>
      </c>
      <c r="W377" t="s">
        <v>168</v>
      </c>
      <c r="X377" t="s">
        <v>168</v>
      </c>
      <c r="Y377" t="s">
        <v>168</v>
      </c>
      <c r="Z377">
        <v>2</v>
      </c>
      <c r="AA377">
        <v>1</v>
      </c>
    </row>
    <row r="378" spans="1:27" x14ac:dyDescent="0.25">
      <c r="A378" s="28" t="s">
        <v>46</v>
      </c>
      <c r="B378" s="1" t="s">
        <v>169</v>
      </c>
      <c r="C378" s="6">
        <v>51</v>
      </c>
      <c r="D378" s="33">
        <v>69</v>
      </c>
      <c r="E378" s="34">
        <v>71</v>
      </c>
      <c r="F378" s="62" t="s">
        <v>168</v>
      </c>
      <c r="G378" s="62" t="s">
        <v>168</v>
      </c>
      <c r="H378" s="62" t="s">
        <v>168</v>
      </c>
      <c r="I378" s="62" t="s">
        <v>168</v>
      </c>
      <c r="J378" s="35">
        <v>4</v>
      </c>
      <c r="K378" s="52" t="s">
        <v>196</v>
      </c>
      <c r="L378" t="s">
        <v>168</v>
      </c>
      <c r="M378" t="s">
        <v>168</v>
      </c>
      <c r="N378" t="s">
        <v>168</v>
      </c>
      <c r="O378" t="s">
        <v>168</v>
      </c>
      <c r="P378" t="s">
        <v>168</v>
      </c>
      <c r="Q378" t="s">
        <v>168</v>
      </c>
      <c r="R378" t="s">
        <v>168</v>
      </c>
      <c r="S378" t="s">
        <v>168</v>
      </c>
      <c r="T378" t="s">
        <v>168</v>
      </c>
      <c r="U378" t="s">
        <v>168</v>
      </c>
      <c r="V378" t="s">
        <v>168</v>
      </c>
      <c r="W378" t="s">
        <v>168</v>
      </c>
      <c r="X378" t="s">
        <v>168</v>
      </c>
      <c r="Y378" t="s">
        <v>168</v>
      </c>
      <c r="Z378">
        <v>2</v>
      </c>
      <c r="AA378">
        <v>1</v>
      </c>
    </row>
    <row r="379" spans="1:27" x14ac:dyDescent="0.25">
      <c r="A379" s="28" t="s">
        <v>46</v>
      </c>
      <c r="B379" s="1" t="s">
        <v>97</v>
      </c>
      <c r="C379" s="6">
        <v>52</v>
      </c>
      <c r="D379" s="33" t="s">
        <v>168</v>
      </c>
      <c r="E379" s="34" t="s">
        <v>168</v>
      </c>
      <c r="F379" s="62" t="s">
        <v>168</v>
      </c>
      <c r="G379" s="62" t="s">
        <v>168</v>
      </c>
      <c r="H379" s="62" t="s">
        <v>168</v>
      </c>
      <c r="I379" s="62" t="s">
        <v>168</v>
      </c>
      <c r="J379" s="35">
        <v>2</v>
      </c>
      <c r="K379" s="52" t="s">
        <v>196</v>
      </c>
      <c r="L379" t="s">
        <v>168</v>
      </c>
      <c r="M379" t="s">
        <v>168</v>
      </c>
      <c r="N379" t="s">
        <v>168</v>
      </c>
      <c r="O379" t="s">
        <v>168</v>
      </c>
      <c r="P379" t="s">
        <v>168</v>
      </c>
      <c r="Q379" t="s">
        <v>168</v>
      </c>
      <c r="R379" t="s">
        <v>168</v>
      </c>
      <c r="S379" t="s">
        <v>168</v>
      </c>
      <c r="T379" t="s">
        <v>168</v>
      </c>
      <c r="U379" t="s">
        <v>168</v>
      </c>
      <c r="V379" t="s">
        <v>168</v>
      </c>
      <c r="W379" t="s">
        <v>168</v>
      </c>
      <c r="X379" t="s">
        <v>168</v>
      </c>
      <c r="Y379" t="s">
        <v>168</v>
      </c>
      <c r="Z379">
        <v>2</v>
      </c>
      <c r="AA379">
        <v>1</v>
      </c>
    </row>
    <row r="380" spans="1:27" x14ac:dyDescent="0.25">
      <c r="A380" s="28" t="s">
        <v>46</v>
      </c>
      <c r="B380" s="1" t="s">
        <v>71</v>
      </c>
      <c r="C380" s="6">
        <v>55</v>
      </c>
      <c r="D380" s="33">
        <v>72</v>
      </c>
      <c r="E380" s="34">
        <v>73</v>
      </c>
      <c r="F380" s="62" t="s">
        <v>168</v>
      </c>
      <c r="G380" s="62" t="s">
        <v>168</v>
      </c>
      <c r="H380" s="62" t="s">
        <v>168</v>
      </c>
      <c r="I380" s="62" t="s">
        <v>168</v>
      </c>
      <c r="J380" s="35">
        <v>4</v>
      </c>
      <c r="K380" s="52" t="s">
        <v>196</v>
      </c>
      <c r="L380" t="s">
        <v>168</v>
      </c>
      <c r="M380" t="s">
        <v>168</v>
      </c>
      <c r="N380" t="s">
        <v>168</v>
      </c>
      <c r="O380" t="s">
        <v>168</v>
      </c>
      <c r="P380" t="s">
        <v>168</v>
      </c>
      <c r="Q380" t="s">
        <v>168</v>
      </c>
      <c r="R380" t="s">
        <v>168</v>
      </c>
      <c r="S380" t="s">
        <v>168</v>
      </c>
      <c r="T380" t="s">
        <v>168</v>
      </c>
      <c r="U380" t="s">
        <v>168</v>
      </c>
      <c r="V380" t="s">
        <v>168</v>
      </c>
      <c r="W380" t="s">
        <v>168</v>
      </c>
      <c r="X380" t="s">
        <v>168</v>
      </c>
      <c r="Y380" t="s">
        <v>168</v>
      </c>
      <c r="Z380">
        <v>2</v>
      </c>
      <c r="AA380">
        <v>1</v>
      </c>
    </row>
    <row r="381" spans="1:27" x14ac:dyDescent="0.25">
      <c r="A381" s="28" t="s">
        <v>46</v>
      </c>
      <c r="B381" s="1" t="s">
        <v>45</v>
      </c>
      <c r="C381" s="6">
        <v>56</v>
      </c>
      <c r="D381" s="33">
        <v>78</v>
      </c>
      <c r="E381" s="34">
        <v>80</v>
      </c>
      <c r="F381" s="62" t="s">
        <v>168</v>
      </c>
      <c r="G381" s="62" t="s">
        <v>168</v>
      </c>
      <c r="H381" s="62" t="s">
        <v>168</v>
      </c>
      <c r="I381" s="62" t="s">
        <v>168</v>
      </c>
      <c r="J381" s="35">
        <v>4</v>
      </c>
      <c r="K381" s="52" t="s">
        <v>196</v>
      </c>
      <c r="L381" t="s">
        <v>168</v>
      </c>
      <c r="M381" t="s">
        <v>168</v>
      </c>
      <c r="N381" t="s">
        <v>168</v>
      </c>
      <c r="O381" t="s">
        <v>168</v>
      </c>
      <c r="P381" t="s">
        <v>168</v>
      </c>
      <c r="Q381" t="s">
        <v>168</v>
      </c>
      <c r="R381" t="s">
        <v>168</v>
      </c>
      <c r="S381" t="s">
        <v>168</v>
      </c>
      <c r="T381" t="s">
        <v>168</v>
      </c>
      <c r="U381" t="s">
        <v>168</v>
      </c>
      <c r="V381" t="s">
        <v>168</v>
      </c>
      <c r="W381" t="s">
        <v>168</v>
      </c>
      <c r="X381" t="s">
        <v>168</v>
      </c>
      <c r="Y381" t="s">
        <v>168</v>
      </c>
      <c r="Z381">
        <v>2</v>
      </c>
      <c r="AA381">
        <v>1</v>
      </c>
    </row>
    <row r="382" spans="1:27" x14ac:dyDescent="0.25">
      <c r="A382" s="28" t="s">
        <v>46</v>
      </c>
      <c r="B382" s="1" t="s">
        <v>93</v>
      </c>
      <c r="C382" s="6">
        <v>53</v>
      </c>
      <c r="D382" s="33">
        <v>69</v>
      </c>
      <c r="E382" s="34">
        <v>70</v>
      </c>
      <c r="F382" s="36">
        <v>92</v>
      </c>
      <c r="G382" s="36">
        <v>93</v>
      </c>
      <c r="H382" s="62" t="s">
        <v>168</v>
      </c>
      <c r="I382" s="62" t="s">
        <v>168</v>
      </c>
      <c r="J382" s="35">
        <v>6</v>
      </c>
      <c r="K382" s="52" t="s">
        <v>196</v>
      </c>
      <c r="L382" t="s">
        <v>168</v>
      </c>
      <c r="M382" t="s">
        <v>168</v>
      </c>
      <c r="N382" t="s">
        <v>168</v>
      </c>
      <c r="O382" t="s">
        <v>168</v>
      </c>
      <c r="P382" t="s">
        <v>168</v>
      </c>
      <c r="Q382" t="s">
        <v>168</v>
      </c>
      <c r="R382" t="s">
        <v>168</v>
      </c>
      <c r="S382" t="s">
        <v>168</v>
      </c>
      <c r="T382" t="s">
        <v>168</v>
      </c>
      <c r="U382" t="s">
        <v>168</v>
      </c>
      <c r="V382" t="s">
        <v>168</v>
      </c>
      <c r="W382" t="s">
        <v>168</v>
      </c>
      <c r="X382" t="s">
        <v>168</v>
      </c>
      <c r="Y382" t="s">
        <v>168</v>
      </c>
      <c r="Z382">
        <v>2</v>
      </c>
      <c r="AA382">
        <v>1</v>
      </c>
    </row>
    <row r="383" spans="1:27" x14ac:dyDescent="0.25">
      <c r="A383" s="28" t="s">
        <v>46</v>
      </c>
      <c r="B383" s="1" t="s">
        <v>94</v>
      </c>
      <c r="C383" s="6">
        <v>47</v>
      </c>
      <c r="D383" s="33">
        <v>65</v>
      </c>
      <c r="E383" s="34">
        <v>66</v>
      </c>
      <c r="F383" s="36">
        <v>82</v>
      </c>
      <c r="G383" s="36">
        <v>83</v>
      </c>
      <c r="H383" s="36">
        <v>85</v>
      </c>
      <c r="I383" s="36">
        <v>92</v>
      </c>
      <c r="J383" s="35">
        <v>8</v>
      </c>
      <c r="K383" s="52" t="s">
        <v>196</v>
      </c>
      <c r="L383" t="s">
        <v>168</v>
      </c>
      <c r="M383" t="s">
        <v>168</v>
      </c>
      <c r="N383" t="s">
        <v>168</v>
      </c>
      <c r="O383" t="s">
        <v>168</v>
      </c>
      <c r="P383" t="s">
        <v>168</v>
      </c>
      <c r="Q383" t="s">
        <v>168</v>
      </c>
      <c r="R383" t="s">
        <v>168</v>
      </c>
      <c r="S383" t="s">
        <v>168</v>
      </c>
      <c r="T383" t="s">
        <v>168</v>
      </c>
      <c r="U383" t="s">
        <v>168</v>
      </c>
      <c r="V383" t="s">
        <v>168</v>
      </c>
      <c r="W383" t="s">
        <v>168</v>
      </c>
      <c r="X383" t="s">
        <v>168</v>
      </c>
      <c r="Y383" t="s">
        <v>168</v>
      </c>
      <c r="Z383">
        <v>2</v>
      </c>
      <c r="AA383">
        <v>1</v>
      </c>
    </row>
    <row r="384" spans="1:27" x14ac:dyDescent="0.25">
      <c r="A384" s="1"/>
      <c r="B384" s="1"/>
      <c r="C384" s="6"/>
      <c r="D384" s="33"/>
      <c r="E384" s="34"/>
      <c r="F384" s="32"/>
      <c r="G384" s="32"/>
      <c r="H384" s="32"/>
      <c r="I384" s="32"/>
      <c r="J384" s="35"/>
      <c r="K384" s="53"/>
    </row>
    <row r="385" spans="1:11" x14ac:dyDescent="0.25">
      <c r="A385" s="1"/>
      <c r="B385" s="1"/>
      <c r="C385" s="6"/>
      <c r="D385" s="33"/>
      <c r="E385" s="34"/>
      <c r="F385" s="32"/>
      <c r="G385" s="32"/>
      <c r="H385" s="32"/>
      <c r="I385" s="32"/>
      <c r="J385" s="35"/>
      <c r="K385" s="53"/>
    </row>
    <row r="386" spans="1:11" x14ac:dyDescent="0.25">
      <c r="A386" s="1"/>
      <c r="B386" s="1"/>
      <c r="C386" s="6"/>
      <c r="D386" s="33"/>
      <c r="E386" s="34"/>
      <c r="F386" s="36"/>
      <c r="G386" s="36"/>
      <c r="H386" s="36"/>
      <c r="I386" s="36"/>
      <c r="J386" s="35"/>
      <c r="K386" s="53"/>
    </row>
    <row r="387" spans="1:11" x14ac:dyDescent="0.25">
      <c r="A387" s="1"/>
      <c r="B387" s="1"/>
      <c r="C387" s="6"/>
      <c r="D387" s="33"/>
      <c r="E387" s="34"/>
      <c r="F387" s="36"/>
      <c r="G387" s="36"/>
      <c r="H387" s="36"/>
      <c r="I387" s="36"/>
      <c r="J387" s="35"/>
      <c r="K387" s="53"/>
    </row>
    <row r="388" spans="1:11" x14ac:dyDescent="0.25">
      <c r="A388" s="1"/>
      <c r="B388" s="1"/>
      <c r="C388" s="6"/>
      <c r="D388" s="33"/>
      <c r="E388" s="34"/>
      <c r="F388" s="36"/>
      <c r="G388" s="36"/>
      <c r="H388" s="36"/>
      <c r="I388" s="36"/>
      <c r="J388" s="35"/>
      <c r="K388" s="53"/>
    </row>
    <row r="389" spans="1:11" x14ac:dyDescent="0.25">
      <c r="A389" s="1"/>
      <c r="B389" s="1"/>
      <c r="C389" s="6"/>
      <c r="D389" s="33"/>
      <c r="E389" s="34"/>
      <c r="F389" s="36"/>
      <c r="G389" s="36"/>
      <c r="H389" s="36"/>
      <c r="I389" s="36"/>
      <c r="J389" s="35"/>
      <c r="K389" s="53"/>
    </row>
    <row r="390" spans="1:11" x14ac:dyDescent="0.25">
      <c r="A390" s="1"/>
      <c r="B390" s="1"/>
      <c r="C390" s="6"/>
      <c r="D390" s="33"/>
      <c r="E390" s="34"/>
      <c r="F390" s="36"/>
      <c r="G390" s="36"/>
      <c r="H390" s="36"/>
      <c r="I390" s="36"/>
      <c r="J390" s="35"/>
      <c r="K390" s="53"/>
    </row>
    <row r="391" spans="1:11" x14ac:dyDescent="0.25">
      <c r="A391" s="1"/>
      <c r="B391" s="1"/>
      <c r="C391" s="6"/>
      <c r="D391" s="33"/>
      <c r="E391" s="34"/>
      <c r="F391" s="32"/>
      <c r="G391" s="32"/>
      <c r="H391" s="32"/>
      <c r="I391" s="32"/>
      <c r="J391" s="35"/>
      <c r="K391" s="53"/>
    </row>
    <row r="392" spans="1:11" x14ac:dyDescent="0.25">
      <c r="A392" s="1"/>
      <c r="B392" s="1"/>
      <c r="C392" s="6"/>
      <c r="D392" s="33"/>
      <c r="E392" s="34"/>
      <c r="F392" s="32"/>
      <c r="G392" s="32"/>
      <c r="H392" s="32"/>
      <c r="I392" s="32"/>
      <c r="J392" s="35"/>
      <c r="K392" s="53"/>
    </row>
    <row r="393" spans="1:11" x14ac:dyDescent="0.25">
      <c r="A393" s="1"/>
      <c r="B393" s="1"/>
      <c r="C393" s="6"/>
      <c r="D393" s="33"/>
      <c r="E393" s="34"/>
      <c r="F393" s="32"/>
      <c r="G393" s="32"/>
      <c r="H393" s="32"/>
      <c r="I393" s="32"/>
      <c r="J393" s="35"/>
      <c r="K393" s="53"/>
    </row>
    <row r="394" spans="1:11" x14ac:dyDescent="0.25">
      <c r="A394" s="1"/>
      <c r="B394" s="1"/>
      <c r="C394" s="6"/>
      <c r="D394" s="33"/>
      <c r="E394" s="34"/>
      <c r="F394" s="32"/>
      <c r="G394" s="32"/>
      <c r="H394" s="32"/>
      <c r="I394" s="32"/>
      <c r="J394" s="35"/>
      <c r="K394" s="53"/>
    </row>
    <row r="395" spans="1:11" x14ac:dyDescent="0.25">
      <c r="A395" s="1"/>
      <c r="B395" s="1"/>
      <c r="C395" s="6"/>
      <c r="D395" s="33"/>
      <c r="E395" s="34"/>
      <c r="F395" s="32"/>
      <c r="G395" s="32"/>
      <c r="H395" s="32"/>
      <c r="I395" s="32"/>
      <c r="J395" s="35"/>
      <c r="K395" s="53"/>
    </row>
    <row r="396" spans="1:11" x14ac:dyDescent="0.25">
      <c r="A396" s="1"/>
      <c r="B396" s="1"/>
      <c r="C396" s="6"/>
      <c r="D396" s="33"/>
      <c r="E396" s="34"/>
      <c r="F396" s="36"/>
      <c r="G396" s="32"/>
      <c r="H396" s="32"/>
      <c r="I396" s="32"/>
      <c r="J396" s="35"/>
      <c r="K396" s="53"/>
    </row>
    <row r="397" spans="1:11" x14ac:dyDescent="0.25">
      <c r="A397" s="1"/>
      <c r="B397" s="1"/>
      <c r="C397" s="6"/>
      <c r="D397" s="33"/>
      <c r="E397" s="34"/>
      <c r="F397" s="36"/>
      <c r="G397" s="36"/>
      <c r="H397" s="36"/>
      <c r="I397" s="36"/>
      <c r="J397" s="35"/>
      <c r="K397" s="53"/>
    </row>
    <row r="398" spans="1:11" x14ac:dyDescent="0.25">
      <c r="A398" s="1"/>
      <c r="B398" s="1"/>
      <c r="C398" s="6"/>
      <c r="D398" s="33"/>
      <c r="E398" s="34"/>
      <c r="F398" s="36"/>
      <c r="G398" s="36"/>
      <c r="H398" s="36"/>
      <c r="I398" s="36"/>
      <c r="J398" s="35"/>
      <c r="K398" s="53"/>
    </row>
    <row r="399" spans="1:11" x14ac:dyDescent="0.25">
      <c r="A399" s="1"/>
      <c r="B399" s="1"/>
      <c r="C399" s="6"/>
      <c r="D399" s="33"/>
      <c r="E399" s="34"/>
      <c r="F399" s="36"/>
      <c r="G399" s="36"/>
      <c r="H399" s="36"/>
      <c r="I399" s="36"/>
      <c r="J399" s="35"/>
      <c r="K399" s="53"/>
    </row>
    <row r="400" spans="1:11" x14ac:dyDescent="0.25">
      <c r="A400" s="1"/>
      <c r="B400" s="1"/>
      <c r="C400" s="6"/>
      <c r="D400" s="33"/>
      <c r="E400" s="34"/>
      <c r="F400" s="36"/>
      <c r="G400" s="36"/>
      <c r="H400" s="36"/>
      <c r="I400" s="36"/>
      <c r="J400" s="35"/>
      <c r="K400" s="53"/>
    </row>
    <row r="401" spans="1:11" x14ac:dyDescent="0.25">
      <c r="A401" s="1"/>
      <c r="B401" s="1"/>
      <c r="C401" s="6"/>
      <c r="D401" s="33"/>
      <c r="E401" s="34"/>
      <c r="F401" s="32"/>
      <c r="G401" s="32"/>
      <c r="H401" s="32"/>
      <c r="I401" s="32"/>
      <c r="J401" s="35"/>
      <c r="K401" s="53"/>
    </row>
    <row r="402" spans="1:11" x14ac:dyDescent="0.25">
      <c r="A402" s="1"/>
      <c r="B402" s="1"/>
      <c r="C402" s="6"/>
      <c r="D402" s="33"/>
      <c r="E402" s="34"/>
      <c r="F402" s="36"/>
      <c r="G402" s="36"/>
      <c r="H402" s="36"/>
      <c r="I402" s="36"/>
      <c r="J402" s="35"/>
      <c r="K402" s="53"/>
    </row>
    <row r="403" spans="1:11" x14ac:dyDescent="0.25">
      <c r="A403" s="1"/>
      <c r="B403" s="1"/>
      <c r="C403" s="6"/>
      <c r="D403" s="33"/>
      <c r="E403" s="34"/>
      <c r="F403" s="36"/>
      <c r="G403" s="36"/>
      <c r="H403" s="36"/>
      <c r="I403" s="36"/>
      <c r="J403" s="35"/>
      <c r="K403" s="53"/>
    </row>
    <row r="404" spans="1:11" x14ac:dyDescent="0.25">
      <c r="A404" s="1"/>
      <c r="B404" s="1"/>
      <c r="C404" s="6"/>
      <c r="D404" s="33"/>
      <c r="E404" s="34"/>
      <c r="F404" s="32"/>
      <c r="G404" s="32"/>
      <c r="H404" s="32"/>
      <c r="I404" s="32"/>
      <c r="J404" s="35"/>
      <c r="K404" s="53"/>
    </row>
    <row r="405" spans="1:11" x14ac:dyDescent="0.25">
      <c r="A405" s="1"/>
      <c r="B405" s="1"/>
      <c r="C405" s="6"/>
      <c r="D405" s="33"/>
      <c r="E405" s="34"/>
      <c r="F405" s="32"/>
      <c r="G405" s="32"/>
      <c r="H405" s="32"/>
      <c r="I405" s="32"/>
      <c r="J405" s="35"/>
      <c r="K405" s="53"/>
    </row>
    <row r="406" spans="1:11" x14ac:dyDescent="0.25">
      <c r="A406" s="1"/>
      <c r="B406" s="1"/>
      <c r="C406" s="6"/>
      <c r="D406" s="33"/>
      <c r="E406" s="34"/>
      <c r="F406" s="36"/>
      <c r="G406" s="36"/>
      <c r="H406" s="36"/>
      <c r="I406" s="36"/>
      <c r="J406" s="35"/>
      <c r="K406" s="53"/>
    </row>
    <row r="407" spans="1:11" x14ac:dyDescent="0.25">
      <c r="A407" s="1"/>
      <c r="B407" s="1"/>
      <c r="C407" s="6"/>
      <c r="D407" s="33"/>
      <c r="E407" s="34"/>
      <c r="F407" s="36"/>
      <c r="G407" s="36"/>
      <c r="H407" s="36"/>
      <c r="I407" s="36"/>
      <c r="J407" s="35"/>
      <c r="K407" s="53"/>
    </row>
    <row r="408" spans="1:11" x14ac:dyDescent="0.25">
      <c r="A408" s="1"/>
      <c r="B408" s="1"/>
      <c r="C408" s="6"/>
      <c r="D408" s="33"/>
      <c r="E408" s="34"/>
      <c r="F408" s="32"/>
      <c r="G408" s="32"/>
      <c r="H408" s="32"/>
      <c r="I408" s="32"/>
      <c r="J408" s="35"/>
      <c r="K408" s="53"/>
    </row>
    <row r="409" spans="1:11" x14ac:dyDescent="0.25">
      <c r="A409" s="1"/>
      <c r="B409" s="1"/>
      <c r="C409" s="6"/>
      <c r="D409" s="33"/>
      <c r="E409" s="34"/>
      <c r="F409" s="36"/>
      <c r="G409" s="36"/>
      <c r="H409" s="36"/>
      <c r="I409" s="36"/>
      <c r="J409" s="35"/>
      <c r="K409" s="53"/>
    </row>
    <row r="410" spans="1:11" x14ac:dyDescent="0.25">
      <c r="A410" s="1"/>
      <c r="B410" s="1"/>
      <c r="C410" s="6"/>
      <c r="D410" s="33"/>
      <c r="E410" s="34"/>
      <c r="F410" s="36"/>
      <c r="G410" s="36"/>
      <c r="H410" s="36"/>
      <c r="I410" s="36"/>
      <c r="J410" s="35"/>
      <c r="K410" s="53"/>
    </row>
    <row r="411" spans="1:11" x14ac:dyDescent="0.25">
      <c r="A411" s="2"/>
      <c r="B411" s="28"/>
      <c r="C411" s="6"/>
      <c r="D411" s="33"/>
      <c r="E411" s="34"/>
      <c r="F411" s="37"/>
      <c r="G411" s="37"/>
      <c r="H411" s="37"/>
      <c r="I411" s="37"/>
      <c r="J411" s="38"/>
      <c r="K411" s="53"/>
    </row>
    <row r="412" spans="1:11" x14ac:dyDescent="0.25">
      <c r="A412" s="2"/>
      <c r="B412" s="28"/>
      <c r="C412" s="6"/>
      <c r="D412" s="33"/>
      <c r="E412" s="34"/>
      <c r="F412" s="32"/>
      <c r="G412" s="32"/>
      <c r="H412" s="32"/>
      <c r="I412" s="32"/>
      <c r="J412" s="38"/>
      <c r="K412" s="53"/>
    </row>
    <row r="413" spans="1:11" x14ac:dyDescent="0.25">
      <c r="A413" s="2"/>
      <c r="B413" s="28"/>
      <c r="C413" s="6"/>
      <c r="D413" s="33"/>
      <c r="E413" s="34"/>
      <c r="F413" s="32"/>
      <c r="G413" s="32"/>
      <c r="H413" s="32"/>
      <c r="I413" s="32"/>
      <c r="J413" s="38"/>
      <c r="K413" s="53"/>
    </row>
    <row r="414" spans="1:11" x14ac:dyDescent="0.25">
      <c r="A414" s="2"/>
      <c r="B414" s="28"/>
      <c r="C414" s="29"/>
      <c r="D414" s="30"/>
      <c r="E414" s="31"/>
      <c r="F414" s="32"/>
      <c r="G414" s="32"/>
      <c r="H414" s="32"/>
      <c r="I414" s="32"/>
      <c r="J414" s="38"/>
      <c r="K414" s="53"/>
    </row>
    <row r="415" spans="1:11" x14ac:dyDescent="0.25">
      <c r="A415" s="2"/>
      <c r="B415" s="28"/>
      <c r="C415" s="6"/>
      <c r="D415" s="33"/>
      <c r="E415" s="34"/>
      <c r="F415" s="37"/>
      <c r="G415" s="37"/>
      <c r="H415" s="37"/>
      <c r="I415" s="37"/>
      <c r="J415" s="38"/>
      <c r="K415" s="53"/>
    </row>
    <row r="416" spans="1:11" x14ac:dyDescent="0.25">
      <c r="A416" s="2"/>
      <c r="B416" s="28"/>
      <c r="C416" s="6"/>
      <c r="D416" s="33"/>
      <c r="E416" s="34"/>
      <c r="F416" s="32"/>
      <c r="G416" s="32"/>
      <c r="H416" s="32"/>
      <c r="I416" s="32"/>
      <c r="J416" s="38"/>
      <c r="K416" s="53"/>
    </row>
    <row r="417" spans="1:11" x14ac:dyDescent="0.25">
      <c r="A417" s="2"/>
      <c r="B417" s="28"/>
      <c r="C417" s="29"/>
      <c r="D417" s="30"/>
      <c r="E417" s="31"/>
      <c r="F417" s="32"/>
      <c r="G417" s="32"/>
      <c r="H417" s="32"/>
      <c r="I417" s="32"/>
      <c r="J417" s="38"/>
      <c r="K417" s="53"/>
    </row>
    <row r="418" spans="1:11" x14ac:dyDescent="0.25">
      <c r="A418" s="2"/>
      <c r="B418" s="28"/>
      <c r="C418" s="29"/>
      <c r="D418" s="30"/>
      <c r="E418" s="31"/>
      <c r="F418" s="32"/>
      <c r="G418" s="32"/>
      <c r="H418" s="32"/>
      <c r="I418" s="32"/>
      <c r="J418" s="38"/>
      <c r="K418" s="53"/>
    </row>
    <row r="419" spans="1:11" x14ac:dyDescent="0.25">
      <c r="A419" s="2"/>
      <c r="B419" s="28"/>
      <c r="C419" s="6"/>
      <c r="D419" s="33"/>
      <c r="E419" s="34"/>
      <c r="F419" s="37"/>
      <c r="G419" s="37"/>
      <c r="H419" s="37"/>
      <c r="I419" s="37"/>
      <c r="J419" s="38"/>
      <c r="K419" s="53"/>
    </row>
    <row r="420" spans="1:11" x14ac:dyDescent="0.25">
      <c r="A420" s="2"/>
      <c r="B420" s="28"/>
      <c r="C420" s="6"/>
      <c r="D420" s="30"/>
      <c r="E420" s="31"/>
      <c r="F420" s="32"/>
      <c r="G420" s="32"/>
      <c r="H420" s="32"/>
      <c r="I420" s="32"/>
      <c r="J420" s="38"/>
      <c r="K420" s="53"/>
    </row>
    <row r="421" spans="1:11" x14ac:dyDescent="0.25">
      <c r="A421" s="2"/>
      <c r="B421" s="28"/>
      <c r="C421" s="6"/>
      <c r="D421" s="33"/>
      <c r="E421" s="34"/>
      <c r="F421" s="32"/>
      <c r="G421" s="32"/>
      <c r="H421" s="32"/>
      <c r="I421" s="32"/>
      <c r="J421" s="38"/>
      <c r="K421" s="53"/>
    </row>
    <row r="422" spans="1:11" x14ac:dyDescent="0.25">
      <c r="A422" s="2"/>
      <c r="B422" s="28"/>
      <c r="C422" s="6"/>
      <c r="D422" s="33"/>
      <c r="E422" s="34"/>
      <c r="F422" s="37"/>
      <c r="G422" s="37"/>
      <c r="H422" s="37"/>
      <c r="I422" s="37"/>
      <c r="J422" s="38"/>
      <c r="K422" s="53"/>
    </row>
    <row r="423" spans="1:11" x14ac:dyDescent="0.25">
      <c r="A423" s="2"/>
      <c r="B423" s="28"/>
      <c r="C423" s="6"/>
      <c r="D423" s="33"/>
      <c r="E423" s="31"/>
      <c r="F423" s="32"/>
      <c r="G423" s="32"/>
      <c r="H423" s="32"/>
      <c r="I423" s="32"/>
      <c r="J423" s="38"/>
      <c r="K423" s="53"/>
    </row>
    <row r="424" spans="1:11" x14ac:dyDescent="0.25">
      <c r="A424" s="2"/>
      <c r="B424" s="28"/>
      <c r="C424" s="6"/>
      <c r="D424" s="33"/>
      <c r="E424" s="34"/>
      <c r="F424" s="32"/>
      <c r="G424" s="32"/>
      <c r="H424" s="32"/>
      <c r="I424" s="32"/>
      <c r="J424" s="38"/>
      <c r="K424" s="53"/>
    </row>
    <row r="425" spans="1:11" x14ac:dyDescent="0.25">
      <c r="A425" s="2"/>
      <c r="B425" s="28"/>
      <c r="C425" s="6"/>
      <c r="D425" s="33"/>
      <c r="E425" s="34"/>
      <c r="F425" s="32"/>
      <c r="G425" s="32"/>
      <c r="H425" s="32"/>
      <c r="I425" s="32"/>
      <c r="J425" s="38"/>
      <c r="K425" s="53"/>
    </row>
    <row r="426" spans="1:11" x14ac:dyDescent="0.25">
      <c r="A426" s="2"/>
      <c r="B426" s="28"/>
      <c r="C426" s="6"/>
      <c r="D426" s="33"/>
      <c r="E426" s="34"/>
      <c r="F426" s="32"/>
      <c r="G426" s="32"/>
      <c r="H426" s="32"/>
      <c r="I426" s="32"/>
      <c r="J426" s="38"/>
      <c r="K426" s="53"/>
    </row>
    <row r="427" spans="1:11" x14ac:dyDescent="0.25">
      <c r="A427" s="2"/>
      <c r="B427" s="28"/>
      <c r="C427" s="29"/>
      <c r="D427" s="30"/>
      <c r="E427" s="31"/>
      <c r="F427" s="32"/>
      <c r="G427" s="32"/>
      <c r="H427" s="32"/>
      <c r="I427" s="32"/>
      <c r="J427" s="38"/>
      <c r="K427" s="53"/>
    </row>
    <row r="428" spans="1:11" x14ac:dyDescent="0.25">
      <c r="A428" s="2"/>
      <c r="B428" s="28"/>
      <c r="C428" s="6"/>
      <c r="D428" s="33"/>
      <c r="E428" s="34"/>
      <c r="F428" s="37"/>
      <c r="G428" s="37"/>
      <c r="H428" s="37"/>
      <c r="I428" s="37"/>
      <c r="J428" s="38"/>
      <c r="K428" s="53"/>
    </row>
    <row r="429" spans="1:11" x14ac:dyDescent="0.25">
      <c r="A429" s="2"/>
      <c r="B429" s="28"/>
      <c r="C429" s="6"/>
      <c r="D429" s="33"/>
      <c r="E429" s="34"/>
      <c r="F429" s="37"/>
      <c r="G429" s="37"/>
      <c r="H429" s="32"/>
      <c r="I429" s="32"/>
      <c r="J429" s="38"/>
      <c r="K429" s="53"/>
    </row>
    <row r="430" spans="1:11" x14ac:dyDescent="0.25">
      <c r="A430" s="2"/>
      <c r="B430" s="28"/>
      <c r="C430" s="6"/>
      <c r="D430" s="30"/>
      <c r="E430" s="31"/>
      <c r="F430" s="32"/>
      <c r="G430" s="32"/>
      <c r="H430" s="32"/>
      <c r="I430" s="32"/>
      <c r="J430" s="38"/>
      <c r="K430" s="53"/>
    </row>
    <row r="431" spans="1:11" x14ac:dyDescent="0.25">
      <c r="A431" s="2"/>
      <c r="B431" s="28"/>
      <c r="C431" s="6"/>
      <c r="D431" s="30"/>
      <c r="E431" s="31"/>
      <c r="F431" s="32"/>
      <c r="G431" s="32"/>
      <c r="H431" s="32"/>
      <c r="I431" s="32"/>
      <c r="J431" s="38"/>
      <c r="K431" s="53"/>
    </row>
    <row r="432" spans="1:11" x14ac:dyDescent="0.25">
      <c r="A432" s="2"/>
      <c r="B432" s="28"/>
      <c r="C432" s="6"/>
      <c r="D432" s="33"/>
      <c r="E432" s="34"/>
      <c r="F432" s="37"/>
      <c r="G432" s="37"/>
      <c r="H432" s="37"/>
      <c r="I432" s="37"/>
      <c r="J432" s="38"/>
      <c r="K432" s="53"/>
    </row>
    <row r="433" spans="1:11" x14ac:dyDescent="0.25">
      <c r="A433" s="2"/>
      <c r="B433" s="28"/>
      <c r="C433" s="29"/>
      <c r="D433" s="30"/>
      <c r="E433" s="31"/>
      <c r="F433" s="32"/>
      <c r="G433" s="32"/>
      <c r="H433" s="32"/>
      <c r="I433" s="32"/>
      <c r="J433" s="38"/>
      <c r="K433" s="53"/>
    </row>
    <row r="434" spans="1:11" x14ac:dyDescent="0.25">
      <c r="A434" s="2"/>
      <c r="B434" s="28"/>
      <c r="C434" s="6"/>
      <c r="D434" s="30"/>
      <c r="E434" s="31"/>
      <c r="F434" s="32"/>
      <c r="G434" s="32"/>
      <c r="H434" s="32"/>
      <c r="I434" s="32"/>
      <c r="J434" s="38"/>
      <c r="K434" s="53"/>
    </row>
    <row r="435" spans="1:11" x14ac:dyDescent="0.25">
      <c r="A435" s="2"/>
      <c r="B435" s="28"/>
      <c r="C435" s="29"/>
      <c r="D435" s="30"/>
      <c r="E435" s="31"/>
      <c r="F435" s="32"/>
      <c r="G435" s="32"/>
      <c r="H435" s="32"/>
      <c r="I435" s="32"/>
      <c r="J435" s="38"/>
      <c r="K435" s="53"/>
    </row>
    <row r="436" spans="1:11" x14ac:dyDescent="0.25">
      <c r="A436" s="2"/>
      <c r="B436" s="28"/>
      <c r="C436" s="6"/>
      <c r="D436" s="30"/>
      <c r="E436" s="31"/>
      <c r="F436" s="32"/>
      <c r="G436" s="32"/>
      <c r="H436" s="32"/>
      <c r="I436" s="32"/>
      <c r="J436" s="38"/>
      <c r="K436" s="53"/>
    </row>
    <row r="437" spans="1:11" x14ac:dyDescent="0.25">
      <c r="A437" s="2"/>
      <c r="B437" s="28"/>
      <c r="C437" s="29"/>
      <c r="D437" s="30"/>
      <c r="E437" s="31"/>
      <c r="F437" s="32"/>
      <c r="G437" s="32"/>
      <c r="H437" s="32"/>
      <c r="I437" s="32"/>
      <c r="J437" s="38"/>
      <c r="K437" s="53"/>
    </row>
    <row r="438" spans="1:11" x14ac:dyDescent="0.25">
      <c r="A438" s="2"/>
      <c r="B438" s="28"/>
      <c r="C438" s="6"/>
      <c r="D438" s="30"/>
      <c r="E438" s="31"/>
      <c r="F438" s="32"/>
      <c r="G438" s="32"/>
      <c r="H438" s="32"/>
      <c r="I438" s="32"/>
      <c r="J438" s="38"/>
      <c r="K438" s="53"/>
    </row>
    <row r="439" spans="1:11" x14ac:dyDescent="0.25">
      <c r="A439" s="2"/>
      <c r="B439" s="28"/>
      <c r="C439" s="29"/>
      <c r="D439" s="30"/>
      <c r="E439" s="31"/>
      <c r="F439" s="32"/>
      <c r="G439" s="32"/>
      <c r="H439" s="32"/>
      <c r="I439" s="32"/>
      <c r="J439" s="38"/>
      <c r="K439" s="53"/>
    </row>
    <row r="440" spans="1:11" x14ac:dyDescent="0.25">
      <c r="A440" s="2"/>
      <c r="B440" s="28"/>
      <c r="C440" s="6"/>
      <c r="D440" s="33"/>
      <c r="E440" s="34"/>
      <c r="F440" s="37"/>
      <c r="G440" s="32"/>
      <c r="H440" s="32"/>
      <c r="I440" s="32"/>
      <c r="J440" s="38"/>
      <c r="K440" s="53"/>
    </row>
    <row r="441" spans="1:11" x14ac:dyDescent="0.25">
      <c r="A441" s="2"/>
      <c r="B441" s="28"/>
      <c r="C441" s="6"/>
      <c r="D441" s="33"/>
      <c r="E441" s="34"/>
      <c r="F441" s="37"/>
      <c r="G441" s="37"/>
      <c r="H441" s="37"/>
      <c r="I441" s="37"/>
      <c r="J441" s="38"/>
      <c r="K441" s="53"/>
    </row>
    <row r="442" spans="1:11" x14ac:dyDescent="0.25">
      <c r="A442" s="2"/>
      <c r="B442" s="28"/>
      <c r="C442" s="6"/>
      <c r="D442" s="33"/>
      <c r="E442" s="31"/>
      <c r="F442" s="32"/>
      <c r="G442" s="32"/>
      <c r="H442" s="32"/>
      <c r="I442" s="32"/>
      <c r="J442" s="38"/>
      <c r="K442" s="53"/>
    </row>
    <row r="443" spans="1:11" x14ac:dyDescent="0.25">
      <c r="A443" s="2"/>
      <c r="B443" s="28"/>
      <c r="C443" s="6"/>
      <c r="D443" s="33"/>
      <c r="E443" s="31"/>
      <c r="F443" s="32"/>
      <c r="G443" s="32"/>
      <c r="H443" s="32"/>
      <c r="I443" s="32"/>
      <c r="J443" s="38"/>
      <c r="K443" s="53"/>
    </row>
    <row r="444" spans="1:11" x14ac:dyDescent="0.25">
      <c r="A444" s="2"/>
      <c r="B444" s="28"/>
      <c r="C444" s="6"/>
      <c r="D444" s="33"/>
      <c r="E444" s="34"/>
      <c r="F444" s="32"/>
      <c r="G444" s="32"/>
      <c r="H444" s="32"/>
      <c r="I444" s="32"/>
      <c r="J444" s="38"/>
      <c r="K444" s="53"/>
    </row>
    <row r="445" spans="1:11" x14ac:dyDescent="0.25">
      <c r="A445" s="2"/>
      <c r="B445" s="28"/>
      <c r="C445" s="6"/>
      <c r="D445" s="33"/>
      <c r="E445" s="34"/>
      <c r="F445" s="32"/>
      <c r="G445" s="32"/>
      <c r="H445" s="32"/>
      <c r="I445" s="32"/>
      <c r="J445" s="38"/>
      <c r="K445" s="53"/>
    </row>
    <row r="446" spans="1:11" x14ac:dyDescent="0.25">
      <c r="A446" s="2"/>
      <c r="B446" s="28"/>
      <c r="C446" s="6"/>
      <c r="D446" s="33"/>
      <c r="E446" s="34"/>
      <c r="F446" s="37"/>
      <c r="G446" s="37"/>
      <c r="H446" s="37"/>
      <c r="I446" s="37"/>
      <c r="J446" s="38"/>
      <c r="K446" s="53"/>
    </row>
    <row r="447" spans="1:11" x14ac:dyDescent="0.25">
      <c r="A447" s="2"/>
      <c r="B447" s="28"/>
      <c r="C447" s="6"/>
      <c r="D447" s="33"/>
      <c r="E447" s="34"/>
      <c r="F447" s="37"/>
      <c r="G447" s="37"/>
      <c r="H447" s="37"/>
      <c r="I447" s="37"/>
      <c r="J447" s="38"/>
      <c r="K447" s="53"/>
    </row>
    <row r="448" spans="1:11" x14ac:dyDescent="0.25">
      <c r="A448" s="2"/>
      <c r="B448" s="28"/>
      <c r="C448" s="6"/>
      <c r="D448" s="33"/>
      <c r="E448" s="34"/>
      <c r="F448" s="37"/>
      <c r="G448" s="37"/>
      <c r="H448" s="32"/>
      <c r="I448" s="32"/>
      <c r="J448" s="38"/>
      <c r="K448" s="53"/>
    </row>
    <row r="449" spans="1:11" x14ac:dyDescent="0.25">
      <c r="A449" s="2"/>
      <c r="B449" s="28"/>
      <c r="C449" s="6"/>
      <c r="D449" s="33"/>
      <c r="E449" s="34"/>
      <c r="F449" s="32"/>
      <c r="G449" s="32"/>
      <c r="H449" s="32"/>
      <c r="I449" s="32"/>
      <c r="J449" s="38"/>
      <c r="K449" s="53"/>
    </row>
    <row r="450" spans="1:11" x14ac:dyDescent="0.25">
      <c r="A450" s="2"/>
      <c r="B450" s="28"/>
      <c r="C450" s="29"/>
      <c r="D450" s="30"/>
      <c r="E450" s="31"/>
      <c r="F450" s="32"/>
      <c r="G450" s="32"/>
      <c r="H450" s="32"/>
      <c r="I450" s="32"/>
      <c r="J450" s="38"/>
      <c r="K450" s="53"/>
    </row>
    <row r="451" spans="1:11" x14ac:dyDescent="0.25">
      <c r="A451" s="2"/>
      <c r="B451" s="28"/>
      <c r="C451" s="6"/>
      <c r="D451" s="33"/>
      <c r="E451" s="34"/>
      <c r="F451" s="32"/>
      <c r="G451" s="32"/>
      <c r="H451" s="32"/>
      <c r="I451" s="32"/>
      <c r="J451" s="38"/>
      <c r="K451" s="53"/>
    </row>
    <row r="452" spans="1:11" x14ac:dyDescent="0.25">
      <c r="A452" s="2"/>
      <c r="B452" s="28"/>
      <c r="C452" s="6"/>
      <c r="D452" s="33"/>
      <c r="E452" s="34"/>
      <c r="F452" s="37"/>
      <c r="G452" s="37"/>
      <c r="H452" s="37"/>
      <c r="I452" s="37"/>
      <c r="J452" s="38"/>
      <c r="K452" s="53"/>
    </row>
    <row r="453" spans="1:11" x14ac:dyDescent="0.25">
      <c r="A453" s="2"/>
      <c r="B453" s="28"/>
      <c r="C453" s="29"/>
      <c r="D453" s="30"/>
      <c r="E453" s="31"/>
      <c r="F453" s="32"/>
      <c r="G453" s="32"/>
      <c r="H453" s="32"/>
      <c r="I453" s="32"/>
      <c r="J453" s="38"/>
      <c r="K453" s="53"/>
    </row>
    <row r="454" spans="1:11" x14ac:dyDescent="0.25">
      <c r="A454" s="2"/>
      <c r="B454" s="28"/>
      <c r="C454" s="6"/>
      <c r="D454" s="33"/>
      <c r="E454" s="34"/>
      <c r="F454" s="32"/>
      <c r="G454" s="32"/>
      <c r="H454" s="32"/>
      <c r="I454" s="32"/>
      <c r="J454" s="38"/>
      <c r="K454" s="53"/>
    </row>
    <row r="455" spans="1:11" x14ac:dyDescent="0.25">
      <c r="A455" s="2"/>
      <c r="B455" s="28"/>
      <c r="C455" s="6"/>
      <c r="D455" s="33"/>
      <c r="E455" s="34"/>
      <c r="F455" s="37"/>
      <c r="G455" s="37"/>
      <c r="H455" s="37"/>
      <c r="I455" s="37"/>
      <c r="J455" s="38"/>
      <c r="K455" s="53"/>
    </row>
    <row r="456" spans="1:11" x14ac:dyDescent="0.25">
      <c r="A456" s="2"/>
      <c r="B456" s="28"/>
      <c r="C456" s="6"/>
      <c r="D456" s="33"/>
      <c r="E456" s="34"/>
      <c r="F456" s="32"/>
      <c r="G456" s="32"/>
      <c r="H456" s="32"/>
      <c r="I456" s="32"/>
      <c r="J456" s="38"/>
      <c r="K456" s="53"/>
    </row>
    <row r="457" spans="1:11" x14ac:dyDescent="0.25">
      <c r="A457" s="2"/>
      <c r="B457" s="28"/>
      <c r="C457" s="29"/>
      <c r="D457" s="30"/>
      <c r="E457" s="31"/>
      <c r="F457" s="32"/>
      <c r="G457" s="32"/>
      <c r="H457" s="32"/>
      <c r="I457" s="32"/>
      <c r="J457" s="38"/>
      <c r="K457" s="53"/>
    </row>
    <row r="458" spans="1:11" x14ac:dyDescent="0.25">
      <c r="A458" s="2"/>
      <c r="B458" s="28"/>
      <c r="C458" s="6"/>
      <c r="D458" s="33"/>
      <c r="E458" s="34"/>
      <c r="F458" s="37"/>
      <c r="G458" s="37"/>
      <c r="H458" s="37"/>
      <c r="I458" s="37"/>
      <c r="J458" s="38"/>
      <c r="K458" s="53"/>
    </row>
    <row r="459" spans="1:11" x14ac:dyDescent="0.25">
      <c r="A459" s="2"/>
      <c r="B459" s="28"/>
      <c r="C459" s="29"/>
      <c r="D459" s="30"/>
      <c r="E459" s="31"/>
      <c r="F459" s="32"/>
      <c r="G459" s="32"/>
      <c r="H459" s="32"/>
      <c r="I459" s="32"/>
      <c r="J459" s="38"/>
      <c r="K459" s="53"/>
    </row>
    <row r="460" spans="1:11" x14ac:dyDescent="0.25">
      <c r="A460" s="2"/>
      <c r="B460" s="28"/>
      <c r="C460" s="6"/>
      <c r="D460" s="33"/>
      <c r="E460" s="34"/>
      <c r="F460" s="37"/>
      <c r="G460" s="37"/>
      <c r="H460" s="37"/>
      <c r="I460" s="37"/>
      <c r="J460" s="38"/>
      <c r="K460" s="53"/>
    </row>
    <row r="461" spans="1:11" x14ac:dyDescent="0.25">
      <c r="A461" s="2"/>
      <c r="B461" s="28"/>
      <c r="C461" s="6"/>
      <c r="D461" s="33"/>
      <c r="E461" s="34"/>
      <c r="F461" s="37"/>
      <c r="G461" s="37"/>
      <c r="H461" s="32"/>
      <c r="I461" s="32"/>
      <c r="J461" s="38"/>
      <c r="K461" s="53"/>
    </row>
    <row r="462" spans="1:11" x14ac:dyDescent="0.25">
      <c r="A462" s="2"/>
      <c r="B462" s="28"/>
      <c r="C462" s="6"/>
      <c r="D462" s="33"/>
      <c r="E462" s="34"/>
      <c r="F462" s="32"/>
      <c r="G462" s="32"/>
      <c r="H462" s="32"/>
      <c r="I462" s="32"/>
      <c r="J462" s="38"/>
      <c r="K462" s="53"/>
    </row>
    <row r="463" spans="1:11" x14ac:dyDescent="0.25">
      <c r="A463" s="2"/>
      <c r="B463" s="28"/>
      <c r="C463" s="6"/>
      <c r="D463" s="33"/>
      <c r="E463" s="34"/>
      <c r="F463" s="32"/>
      <c r="G463" s="32"/>
      <c r="H463" s="32"/>
      <c r="I463" s="32"/>
      <c r="J463" s="38"/>
      <c r="K463" s="53"/>
    </row>
    <row r="464" spans="1:11" x14ac:dyDescent="0.25">
      <c r="A464" s="2"/>
      <c r="B464" s="28"/>
      <c r="C464" s="6"/>
      <c r="D464" s="33"/>
      <c r="E464" s="34"/>
      <c r="F464" s="32"/>
      <c r="G464" s="32"/>
      <c r="H464" s="32"/>
      <c r="I464" s="32"/>
      <c r="J464" s="38"/>
      <c r="K464" s="53"/>
    </row>
    <row r="465" spans="1:11" x14ac:dyDescent="0.25">
      <c r="A465" s="2"/>
      <c r="B465" s="28"/>
      <c r="C465" s="6"/>
      <c r="D465" s="33"/>
      <c r="E465" s="34"/>
      <c r="F465" s="32"/>
      <c r="G465" s="32"/>
      <c r="H465" s="32"/>
      <c r="I465" s="32"/>
      <c r="J465" s="38"/>
      <c r="K465" s="53"/>
    </row>
    <row r="466" spans="1:11" x14ac:dyDescent="0.25">
      <c r="A466" s="2"/>
      <c r="B466" s="28"/>
      <c r="C466" s="29"/>
      <c r="D466" s="30"/>
      <c r="E466" s="31"/>
      <c r="F466" s="32"/>
      <c r="G466" s="32"/>
      <c r="H466" s="32"/>
      <c r="I466" s="32"/>
      <c r="J466" s="38"/>
      <c r="K466" s="53"/>
    </row>
    <row r="467" spans="1:11" x14ac:dyDescent="0.25">
      <c r="A467" s="2"/>
      <c r="B467" s="28"/>
      <c r="C467" s="6"/>
      <c r="D467" s="33"/>
      <c r="E467" s="34"/>
      <c r="F467" s="32"/>
      <c r="G467" s="32"/>
      <c r="H467" s="32"/>
      <c r="I467" s="32"/>
      <c r="J467" s="38"/>
      <c r="K467" s="53"/>
    </row>
    <row r="468" spans="1:11" x14ac:dyDescent="0.25">
      <c r="A468" s="2"/>
      <c r="B468" s="28"/>
      <c r="C468" s="6"/>
      <c r="D468" s="33"/>
      <c r="E468" s="34"/>
      <c r="F468" s="32"/>
      <c r="G468" s="32"/>
      <c r="H468" s="32"/>
      <c r="I468" s="32"/>
      <c r="J468" s="38"/>
      <c r="K468" s="53"/>
    </row>
    <row r="469" spans="1:11" x14ac:dyDescent="0.25">
      <c r="A469" s="2"/>
      <c r="B469" s="28"/>
      <c r="C469" s="6"/>
      <c r="D469" s="33"/>
      <c r="E469" s="34"/>
      <c r="F469" s="32"/>
      <c r="G469" s="32"/>
      <c r="H469" s="32"/>
      <c r="I469" s="32"/>
      <c r="J469" s="38"/>
      <c r="K469" s="53"/>
    </row>
    <row r="470" spans="1:11" x14ac:dyDescent="0.25">
      <c r="A470" s="2"/>
      <c r="B470" s="28"/>
      <c r="C470" s="6"/>
      <c r="D470" s="33"/>
      <c r="E470" s="34"/>
      <c r="F470" s="32"/>
      <c r="G470" s="32"/>
      <c r="H470" s="32"/>
      <c r="I470" s="32"/>
      <c r="J470" s="38"/>
      <c r="K470" s="53"/>
    </row>
    <row r="471" spans="1:11" x14ac:dyDescent="0.25">
      <c r="A471" s="2"/>
      <c r="B471" s="28"/>
      <c r="C471" s="6"/>
      <c r="D471" s="33"/>
      <c r="E471" s="34"/>
      <c r="F471" s="32"/>
      <c r="G471" s="32"/>
      <c r="H471" s="32"/>
      <c r="I471" s="32"/>
      <c r="J471" s="38"/>
      <c r="K471" s="53"/>
    </row>
    <row r="472" spans="1:11" x14ac:dyDescent="0.25">
      <c r="A472" s="2"/>
      <c r="B472" s="28"/>
      <c r="C472" s="6"/>
      <c r="D472" s="33"/>
      <c r="E472" s="34"/>
      <c r="F472" s="32"/>
      <c r="G472" s="32"/>
      <c r="H472" s="32"/>
      <c r="I472" s="32"/>
      <c r="J472" s="38"/>
      <c r="K472" s="53"/>
    </row>
    <row r="473" spans="1:11" x14ac:dyDescent="0.25">
      <c r="A473" s="2"/>
      <c r="B473" s="28"/>
      <c r="C473" s="6"/>
      <c r="D473" s="33"/>
      <c r="E473" s="34"/>
      <c r="F473" s="32"/>
      <c r="G473" s="32"/>
      <c r="H473" s="32"/>
      <c r="I473" s="32"/>
      <c r="J473" s="38"/>
      <c r="K473" s="53"/>
    </row>
    <row r="474" spans="1:11" x14ac:dyDescent="0.25">
      <c r="A474" s="2"/>
      <c r="B474" s="28"/>
      <c r="C474" s="6"/>
      <c r="D474" s="33"/>
      <c r="E474" s="34"/>
      <c r="F474" s="37"/>
      <c r="G474" s="37"/>
      <c r="H474" s="32"/>
      <c r="I474" s="32"/>
      <c r="J474" s="38"/>
      <c r="K474" s="53"/>
    </row>
    <row r="475" spans="1:11" x14ac:dyDescent="0.25">
      <c r="A475" s="2"/>
      <c r="B475" s="28"/>
      <c r="C475" s="29"/>
      <c r="D475" s="30"/>
      <c r="E475" s="31"/>
      <c r="F475" s="32"/>
      <c r="G475" s="32"/>
      <c r="H475" s="32"/>
      <c r="I475" s="32"/>
      <c r="J475" s="38"/>
      <c r="K475" s="53"/>
    </row>
    <row r="476" spans="1:11" x14ac:dyDescent="0.25">
      <c r="A476" s="2"/>
      <c r="B476" s="28"/>
      <c r="C476" s="29"/>
      <c r="D476" s="30"/>
      <c r="E476" s="31"/>
      <c r="F476" s="32"/>
      <c r="G476" s="32"/>
      <c r="H476" s="32"/>
      <c r="I476" s="32"/>
      <c r="J476" s="38"/>
      <c r="K476" s="53"/>
    </row>
    <row r="477" spans="1:11" x14ac:dyDescent="0.25">
      <c r="A477" s="2"/>
      <c r="B477" s="28"/>
      <c r="C477" s="6"/>
      <c r="D477" s="33"/>
      <c r="E477" s="34"/>
      <c r="F477" s="37"/>
      <c r="G477" s="37"/>
      <c r="H477" s="37"/>
      <c r="I477" s="37"/>
      <c r="J477" s="38"/>
      <c r="K477" s="53"/>
    </row>
    <row r="478" spans="1:11" x14ac:dyDescent="0.25">
      <c r="A478" s="2"/>
      <c r="B478" s="28"/>
      <c r="C478" s="6"/>
      <c r="D478" s="33"/>
      <c r="E478" s="34"/>
      <c r="F478" s="37"/>
      <c r="G478" s="37"/>
      <c r="H478" s="37"/>
      <c r="I478" s="37"/>
      <c r="J478" s="38"/>
      <c r="K478" s="53"/>
    </row>
    <row r="479" spans="1:11" x14ac:dyDescent="0.25">
      <c r="A479" s="2"/>
      <c r="B479" s="28"/>
      <c r="C479" s="6"/>
      <c r="D479" s="33"/>
      <c r="E479" s="34"/>
      <c r="F479" s="37"/>
      <c r="G479" s="32"/>
      <c r="H479" s="32"/>
      <c r="I479" s="32"/>
      <c r="J479" s="38"/>
      <c r="K479" s="53"/>
    </row>
    <row r="480" spans="1:11" x14ac:dyDescent="0.25">
      <c r="A480" s="2"/>
      <c r="B480" s="28"/>
      <c r="C480" s="29"/>
      <c r="D480" s="30"/>
      <c r="E480" s="31"/>
      <c r="F480" s="32"/>
      <c r="G480" s="32"/>
      <c r="H480" s="32"/>
      <c r="I480" s="32"/>
      <c r="J480" s="38"/>
      <c r="K480" s="53"/>
    </row>
    <row r="481" spans="1:11" x14ac:dyDescent="0.25">
      <c r="A481" s="2"/>
      <c r="B481" s="28"/>
      <c r="C481" s="6"/>
      <c r="D481" s="33"/>
      <c r="E481" s="34"/>
      <c r="F481" s="37"/>
      <c r="G481" s="37"/>
      <c r="H481" s="37"/>
      <c r="I481" s="37"/>
      <c r="J481" s="38"/>
      <c r="K481" s="53"/>
    </row>
    <row r="482" spans="1:11" x14ac:dyDescent="0.25">
      <c r="A482" s="2"/>
      <c r="B482" s="28"/>
      <c r="C482" s="29"/>
      <c r="D482" s="30"/>
      <c r="E482" s="31"/>
      <c r="F482" s="32"/>
      <c r="G482" s="32"/>
      <c r="H482" s="32"/>
      <c r="I482" s="32"/>
      <c r="J482" s="38"/>
      <c r="K482" s="53"/>
    </row>
    <row r="483" spans="1:11" x14ac:dyDescent="0.25">
      <c r="A483" s="15"/>
      <c r="B483" s="28"/>
      <c r="C483" s="29"/>
      <c r="D483" s="30"/>
      <c r="E483" s="31"/>
      <c r="F483" s="32"/>
      <c r="G483" s="32"/>
      <c r="H483" s="32"/>
      <c r="I483" s="32"/>
      <c r="J483" s="38"/>
      <c r="K483" s="53"/>
    </row>
    <row r="484" spans="1:11" x14ac:dyDescent="0.25">
      <c r="A484" s="15"/>
      <c r="B484" s="28"/>
      <c r="C484" s="6"/>
      <c r="D484" s="33"/>
      <c r="E484" s="34"/>
      <c r="F484" s="37"/>
      <c r="G484" s="37"/>
      <c r="H484" s="37"/>
      <c r="I484" s="37"/>
      <c r="J484" s="38"/>
      <c r="K484" s="53"/>
    </row>
    <row r="485" spans="1:11" x14ac:dyDescent="0.25">
      <c r="A485" s="15"/>
      <c r="B485" s="28"/>
      <c r="C485" s="29"/>
      <c r="D485" s="30"/>
      <c r="E485" s="31"/>
      <c r="F485" s="32"/>
      <c r="G485" s="32"/>
      <c r="H485" s="32"/>
      <c r="I485" s="32"/>
      <c r="J485" s="38"/>
      <c r="K485" s="53"/>
    </row>
    <row r="486" spans="1:11" x14ac:dyDescent="0.25">
      <c r="A486" s="15"/>
      <c r="B486" s="28"/>
      <c r="C486" s="6"/>
      <c r="D486" s="33"/>
      <c r="E486" s="34"/>
      <c r="F486" s="37"/>
      <c r="G486" s="37"/>
      <c r="H486" s="37"/>
      <c r="I486" s="37"/>
      <c r="J486" s="38"/>
      <c r="K486" s="53"/>
    </row>
    <row r="487" spans="1:11" x14ac:dyDescent="0.25">
      <c r="A487" s="15"/>
      <c r="B487" s="28"/>
      <c r="C487" s="6"/>
      <c r="D487" s="33"/>
      <c r="E487" s="34"/>
      <c r="F487" s="32"/>
      <c r="G487" s="32"/>
      <c r="H487" s="32"/>
      <c r="I487" s="32"/>
      <c r="J487" s="38"/>
      <c r="K487" s="53"/>
    </row>
    <row r="488" spans="1:11" x14ac:dyDescent="0.25">
      <c r="A488" s="15"/>
      <c r="B488" s="28"/>
      <c r="C488" s="6"/>
      <c r="D488" s="33"/>
      <c r="E488" s="34"/>
      <c r="F488" s="37"/>
      <c r="G488" s="37"/>
      <c r="H488" s="37"/>
      <c r="I488" s="37"/>
      <c r="J488" s="38"/>
      <c r="K488" s="53"/>
    </row>
    <row r="489" spans="1:11" x14ac:dyDescent="0.25">
      <c r="A489" s="15"/>
      <c r="B489" s="28"/>
      <c r="C489" s="29"/>
      <c r="D489" s="30"/>
      <c r="E489" s="31"/>
      <c r="F489" s="32"/>
      <c r="G489" s="32"/>
      <c r="H489" s="32"/>
      <c r="I489" s="32"/>
      <c r="J489" s="38"/>
      <c r="K489" s="53"/>
    </row>
    <row r="490" spans="1:11" x14ac:dyDescent="0.25">
      <c r="A490" s="15"/>
      <c r="B490" s="28"/>
      <c r="C490" s="6"/>
      <c r="D490" s="33"/>
      <c r="E490" s="34"/>
      <c r="F490" s="37"/>
      <c r="G490" s="37"/>
      <c r="H490" s="37"/>
      <c r="I490" s="37"/>
      <c r="J490" s="38"/>
      <c r="K490" s="53"/>
    </row>
    <row r="491" spans="1:11" x14ac:dyDescent="0.25">
      <c r="A491" s="15"/>
      <c r="B491" s="28"/>
      <c r="C491" s="29"/>
      <c r="D491" s="30"/>
      <c r="E491" s="31"/>
      <c r="F491" s="32"/>
      <c r="G491" s="32"/>
      <c r="H491" s="32"/>
      <c r="I491" s="32"/>
      <c r="J491" s="38"/>
      <c r="K491" s="53"/>
    </row>
    <row r="492" spans="1:11" x14ac:dyDescent="0.25">
      <c r="A492" s="15"/>
      <c r="B492" s="28"/>
      <c r="C492" s="6"/>
      <c r="D492" s="33"/>
      <c r="E492" s="34"/>
      <c r="F492" s="32"/>
      <c r="G492" s="32"/>
      <c r="H492" s="32"/>
      <c r="I492" s="32"/>
      <c r="J492" s="38"/>
      <c r="K492" s="53"/>
    </row>
    <row r="493" spans="1:11" x14ac:dyDescent="0.25">
      <c r="A493" s="15"/>
      <c r="B493" s="28"/>
      <c r="C493" s="29"/>
      <c r="D493" s="30"/>
      <c r="E493" s="31"/>
      <c r="F493" s="32"/>
      <c r="G493" s="32"/>
      <c r="H493" s="32"/>
      <c r="I493" s="32"/>
      <c r="J493" s="38"/>
      <c r="K493" s="53"/>
    </row>
    <row r="494" spans="1:11" x14ac:dyDescent="0.25">
      <c r="A494" s="15"/>
      <c r="B494" s="28"/>
      <c r="C494" s="6"/>
      <c r="D494" s="33"/>
      <c r="E494" s="34"/>
      <c r="F494" s="37"/>
      <c r="G494" s="37"/>
      <c r="H494" s="37"/>
      <c r="I494" s="37"/>
      <c r="J494" s="38"/>
      <c r="K494" s="53"/>
    </row>
    <row r="495" spans="1:11" x14ac:dyDescent="0.25">
      <c r="A495" s="15"/>
      <c r="B495" s="28"/>
      <c r="C495" s="6"/>
      <c r="D495" s="30"/>
      <c r="E495" s="31"/>
      <c r="F495" s="32"/>
      <c r="G495" s="32"/>
      <c r="H495" s="32"/>
      <c r="I495" s="32"/>
      <c r="J495" s="38"/>
      <c r="K495" s="53"/>
    </row>
    <row r="496" spans="1:11" x14ac:dyDescent="0.25">
      <c r="A496" s="15"/>
      <c r="B496" s="28"/>
      <c r="C496" s="6"/>
      <c r="D496" s="30"/>
      <c r="E496" s="31"/>
      <c r="F496" s="32"/>
      <c r="G496" s="32"/>
      <c r="H496" s="32"/>
      <c r="I496" s="32"/>
      <c r="J496" s="38"/>
      <c r="K496" s="53"/>
    </row>
    <row r="497" spans="1:11" x14ac:dyDescent="0.25">
      <c r="A497" s="15"/>
      <c r="B497" s="28"/>
      <c r="C497" s="6"/>
      <c r="D497" s="33"/>
      <c r="E497" s="34"/>
      <c r="F497" s="37"/>
      <c r="G497" s="37"/>
      <c r="H497" s="32"/>
      <c r="I497" s="32"/>
      <c r="J497" s="38"/>
      <c r="K497" s="53"/>
    </row>
    <row r="498" spans="1:11" x14ac:dyDescent="0.25">
      <c r="A498" s="15"/>
      <c r="B498" s="28"/>
      <c r="C498" s="6"/>
      <c r="D498" s="33"/>
      <c r="E498" s="31"/>
      <c r="F498" s="32"/>
      <c r="G498" s="32"/>
      <c r="H498" s="32"/>
      <c r="I498" s="32"/>
      <c r="J498" s="38"/>
      <c r="K498" s="53"/>
    </row>
    <row r="499" spans="1:11" x14ac:dyDescent="0.25">
      <c r="A499" s="15"/>
      <c r="B499" s="28"/>
      <c r="C499" s="6"/>
      <c r="D499" s="33"/>
      <c r="E499" s="34"/>
      <c r="F499" s="37"/>
      <c r="G499" s="37"/>
      <c r="H499" s="37"/>
      <c r="I499" s="37"/>
      <c r="J499" s="38"/>
      <c r="K499" s="53"/>
    </row>
    <row r="500" spans="1:11" x14ac:dyDescent="0.25">
      <c r="A500" s="15"/>
      <c r="B500" s="28"/>
      <c r="C500" s="6"/>
      <c r="D500" s="30"/>
      <c r="E500" s="31"/>
      <c r="F500" s="32"/>
      <c r="G500" s="32"/>
      <c r="H500" s="32"/>
      <c r="I500" s="32"/>
      <c r="J500" s="38"/>
      <c r="K500" s="53"/>
    </row>
    <row r="501" spans="1:11" x14ac:dyDescent="0.25">
      <c r="A501" s="15"/>
      <c r="B501" s="28"/>
      <c r="C501" s="6"/>
      <c r="D501" s="33"/>
      <c r="E501" s="34"/>
      <c r="F501" s="32"/>
      <c r="G501" s="32"/>
      <c r="H501" s="32"/>
      <c r="I501" s="32"/>
      <c r="J501" s="38"/>
      <c r="K501" s="53"/>
    </row>
    <row r="502" spans="1:11" x14ac:dyDescent="0.25">
      <c r="A502" s="15"/>
      <c r="B502" s="28"/>
      <c r="C502" s="6"/>
      <c r="D502" s="33"/>
      <c r="E502" s="34"/>
      <c r="F502" s="37"/>
      <c r="G502" s="37"/>
      <c r="H502" s="37"/>
      <c r="I502" s="32"/>
      <c r="J502" s="38"/>
      <c r="K502" s="53"/>
    </row>
    <row r="503" spans="1:11" x14ac:dyDescent="0.25">
      <c r="A503" s="15"/>
      <c r="B503" s="28"/>
      <c r="C503" s="6"/>
      <c r="D503" s="33"/>
      <c r="E503" s="34"/>
      <c r="F503" s="37"/>
      <c r="G503" s="37"/>
      <c r="H503" s="37"/>
      <c r="I503" s="37"/>
      <c r="J503" s="38"/>
      <c r="K503" s="53"/>
    </row>
    <row r="504" spans="1:11" x14ac:dyDescent="0.25">
      <c r="A504" s="15"/>
      <c r="B504" s="28"/>
      <c r="C504" s="6"/>
      <c r="D504" s="33"/>
      <c r="E504" s="34"/>
      <c r="F504" s="32"/>
      <c r="G504" s="32"/>
      <c r="H504" s="32"/>
      <c r="I504" s="32"/>
      <c r="J504" s="38"/>
      <c r="K504" s="53"/>
    </row>
    <row r="505" spans="1:11" x14ac:dyDescent="0.25">
      <c r="A505" s="15"/>
      <c r="B505" s="28"/>
      <c r="C505" s="29"/>
      <c r="D505" s="30"/>
      <c r="E505" s="31"/>
      <c r="F505" s="32"/>
      <c r="G505" s="32"/>
      <c r="H505" s="32"/>
      <c r="I505" s="32"/>
      <c r="J505" s="38"/>
      <c r="K505" s="53"/>
    </row>
    <row r="506" spans="1:11" x14ac:dyDescent="0.25">
      <c r="A506" s="15"/>
      <c r="B506" s="28"/>
      <c r="C506" s="6"/>
      <c r="D506" s="30"/>
      <c r="E506" s="31"/>
      <c r="F506" s="32"/>
      <c r="G506" s="32"/>
      <c r="H506" s="32"/>
      <c r="I506" s="32"/>
      <c r="J506" s="38"/>
      <c r="K506" s="53"/>
    </row>
    <row r="507" spans="1:11" x14ac:dyDescent="0.25">
      <c r="A507" s="15"/>
      <c r="B507" s="28"/>
      <c r="C507" s="6"/>
      <c r="D507" s="30"/>
      <c r="E507" s="31"/>
      <c r="F507" s="32"/>
      <c r="G507" s="32"/>
      <c r="H507" s="32"/>
      <c r="I507" s="32"/>
      <c r="J507" s="38"/>
      <c r="K507" s="53"/>
    </row>
    <row r="508" spans="1:11" x14ac:dyDescent="0.25">
      <c r="A508" s="15"/>
      <c r="B508" s="28"/>
      <c r="C508" s="6"/>
      <c r="D508" s="33"/>
      <c r="E508" s="34"/>
      <c r="F508" s="37"/>
      <c r="G508" s="37"/>
      <c r="H508" s="37"/>
      <c r="I508" s="37"/>
      <c r="J508" s="38"/>
      <c r="K508" s="53"/>
    </row>
    <row r="509" spans="1:11" x14ac:dyDescent="0.25">
      <c r="A509" s="15"/>
      <c r="B509" s="28"/>
      <c r="C509" s="6"/>
      <c r="D509" s="33"/>
      <c r="E509" s="34"/>
      <c r="F509" s="37"/>
      <c r="G509" s="37"/>
      <c r="H509" s="37"/>
      <c r="I509" s="37"/>
      <c r="J509" s="38"/>
      <c r="K509" s="53"/>
    </row>
    <row r="510" spans="1:11" x14ac:dyDescent="0.25">
      <c r="A510" s="15"/>
      <c r="B510" s="28"/>
      <c r="C510" s="29"/>
      <c r="D510" s="30"/>
      <c r="E510" s="31"/>
      <c r="F510" s="32"/>
      <c r="G510" s="32"/>
      <c r="H510" s="32"/>
      <c r="I510" s="32"/>
      <c r="J510" s="38"/>
      <c r="K510" s="53"/>
    </row>
    <row r="511" spans="1:11" x14ac:dyDescent="0.25">
      <c r="A511" s="15"/>
      <c r="B511" s="28"/>
      <c r="C511" s="6"/>
      <c r="D511" s="33"/>
      <c r="E511" s="34"/>
      <c r="F511" s="37"/>
      <c r="G511" s="37"/>
      <c r="H511" s="37"/>
      <c r="I511" s="37"/>
      <c r="J511" s="38"/>
      <c r="K511" s="53"/>
    </row>
    <row r="512" spans="1:11" x14ac:dyDescent="0.25">
      <c r="A512" s="15"/>
      <c r="B512" s="28"/>
      <c r="C512" s="6"/>
      <c r="D512" s="33"/>
      <c r="E512" s="34"/>
      <c r="F512" s="37"/>
      <c r="G512" s="37"/>
      <c r="H512" s="37"/>
      <c r="I512" s="37"/>
      <c r="J512" s="38"/>
      <c r="K512" s="53"/>
    </row>
    <row r="513" spans="1:11" x14ac:dyDescent="0.25">
      <c r="A513" s="15"/>
      <c r="B513" s="28"/>
      <c r="C513" s="6"/>
      <c r="D513" s="33"/>
      <c r="E513" s="34"/>
      <c r="F513" s="32"/>
      <c r="G513" s="32"/>
      <c r="H513" s="32"/>
      <c r="I513" s="32"/>
      <c r="J513" s="38"/>
      <c r="K513" s="53"/>
    </row>
    <row r="514" spans="1:11" x14ac:dyDescent="0.25">
      <c r="A514" s="15"/>
      <c r="B514" s="28"/>
      <c r="C514" s="6"/>
      <c r="D514" s="33"/>
      <c r="E514" s="34"/>
      <c r="F514" s="37"/>
      <c r="G514" s="37"/>
      <c r="H514" s="37"/>
      <c r="I514" s="37"/>
      <c r="J514" s="38"/>
      <c r="K514" s="53"/>
    </row>
    <row r="515" spans="1:11" x14ac:dyDescent="0.25">
      <c r="A515" s="15"/>
      <c r="B515" s="28"/>
      <c r="C515" s="6"/>
      <c r="D515" s="33"/>
      <c r="E515" s="34"/>
      <c r="F515" s="32"/>
      <c r="G515" s="32"/>
      <c r="H515" s="32"/>
      <c r="I515" s="32"/>
      <c r="J515" s="38"/>
      <c r="K515" s="53"/>
    </row>
    <row r="516" spans="1:11" x14ac:dyDescent="0.25">
      <c r="A516" s="15"/>
      <c r="B516" s="28"/>
      <c r="C516" s="6"/>
      <c r="D516" s="33"/>
      <c r="E516" s="34"/>
      <c r="F516" s="37"/>
      <c r="G516" s="37"/>
      <c r="H516" s="37"/>
      <c r="I516" s="37"/>
      <c r="J516" s="38"/>
      <c r="K516" s="53"/>
    </row>
    <row r="517" spans="1:11" x14ac:dyDescent="0.25">
      <c r="A517" s="15"/>
      <c r="B517" s="28"/>
      <c r="C517" s="29"/>
      <c r="D517" s="30"/>
      <c r="E517" s="31"/>
      <c r="F517" s="32"/>
      <c r="G517" s="32"/>
      <c r="H517" s="32"/>
      <c r="I517" s="32"/>
      <c r="J517" s="38"/>
      <c r="K517" s="53"/>
    </row>
    <row r="518" spans="1:11" x14ac:dyDescent="0.25">
      <c r="A518" s="15"/>
      <c r="B518" s="28"/>
      <c r="C518" s="6"/>
      <c r="D518" s="33"/>
      <c r="E518" s="34"/>
      <c r="F518" s="37"/>
      <c r="G518" s="37"/>
      <c r="H518" s="37"/>
      <c r="I518" s="37"/>
      <c r="J518" s="38"/>
      <c r="K518" s="53"/>
    </row>
    <row r="519" spans="1:11" x14ac:dyDescent="0.25">
      <c r="A519" s="15"/>
      <c r="B519" s="28"/>
      <c r="C519" s="6"/>
      <c r="D519" s="33"/>
      <c r="E519" s="34"/>
      <c r="F519" s="32"/>
      <c r="G519" s="32"/>
      <c r="H519" s="32"/>
      <c r="I519" s="32"/>
      <c r="J519" s="38"/>
      <c r="K519" s="53"/>
    </row>
    <row r="520" spans="1:11" x14ac:dyDescent="0.25">
      <c r="A520" s="15"/>
      <c r="B520" s="28"/>
      <c r="C520" s="6"/>
      <c r="D520" s="33"/>
      <c r="E520" s="34"/>
      <c r="F520" s="37"/>
      <c r="G520" s="37"/>
      <c r="H520" s="37"/>
      <c r="I520" s="37"/>
      <c r="J520" s="38"/>
      <c r="K520" s="53"/>
    </row>
    <row r="521" spans="1:11" x14ac:dyDescent="0.25">
      <c r="A521" s="15"/>
      <c r="B521" s="28"/>
      <c r="C521" s="6"/>
      <c r="D521" s="33"/>
      <c r="E521" s="34"/>
      <c r="F521" s="32"/>
      <c r="G521" s="32"/>
      <c r="H521" s="32"/>
      <c r="I521" s="32"/>
      <c r="J521" s="38"/>
      <c r="K521" s="53"/>
    </row>
    <row r="522" spans="1:11" x14ac:dyDescent="0.25">
      <c r="A522" s="15"/>
      <c r="B522" s="28"/>
      <c r="C522" s="6"/>
      <c r="D522" s="33"/>
      <c r="E522" s="34"/>
      <c r="F522" s="37"/>
      <c r="G522" s="37"/>
      <c r="H522" s="37"/>
      <c r="I522" s="37"/>
      <c r="J522" s="38"/>
      <c r="K522" s="53"/>
    </row>
    <row r="523" spans="1:11" x14ac:dyDescent="0.25">
      <c r="A523" s="15"/>
      <c r="B523" s="28"/>
      <c r="C523" s="6"/>
      <c r="D523" s="33"/>
      <c r="E523" s="31"/>
      <c r="F523" s="32"/>
      <c r="G523" s="32"/>
      <c r="H523" s="32"/>
      <c r="I523" s="32"/>
      <c r="J523" s="38"/>
      <c r="K523" s="53"/>
    </row>
    <row r="524" spans="1:11" x14ac:dyDescent="0.25">
      <c r="A524" s="15"/>
      <c r="B524" s="28"/>
      <c r="C524" s="29"/>
      <c r="D524" s="30"/>
      <c r="E524" s="31"/>
      <c r="F524" s="32"/>
      <c r="G524" s="32"/>
      <c r="H524" s="32"/>
      <c r="I524" s="32"/>
      <c r="J524" s="38"/>
      <c r="K524" s="53"/>
    </row>
    <row r="525" spans="1:11" x14ac:dyDescent="0.25">
      <c r="A525" s="15"/>
      <c r="B525" s="28"/>
      <c r="C525" s="6"/>
      <c r="D525" s="33"/>
      <c r="E525" s="34"/>
      <c r="F525" s="37"/>
      <c r="G525" s="37"/>
      <c r="H525" s="37"/>
      <c r="I525" s="37"/>
      <c r="J525" s="38"/>
      <c r="K525" s="53"/>
    </row>
    <row r="526" spans="1:11" x14ac:dyDescent="0.25">
      <c r="A526" s="15"/>
      <c r="B526" s="28"/>
      <c r="C526" s="29"/>
      <c r="D526" s="30"/>
      <c r="E526" s="31"/>
      <c r="F526" s="32"/>
      <c r="G526" s="32"/>
      <c r="H526" s="32"/>
      <c r="I526" s="32"/>
      <c r="J526" s="38"/>
      <c r="K526" s="53"/>
    </row>
    <row r="527" spans="1:11" x14ac:dyDescent="0.25">
      <c r="A527" s="15"/>
      <c r="B527" s="28"/>
      <c r="C527" s="6"/>
      <c r="D527" s="33"/>
      <c r="E527" s="34"/>
      <c r="F527" s="37"/>
      <c r="G527" s="37"/>
      <c r="H527" s="37"/>
      <c r="I527" s="37"/>
      <c r="J527" s="38"/>
      <c r="K527" s="53"/>
    </row>
    <row r="528" spans="1:11" x14ac:dyDescent="0.25">
      <c r="A528" s="15"/>
      <c r="B528" s="28"/>
      <c r="C528" s="6"/>
      <c r="D528" s="33"/>
      <c r="E528" s="34"/>
      <c r="F528" s="37"/>
      <c r="G528" s="37"/>
      <c r="H528" s="37"/>
      <c r="I528" s="37"/>
      <c r="J528" s="38"/>
      <c r="K528" s="53"/>
    </row>
    <row r="529" spans="1:11" x14ac:dyDescent="0.25">
      <c r="A529" s="15"/>
      <c r="B529" s="28"/>
      <c r="C529" s="6"/>
      <c r="D529" s="33"/>
      <c r="E529" s="34"/>
      <c r="F529" s="32"/>
      <c r="G529" s="32"/>
      <c r="H529" s="32"/>
      <c r="I529" s="32"/>
      <c r="J529" s="38"/>
      <c r="K529" s="53"/>
    </row>
    <row r="530" spans="1:11" x14ac:dyDescent="0.25">
      <c r="A530" s="15"/>
      <c r="B530" s="28"/>
      <c r="C530" s="6"/>
      <c r="D530" s="33"/>
      <c r="E530" s="34"/>
      <c r="F530" s="37"/>
      <c r="G530" s="37"/>
      <c r="H530" s="32"/>
      <c r="I530" s="32"/>
      <c r="J530" s="38"/>
      <c r="K530" s="53"/>
    </row>
    <row r="531" spans="1:11" x14ac:dyDescent="0.25">
      <c r="A531" s="15"/>
      <c r="B531" s="28"/>
      <c r="C531" s="6"/>
      <c r="D531" s="33"/>
      <c r="E531" s="34"/>
      <c r="F531" s="32"/>
      <c r="G531" s="32"/>
      <c r="H531" s="32"/>
      <c r="I531" s="32"/>
      <c r="J531" s="38"/>
      <c r="K531" s="53"/>
    </row>
    <row r="532" spans="1:11" x14ac:dyDescent="0.25">
      <c r="A532" s="15"/>
      <c r="B532" s="28"/>
      <c r="C532" s="29"/>
      <c r="D532" s="30"/>
      <c r="E532" s="31"/>
      <c r="F532" s="32"/>
      <c r="G532" s="32"/>
      <c r="H532" s="32"/>
      <c r="I532" s="32"/>
      <c r="J532" s="38"/>
      <c r="K532" s="53"/>
    </row>
    <row r="533" spans="1:11" x14ac:dyDescent="0.25">
      <c r="A533" s="15"/>
      <c r="B533" s="28"/>
      <c r="C533" s="6"/>
      <c r="D533" s="33"/>
      <c r="E533" s="34"/>
      <c r="F533" s="37"/>
      <c r="G533" s="37"/>
      <c r="H533" s="37"/>
      <c r="I533" s="37"/>
      <c r="J533" s="38"/>
      <c r="K533" s="53"/>
    </row>
    <row r="534" spans="1:11" x14ac:dyDescent="0.25">
      <c r="A534" s="15"/>
      <c r="B534" s="28"/>
      <c r="C534" s="6"/>
      <c r="D534" s="33"/>
      <c r="E534" s="34"/>
      <c r="F534" s="37"/>
      <c r="G534" s="37"/>
      <c r="H534" s="37"/>
      <c r="I534" s="37"/>
      <c r="J534" s="38"/>
      <c r="K534" s="53"/>
    </row>
    <row r="535" spans="1:11" x14ac:dyDescent="0.25">
      <c r="A535" s="15"/>
      <c r="B535" s="28"/>
      <c r="C535" s="6"/>
      <c r="D535" s="33"/>
      <c r="E535" s="34"/>
      <c r="F535" s="37"/>
      <c r="G535" s="37"/>
      <c r="H535" s="32"/>
      <c r="I535" s="32"/>
      <c r="J535" s="38"/>
      <c r="K535" s="53"/>
    </row>
    <row r="536" spans="1:11" x14ac:dyDescent="0.25">
      <c r="A536" s="15"/>
      <c r="B536" s="28"/>
      <c r="C536" s="6"/>
      <c r="D536" s="33"/>
      <c r="E536" s="34"/>
      <c r="F536" s="37"/>
      <c r="G536" s="37"/>
      <c r="H536" s="37"/>
      <c r="I536" s="37"/>
      <c r="J536" s="38"/>
      <c r="K536" s="53"/>
    </row>
    <row r="537" spans="1:11" x14ac:dyDescent="0.25">
      <c r="A537" s="15"/>
      <c r="B537" s="28"/>
      <c r="C537" s="6"/>
      <c r="D537" s="33"/>
      <c r="E537" s="34"/>
      <c r="F537" s="32"/>
      <c r="G537" s="32"/>
      <c r="H537" s="32"/>
      <c r="I537" s="32"/>
      <c r="J537" s="38"/>
      <c r="K537" s="53"/>
    </row>
    <row r="538" spans="1:11" x14ac:dyDescent="0.25">
      <c r="A538" s="15"/>
      <c r="B538" s="28"/>
      <c r="C538" s="29"/>
      <c r="D538" s="30"/>
      <c r="E538" s="31"/>
      <c r="F538" s="32"/>
      <c r="G538" s="32"/>
      <c r="H538" s="32"/>
      <c r="I538" s="32"/>
      <c r="J538" s="38"/>
      <c r="K538" s="53"/>
    </row>
    <row r="539" spans="1:11" x14ac:dyDescent="0.25">
      <c r="A539" s="15"/>
      <c r="B539" s="28"/>
      <c r="C539" s="6"/>
      <c r="D539" s="33"/>
      <c r="E539" s="34"/>
      <c r="F539" s="32"/>
      <c r="G539" s="32"/>
      <c r="H539" s="32"/>
      <c r="I539" s="32"/>
      <c r="J539" s="38"/>
      <c r="K539" s="53"/>
    </row>
    <row r="540" spans="1:11" x14ac:dyDescent="0.25">
      <c r="A540" s="15"/>
      <c r="B540" s="28"/>
      <c r="C540" s="6"/>
      <c r="D540" s="33"/>
      <c r="E540" s="34"/>
      <c r="F540" s="32"/>
      <c r="G540" s="32"/>
      <c r="H540" s="32"/>
      <c r="I540" s="32"/>
      <c r="J540" s="38"/>
      <c r="K540" s="53"/>
    </row>
    <row r="541" spans="1:11" x14ac:dyDescent="0.25">
      <c r="A541" s="15"/>
      <c r="B541" s="28"/>
      <c r="C541" s="6"/>
      <c r="D541" s="33"/>
      <c r="E541" s="34"/>
      <c r="F541" s="32"/>
      <c r="G541" s="32"/>
      <c r="H541" s="32"/>
      <c r="I541" s="32"/>
      <c r="J541" s="38"/>
      <c r="K541" s="53"/>
    </row>
    <row r="542" spans="1:11" x14ac:dyDescent="0.25">
      <c r="A542" s="15"/>
      <c r="B542" s="28"/>
      <c r="C542" s="6"/>
      <c r="D542" s="33"/>
      <c r="E542" s="34"/>
      <c r="F542" s="37"/>
      <c r="G542" s="32"/>
      <c r="H542" s="32"/>
      <c r="I542" s="32"/>
      <c r="J542" s="38"/>
      <c r="K542" s="53"/>
    </row>
    <row r="543" spans="1:11" x14ac:dyDescent="0.25">
      <c r="A543" s="15"/>
      <c r="B543" s="28"/>
      <c r="C543" s="6"/>
      <c r="D543" s="33"/>
      <c r="E543" s="34"/>
      <c r="F543" s="32"/>
      <c r="G543" s="32"/>
      <c r="H543" s="32"/>
      <c r="I543" s="32"/>
      <c r="J543" s="38"/>
      <c r="K543" s="53"/>
    </row>
    <row r="544" spans="1:11" x14ac:dyDescent="0.25">
      <c r="A544" s="15"/>
      <c r="B544" s="28"/>
      <c r="C544" s="29"/>
      <c r="D544" s="30"/>
      <c r="E544" s="31"/>
      <c r="F544" s="32"/>
      <c r="G544" s="32"/>
      <c r="H544" s="32"/>
      <c r="I544" s="32"/>
      <c r="J544" s="38"/>
      <c r="K544" s="53"/>
    </row>
    <row r="545" spans="1:11" x14ac:dyDescent="0.25">
      <c r="A545" s="2"/>
      <c r="B545" s="28"/>
      <c r="C545" s="6"/>
      <c r="D545" s="33"/>
      <c r="E545" s="34"/>
      <c r="F545" s="37"/>
      <c r="G545" s="37"/>
      <c r="H545" s="37"/>
      <c r="I545" s="37"/>
      <c r="J545" s="38"/>
      <c r="K545" s="53"/>
    </row>
    <row r="546" spans="1:11" x14ac:dyDescent="0.25">
      <c r="A546" s="2"/>
      <c r="B546" s="28"/>
      <c r="C546" s="6"/>
      <c r="D546" s="33"/>
      <c r="E546" s="34"/>
      <c r="F546" s="37"/>
      <c r="G546" s="37"/>
      <c r="H546" s="37"/>
      <c r="I546" s="37"/>
      <c r="J546" s="38"/>
      <c r="K546" s="53"/>
    </row>
    <row r="547" spans="1:11" x14ac:dyDescent="0.25">
      <c r="A547" s="2"/>
      <c r="B547" s="28"/>
      <c r="C547" s="6"/>
      <c r="D547" s="33"/>
      <c r="E547" s="34"/>
      <c r="F547" s="37"/>
      <c r="G547" s="37"/>
      <c r="H547" s="37"/>
      <c r="I547" s="37"/>
      <c r="J547" s="38"/>
      <c r="K547" s="53"/>
    </row>
    <row r="548" spans="1:11" x14ac:dyDescent="0.25">
      <c r="A548" s="2"/>
      <c r="B548" s="28"/>
      <c r="C548" s="6"/>
      <c r="D548" s="33"/>
      <c r="E548" s="34"/>
      <c r="F548" s="37"/>
      <c r="G548" s="37"/>
      <c r="H548" s="37"/>
      <c r="I548" s="37"/>
      <c r="J548" s="38"/>
      <c r="K548" s="53"/>
    </row>
    <row r="549" spans="1:11" x14ac:dyDescent="0.25">
      <c r="A549" s="2"/>
      <c r="B549" s="28"/>
      <c r="C549" s="29"/>
      <c r="D549" s="30"/>
      <c r="E549" s="31"/>
      <c r="F549" s="32"/>
      <c r="G549" s="32"/>
      <c r="H549" s="32"/>
      <c r="I549" s="32"/>
      <c r="J549" s="38"/>
      <c r="K549" s="53"/>
    </row>
    <row r="550" spans="1:11" x14ac:dyDescent="0.25">
      <c r="A550" s="2"/>
      <c r="B550" s="28"/>
      <c r="C550" s="6"/>
      <c r="D550" s="33"/>
      <c r="E550" s="34"/>
      <c r="F550" s="37"/>
      <c r="G550" s="37"/>
      <c r="H550" s="37"/>
      <c r="I550" s="37"/>
      <c r="J550" s="38"/>
      <c r="K550" s="53"/>
    </row>
    <row r="551" spans="1:11" x14ac:dyDescent="0.25">
      <c r="A551" s="2"/>
      <c r="B551" s="28"/>
      <c r="C551" s="6"/>
      <c r="D551" s="33"/>
      <c r="E551" s="34"/>
      <c r="F551" s="37"/>
      <c r="G551" s="37"/>
      <c r="H551" s="37"/>
      <c r="I551" s="37"/>
      <c r="J551" s="38"/>
      <c r="K551" s="53"/>
    </row>
    <row r="552" spans="1:11" x14ac:dyDescent="0.25">
      <c r="A552" s="2"/>
      <c r="B552" s="28"/>
      <c r="C552" s="6"/>
      <c r="D552" s="33"/>
      <c r="E552" s="34"/>
      <c r="F552" s="37"/>
      <c r="G552" s="37"/>
      <c r="H552" s="37"/>
      <c r="I552" s="37"/>
      <c r="J552" s="38"/>
      <c r="K552" s="53"/>
    </row>
    <row r="553" spans="1:11" x14ac:dyDescent="0.25">
      <c r="A553" s="2"/>
      <c r="B553" s="28"/>
      <c r="C553" s="6"/>
      <c r="D553" s="33"/>
      <c r="E553" s="34"/>
      <c r="F553" s="37"/>
      <c r="G553" s="37"/>
      <c r="H553" s="37"/>
      <c r="I553" s="37"/>
      <c r="J553" s="38"/>
      <c r="K553" s="53"/>
    </row>
    <row r="554" spans="1:11" x14ac:dyDescent="0.25">
      <c r="A554" s="2"/>
      <c r="B554" s="28"/>
      <c r="C554" s="6"/>
      <c r="D554" s="33"/>
      <c r="E554" s="34"/>
      <c r="F554" s="37"/>
      <c r="G554" s="37"/>
      <c r="H554" s="37"/>
      <c r="I554" s="37"/>
      <c r="J554" s="38"/>
      <c r="K554" s="53"/>
    </row>
    <row r="555" spans="1:11" x14ac:dyDescent="0.25">
      <c r="A555" s="2"/>
      <c r="B555" s="28"/>
      <c r="C555" s="6"/>
      <c r="D555" s="33"/>
      <c r="E555" s="34"/>
      <c r="F555" s="37"/>
      <c r="G555" s="37"/>
      <c r="H555" s="37"/>
      <c r="I555" s="37"/>
      <c r="J555" s="38"/>
      <c r="K555" s="53"/>
    </row>
    <row r="556" spans="1:11" x14ac:dyDescent="0.25">
      <c r="A556" s="2"/>
      <c r="B556" s="28"/>
      <c r="C556" s="6"/>
      <c r="D556" s="33"/>
      <c r="E556" s="34"/>
      <c r="F556" s="37"/>
      <c r="G556" s="37"/>
      <c r="H556" s="37"/>
      <c r="I556" s="37"/>
      <c r="J556" s="38"/>
      <c r="K556" s="53"/>
    </row>
    <row r="557" spans="1:11" x14ac:dyDescent="0.25">
      <c r="A557" s="2"/>
      <c r="B557" s="28"/>
      <c r="C557" s="6"/>
      <c r="D557" s="33"/>
      <c r="E557" s="34"/>
      <c r="F557" s="37"/>
      <c r="G557" s="37"/>
      <c r="H557" s="37"/>
      <c r="I557" s="32"/>
      <c r="J557" s="38"/>
      <c r="K557" s="53"/>
    </row>
    <row r="558" spans="1:11" x14ac:dyDescent="0.25">
      <c r="A558" s="2"/>
      <c r="B558" s="28"/>
      <c r="C558" s="6"/>
      <c r="D558" s="33"/>
      <c r="E558" s="34"/>
      <c r="F558" s="37"/>
      <c r="G558" s="37"/>
      <c r="H558" s="37"/>
      <c r="I558" s="37"/>
      <c r="J558" s="38"/>
      <c r="K558" s="53"/>
    </row>
    <row r="559" spans="1:11" x14ac:dyDescent="0.25">
      <c r="A559" s="2"/>
      <c r="B559" s="28"/>
      <c r="C559" s="6"/>
      <c r="D559" s="33"/>
      <c r="E559" s="34"/>
      <c r="F559" s="37"/>
      <c r="G559" s="37"/>
      <c r="H559" s="37"/>
      <c r="I559" s="37"/>
      <c r="J559" s="38"/>
      <c r="K559" s="53"/>
    </row>
    <row r="560" spans="1:11" x14ac:dyDescent="0.25">
      <c r="A560" s="2"/>
      <c r="B560" s="28"/>
      <c r="C560" s="6"/>
      <c r="D560" s="33"/>
      <c r="E560" s="34"/>
      <c r="F560" s="37"/>
      <c r="G560" s="37"/>
      <c r="H560" s="37"/>
      <c r="I560" s="37"/>
      <c r="J560" s="38"/>
      <c r="K560" s="53"/>
    </row>
    <row r="561" spans="1:11" x14ac:dyDescent="0.25">
      <c r="A561" s="2"/>
      <c r="B561" s="28"/>
      <c r="C561" s="6"/>
      <c r="D561" s="33"/>
      <c r="E561" s="34"/>
      <c r="F561" s="37"/>
      <c r="G561" s="37"/>
      <c r="H561" s="37"/>
      <c r="I561" s="37"/>
      <c r="J561" s="38"/>
      <c r="K561" s="53"/>
    </row>
    <row r="562" spans="1:11" x14ac:dyDescent="0.25">
      <c r="A562" s="2"/>
      <c r="B562" s="28"/>
      <c r="C562" s="6"/>
      <c r="D562" s="33"/>
      <c r="E562" s="34"/>
      <c r="F562" s="37"/>
      <c r="G562" s="37"/>
      <c r="H562" s="37"/>
      <c r="I562" s="37"/>
      <c r="J562" s="38"/>
      <c r="K562" s="53"/>
    </row>
    <row r="563" spans="1:11" x14ac:dyDescent="0.25">
      <c r="A563" s="2"/>
      <c r="B563" s="28"/>
      <c r="C563" s="6"/>
      <c r="D563" s="33"/>
      <c r="E563" s="34"/>
      <c r="F563" s="37"/>
      <c r="G563" s="37"/>
      <c r="H563" s="37"/>
      <c r="I563" s="37"/>
      <c r="J563" s="38"/>
      <c r="K563" s="53"/>
    </row>
    <row r="564" spans="1:11" x14ac:dyDescent="0.25">
      <c r="A564" s="2"/>
      <c r="B564" s="28"/>
      <c r="C564" s="6"/>
      <c r="D564" s="33"/>
      <c r="E564" s="34"/>
      <c r="F564" s="37"/>
      <c r="G564" s="37"/>
      <c r="H564" s="37"/>
      <c r="I564" s="37"/>
      <c r="J564" s="38"/>
      <c r="K564" s="53"/>
    </row>
    <row r="565" spans="1:11" x14ac:dyDescent="0.25">
      <c r="A565" s="2"/>
      <c r="B565" s="28"/>
      <c r="C565" s="29"/>
      <c r="D565" s="30"/>
      <c r="E565" s="31"/>
      <c r="F565" s="32"/>
      <c r="G565" s="32"/>
      <c r="H565" s="32"/>
      <c r="I565" s="32"/>
      <c r="J565" s="38"/>
      <c r="K565" s="53"/>
    </row>
    <row r="566" spans="1:11" x14ac:dyDescent="0.25">
      <c r="A566" s="2"/>
      <c r="B566" s="28"/>
      <c r="C566" s="6"/>
      <c r="D566" s="33"/>
      <c r="E566" s="34"/>
      <c r="F566" s="37"/>
      <c r="G566" s="37"/>
      <c r="H566" s="37"/>
      <c r="I566" s="37"/>
      <c r="J566" s="38"/>
      <c r="K566" s="53"/>
    </row>
    <row r="567" spans="1:11" x14ac:dyDescent="0.25">
      <c r="A567" s="2"/>
      <c r="B567" s="28"/>
      <c r="C567" s="6"/>
      <c r="D567" s="33"/>
      <c r="E567" s="34"/>
      <c r="F567" s="37"/>
      <c r="G567" s="37"/>
      <c r="H567" s="37"/>
      <c r="I567" s="37"/>
      <c r="J567" s="38"/>
      <c r="K567" s="53"/>
    </row>
    <row r="568" spans="1:11" x14ac:dyDescent="0.25">
      <c r="A568" s="2"/>
      <c r="B568" s="28"/>
      <c r="C568" s="6"/>
      <c r="D568" s="33"/>
      <c r="E568" s="34"/>
      <c r="F568" s="37"/>
      <c r="G568" s="37"/>
      <c r="H568" s="37"/>
      <c r="I568" s="37"/>
      <c r="J568" s="38"/>
      <c r="K568" s="53"/>
    </row>
    <row r="569" spans="1:11" x14ac:dyDescent="0.25">
      <c r="A569" s="2"/>
      <c r="B569" s="28"/>
      <c r="C569" s="6"/>
      <c r="D569" s="33"/>
      <c r="E569" s="34"/>
      <c r="F569" s="37"/>
      <c r="G569" s="37"/>
      <c r="H569" s="37"/>
      <c r="I569" s="37"/>
      <c r="J569" s="38"/>
      <c r="K569" s="53"/>
    </row>
    <row r="570" spans="1:11" x14ac:dyDescent="0.25">
      <c r="A570" s="2"/>
      <c r="B570" s="28"/>
      <c r="C570" s="6"/>
      <c r="D570" s="33"/>
      <c r="E570" s="34"/>
      <c r="F570" s="37"/>
      <c r="G570" s="37"/>
      <c r="H570" s="37"/>
      <c r="I570" s="37"/>
      <c r="J570" s="38"/>
      <c r="K570" s="53"/>
    </row>
    <row r="571" spans="1:11" x14ac:dyDescent="0.25">
      <c r="A571" s="2"/>
      <c r="B571" s="28"/>
      <c r="C571" s="6"/>
      <c r="D571" s="33"/>
      <c r="E571" s="34"/>
      <c r="F571" s="37"/>
      <c r="G571" s="37"/>
      <c r="H571" s="37"/>
      <c r="I571" s="37"/>
      <c r="J571" s="38"/>
      <c r="K571" s="53"/>
    </row>
    <row r="572" spans="1:11" x14ac:dyDescent="0.25">
      <c r="A572" s="2"/>
      <c r="B572" s="28"/>
      <c r="C572" s="6"/>
      <c r="D572" s="33"/>
      <c r="E572" s="34"/>
      <c r="F572" s="37"/>
      <c r="G572" s="37"/>
      <c r="H572" s="37"/>
      <c r="I572" s="37"/>
      <c r="J572" s="38"/>
      <c r="K572" s="53"/>
    </row>
    <row r="573" spans="1:11" x14ac:dyDescent="0.25">
      <c r="A573" s="2"/>
      <c r="B573" s="28"/>
      <c r="C573" s="6"/>
      <c r="D573" s="33"/>
      <c r="E573" s="34"/>
      <c r="F573" s="37"/>
      <c r="G573" s="37"/>
      <c r="H573" s="37"/>
      <c r="I573" s="37"/>
      <c r="J573" s="38"/>
      <c r="K573" s="53"/>
    </row>
    <row r="574" spans="1:11" x14ac:dyDescent="0.25">
      <c r="A574" s="2"/>
      <c r="B574" s="28"/>
      <c r="C574" s="6"/>
      <c r="D574" s="33"/>
      <c r="E574" s="34"/>
      <c r="F574" s="37"/>
      <c r="G574" s="37"/>
      <c r="H574" s="37"/>
      <c r="I574" s="37"/>
      <c r="J574" s="38"/>
      <c r="K574" s="53"/>
    </row>
    <row r="575" spans="1:11" x14ac:dyDescent="0.25">
      <c r="A575" s="2"/>
      <c r="B575" s="28"/>
      <c r="C575" s="6"/>
      <c r="D575" s="33"/>
      <c r="E575" s="34"/>
      <c r="F575" s="37"/>
      <c r="G575" s="37"/>
      <c r="H575" s="32"/>
      <c r="I575" s="32"/>
      <c r="J575" s="38"/>
      <c r="K575" s="53"/>
    </row>
    <row r="576" spans="1:11" x14ac:dyDescent="0.25">
      <c r="A576" s="2"/>
      <c r="B576" s="28"/>
      <c r="C576" s="6"/>
      <c r="D576" s="33"/>
      <c r="E576" s="34"/>
      <c r="F576" s="37"/>
      <c r="G576" s="37"/>
      <c r="H576" s="37"/>
      <c r="I576" s="37"/>
      <c r="J576" s="38"/>
      <c r="K576" s="53"/>
    </row>
    <row r="577" spans="1:11" x14ac:dyDescent="0.25">
      <c r="A577" s="2"/>
      <c r="B577" s="28"/>
      <c r="C577" s="6"/>
      <c r="D577" s="33"/>
      <c r="E577" s="34"/>
      <c r="F577" s="37"/>
      <c r="G577" s="37"/>
      <c r="H577" s="37"/>
      <c r="I577" s="37"/>
      <c r="J577" s="38"/>
      <c r="K577" s="53"/>
    </row>
    <row r="578" spans="1:11" x14ac:dyDescent="0.25">
      <c r="A578" s="2"/>
      <c r="B578" s="28"/>
      <c r="C578" s="6"/>
      <c r="D578" s="33"/>
      <c r="E578" s="34"/>
      <c r="F578" s="37"/>
      <c r="G578" s="37"/>
      <c r="H578" s="37"/>
      <c r="I578" s="37"/>
      <c r="J578" s="38"/>
      <c r="K578" s="53"/>
    </row>
    <row r="579" spans="1:11" x14ac:dyDescent="0.25">
      <c r="A579" s="2"/>
      <c r="B579" s="28"/>
      <c r="C579" s="6"/>
      <c r="D579" s="33"/>
      <c r="E579" s="34"/>
      <c r="F579" s="37"/>
      <c r="G579" s="37"/>
      <c r="H579" s="37"/>
      <c r="I579" s="37"/>
      <c r="J579" s="38"/>
      <c r="K579" s="53"/>
    </row>
    <row r="580" spans="1:11" x14ac:dyDescent="0.25">
      <c r="A580" s="2"/>
      <c r="B580" s="28"/>
      <c r="C580" s="6"/>
      <c r="D580" s="33"/>
      <c r="E580" s="34"/>
      <c r="F580" s="37"/>
      <c r="G580" s="37"/>
      <c r="H580" s="37"/>
      <c r="I580" s="37"/>
      <c r="J580" s="38"/>
      <c r="K580" s="53"/>
    </row>
    <row r="581" spans="1:11" ht="16.5" thickBot="1" x14ac:dyDescent="0.3">
      <c r="A581" s="18"/>
      <c r="B581" s="39"/>
      <c r="C581" s="20"/>
      <c r="D581" s="40"/>
      <c r="E581" s="41"/>
      <c r="F581" s="42"/>
      <c r="G581" s="42"/>
      <c r="H581" s="42"/>
      <c r="I581" s="42"/>
      <c r="J581" s="43"/>
      <c r="K581" s="53"/>
    </row>
    <row r="582" spans="1:11" x14ac:dyDescent="0.25">
      <c r="A582" s="2"/>
      <c r="B582" s="28"/>
      <c r="C582" s="6"/>
      <c r="D582" s="33"/>
      <c r="E582" s="34"/>
      <c r="F582" s="37"/>
      <c r="G582" s="37"/>
      <c r="H582" s="37"/>
      <c r="I582" s="37"/>
      <c r="J582" s="38"/>
      <c r="K582" s="53"/>
    </row>
    <row r="583" spans="1:11" x14ac:dyDescent="0.25">
      <c r="A583" s="2"/>
      <c r="B583" s="28"/>
      <c r="C583" s="6"/>
      <c r="D583" s="33"/>
      <c r="E583" s="34"/>
      <c r="F583" s="37"/>
      <c r="G583" s="37"/>
      <c r="H583" s="37"/>
      <c r="I583" s="37"/>
      <c r="J583" s="38"/>
      <c r="K583" s="53"/>
    </row>
    <row r="584" spans="1:11" x14ac:dyDescent="0.25">
      <c r="A584" s="1"/>
      <c r="B584" s="1"/>
      <c r="C584" s="6"/>
      <c r="D584" s="33"/>
      <c r="E584" s="34"/>
      <c r="F584" s="5"/>
      <c r="G584" s="5"/>
      <c r="H584" s="5"/>
      <c r="I584" s="5"/>
      <c r="J584" s="44"/>
      <c r="K584" s="53"/>
    </row>
    <row r="585" spans="1:11" x14ac:dyDescent="0.25">
      <c r="A585" s="1"/>
      <c r="B585" s="1"/>
      <c r="C585" s="6"/>
      <c r="D585" s="33"/>
      <c r="E585" s="34"/>
      <c r="F585" s="5"/>
      <c r="G585" s="5"/>
      <c r="H585" s="5"/>
      <c r="I585" s="5"/>
      <c r="J585" s="44"/>
      <c r="K585" s="53"/>
    </row>
    <row r="586" spans="1:11" x14ac:dyDescent="0.25">
      <c r="A586" s="1"/>
      <c r="B586" s="1"/>
      <c r="C586" s="6"/>
      <c r="D586" s="33"/>
      <c r="E586" s="34"/>
      <c r="F586" s="11"/>
      <c r="G586" s="5"/>
      <c r="H586" s="5"/>
      <c r="I586" s="5"/>
      <c r="J586" s="45"/>
      <c r="K586" s="53"/>
    </row>
    <row r="587" spans="1:11" x14ac:dyDescent="0.25">
      <c r="A587" s="1"/>
      <c r="B587" s="1"/>
      <c r="C587" s="6"/>
      <c r="D587" s="33"/>
      <c r="E587" s="34"/>
      <c r="F587" s="11"/>
      <c r="G587" s="5"/>
      <c r="H587" s="5"/>
      <c r="I587" s="5"/>
      <c r="J587" s="45"/>
      <c r="K587" s="53"/>
    </row>
    <row r="588" spans="1:11" x14ac:dyDescent="0.25">
      <c r="A588" s="1"/>
      <c r="B588" s="1"/>
      <c r="C588" s="6"/>
      <c r="D588" s="33"/>
      <c r="E588" s="34"/>
      <c r="F588" s="5"/>
      <c r="G588" s="5"/>
      <c r="H588" s="5"/>
      <c r="I588" s="5"/>
      <c r="J588" s="44"/>
      <c r="K588" s="53"/>
    </row>
    <row r="589" spans="1:11" x14ac:dyDescent="0.25">
      <c r="A589" s="1"/>
      <c r="B589" s="1"/>
      <c r="C589" s="6"/>
      <c r="D589" s="33"/>
      <c r="E589" s="34"/>
      <c r="F589" s="11"/>
      <c r="G589" s="13"/>
      <c r="H589" s="5"/>
      <c r="I589" s="5"/>
      <c r="J589" s="45"/>
      <c r="K589" s="53"/>
    </row>
    <row r="590" spans="1:11" x14ac:dyDescent="0.25">
      <c r="A590" s="1"/>
      <c r="B590" s="1"/>
      <c r="C590" s="6"/>
      <c r="D590" s="33"/>
      <c r="E590" s="34"/>
      <c r="F590" s="11"/>
      <c r="G590" s="5"/>
      <c r="H590" s="5"/>
      <c r="I590" s="5"/>
      <c r="J590" s="45"/>
      <c r="K590" s="53"/>
    </row>
    <row r="591" spans="1:11" x14ac:dyDescent="0.25">
      <c r="A591" s="1"/>
      <c r="B591" s="1"/>
      <c r="C591" s="6"/>
      <c r="D591" s="33"/>
      <c r="E591" s="34"/>
      <c r="F591" s="11"/>
      <c r="G591" s="5"/>
      <c r="H591" s="5"/>
      <c r="I591" s="5"/>
      <c r="J591" s="45"/>
      <c r="K591" s="53"/>
    </row>
    <row r="592" spans="1:11" x14ac:dyDescent="0.25">
      <c r="A592" s="1"/>
      <c r="B592" s="1"/>
      <c r="C592" s="6"/>
      <c r="D592" s="33"/>
      <c r="E592" s="34"/>
      <c r="F592" s="11"/>
      <c r="G592" s="5"/>
      <c r="H592" s="5"/>
      <c r="I592" s="5"/>
      <c r="J592" s="45"/>
      <c r="K592" s="53"/>
    </row>
    <row r="593" spans="1:11" x14ac:dyDescent="0.25">
      <c r="A593" s="1"/>
      <c r="B593" s="1"/>
      <c r="C593" s="6"/>
      <c r="D593" s="33"/>
      <c r="E593" s="34"/>
      <c r="F593" s="11"/>
      <c r="G593" s="5"/>
      <c r="H593" s="5"/>
      <c r="I593" s="5"/>
      <c r="J593" s="45"/>
      <c r="K593" s="53"/>
    </row>
    <row r="594" spans="1:11" x14ac:dyDescent="0.25">
      <c r="A594" s="1"/>
      <c r="B594" s="1"/>
      <c r="C594" s="6"/>
      <c r="D594" s="33"/>
      <c r="E594" s="34"/>
      <c r="F594" s="11"/>
      <c r="G594" s="13"/>
      <c r="H594" s="14"/>
      <c r="I594" s="14"/>
      <c r="J594" s="45"/>
      <c r="K594" s="53"/>
    </row>
    <row r="595" spans="1:11" x14ac:dyDescent="0.25">
      <c r="A595" s="1"/>
      <c r="B595" s="1"/>
      <c r="C595" s="6"/>
      <c r="D595" s="33"/>
      <c r="E595" s="34"/>
      <c r="F595" s="11"/>
      <c r="G595" s="13"/>
      <c r="H595" s="14"/>
      <c r="I595" s="14"/>
      <c r="J595" s="45"/>
      <c r="K595" s="53"/>
    </row>
    <row r="596" spans="1:11" x14ac:dyDescent="0.25">
      <c r="A596" s="1"/>
      <c r="B596" s="1"/>
      <c r="C596" s="6"/>
      <c r="D596" s="33"/>
      <c r="E596" s="34"/>
      <c r="F596" s="11"/>
      <c r="G596" s="5"/>
      <c r="H596" s="5"/>
      <c r="I596" s="5"/>
      <c r="J596" s="45"/>
      <c r="K596" s="53"/>
    </row>
    <row r="597" spans="1:11" x14ac:dyDescent="0.25">
      <c r="A597" s="1"/>
      <c r="B597" s="1"/>
      <c r="C597" s="6"/>
      <c r="D597" s="33"/>
      <c r="E597" s="34"/>
      <c r="F597" s="11"/>
      <c r="G597" s="14"/>
      <c r="H597" s="5"/>
      <c r="I597" s="5"/>
      <c r="J597" s="45"/>
      <c r="K597" s="53"/>
    </row>
    <row r="598" spans="1:11" x14ac:dyDescent="0.25">
      <c r="A598" s="1"/>
      <c r="B598" s="1"/>
      <c r="C598" s="6"/>
      <c r="D598" s="33"/>
      <c r="E598" s="34"/>
      <c r="F598" s="11"/>
      <c r="G598" s="5"/>
      <c r="H598" s="5"/>
      <c r="I598" s="5"/>
      <c r="J598" s="45"/>
      <c r="K598" s="53"/>
    </row>
    <row r="599" spans="1:11" x14ac:dyDescent="0.25">
      <c r="A599" s="1"/>
      <c r="B599" s="1"/>
      <c r="C599" s="6"/>
      <c r="D599" s="33"/>
      <c r="E599" s="34"/>
      <c r="F599" s="11"/>
      <c r="G599" s="5"/>
      <c r="H599" s="5"/>
      <c r="I599" s="5"/>
      <c r="J599" s="45"/>
      <c r="K599" s="53"/>
    </row>
    <row r="600" spans="1:11" x14ac:dyDescent="0.25">
      <c r="A600" s="1"/>
      <c r="B600" s="1"/>
      <c r="C600" s="6"/>
      <c r="D600" s="33"/>
      <c r="E600" s="34"/>
      <c r="F600" s="11"/>
      <c r="G600" s="14"/>
      <c r="H600" s="14"/>
      <c r="I600" s="14"/>
      <c r="J600" s="45"/>
      <c r="K600" s="53"/>
    </row>
    <row r="601" spans="1:11" x14ac:dyDescent="0.25">
      <c r="A601" s="1"/>
      <c r="B601" s="1"/>
      <c r="C601" s="6"/>
      <c r="D601" s="33"/>
      <c r="E601" s="34"/>
      <c r="F601" s="11"/>
      <c r="G601" s="13"/>
      <c r="H601" s="14"/>
      <c r="I601" s="14"/>
      <c r="J601" s="45"/>
      <c r="K601" s="53"/>
    </row>
    <row r="602" spans="1:11" x14ac:dyDescent="0.25">
      <c r="A602" s="1"/>
      <c r="B602" s="1"/>
      <c r="C602" s="6"/>
      <c r="D602" s="33"/>
      <c r="E602" s="34"/>
      <c r="F602" s="11"/>
      <c r="G602" s="5"/>
      <c r="H602" s="5"/>
      <c r="I602" s="5"/>
      <c r="J602" s="45"/>
      <c r="K602" s="53"/>
    </row>
    <row r="603" spans="1:11" x14ac:dyDescent="0.25">
      <c r="A603" s="1"/>
      <c r="B603" s="1"/>
      <c r="C603" s="6"/>
      <c r="D603" s="33"/>
      <c r="E603" s="34"/>
      <c r="F603" s="11"/>
      <c r="G603" s="46"/>
      <c r="H603" s="14"/>
      <c r="I603" s="14"/>
      <c r="J603" s="45"/>
      <c r="K603" s="53"/>
    </row>
    <row r="604" spans="1:11" x14ac:dyDescent="0.25">
      <c r="A604" s="1"/>
      <c r="B604" s="1"/>
      <c r="C604" s="6"/>
      <c r="D604" s="33"/>
      <c r="E604" s="34"/>
      <c r="F604" s="11"/>
      <c r="G604" s="47"/>
      <c r="H604" s="47"/>
      <c r="I604" s="47"/>
      <c r="J604" s="48"/>
      <c r="K604" s="53"/>
    </row>
    <row r="605" spans="1:11" x14ac:dyDescent="0.25">
      <c r="A605" s="1"/>
      <c r="B605" s="1"/>
      <c r="C605" s="6"/>
      <c r="D605" s="33"/>
      <c r="E605" s="34"/>
      <c r="F605" s="11"/>
      <c r="G605" s="5"/>
      <c r="H605" s="5"/>
      <c r="I605" s="5"/>
      <c r="J605" s="45"/>
      <c r="K605" s="53"/>
    </row>
    <row r="606" spans="1:11" x14ac:dyDescent="0.25">
      <c r="A606" s="1"/>
      <c r="B606" s="1"/>
      <c r="C606" s="6"/>
      <c r="D606" s="33"/>
      <c r="E606" s="34"/>
      <c r="F606" s="11"/>
      <c r="G606" s="14"/>
      <c r="H606" s="14"/>
      <c r="I606" s="14"/>
      <c r="J606" s="45"/>
      <c r="K606" s="53"/>
    </row>
    <row r="607" spans="1:11" x14ac:dyDescent="0.25">
      <c r="A607" s="1"/>
      <c r="B607" s="1"/>
      <c r="C607" s="6"/>
      <c r="D607" s="33"/>
      <c r="E607" s="34"/>
      <c r="F607" s="11"/>
      <c r="G607" s="5"/>
      <c r="H607" s="5"/>
      <c r="I607" s="5"/>
      <c r="J607" s="45"/>
      <c r="K607" s="53"/>
    </row>
    <row r="608" spans="1:11" x14ac:dyDescent="0.25">
      <c r="A608" s="1"/>
      <c r="B608" s="1"/>
      <c r="C608" s="6"/>
      <c r="D608" s="33"/>
      <c r="E608" s="34"/>
      <c r="F608" s="11"/>
      <c r="G608" s="5"/>
      <c r="H608" s="5"/>
      <c r="I608" s="5"/>
      <c r="J608" s="45"/>
      <c r="K608" s="53"/>
    </row>
    <row r="609" spans="1:11" x14ac:dyDescent="0.25">
      <c r="A609" s="1"/>
      <c r="B609" s="1"/>
      <c r="C609" s="6"/>
      <c r="D609" s="33"/>
      <c r="E609" s="34"/>
      <c r="F609" s="11"/>
      <c r="G609" s="14"/>
      <c r="H609" s="14"/>
      <c r="I609" s="14"/>
      <c r="J609" s="45"/>
      <c r="K609" s="53"/>
    </row>
    <row r="610" spans="1:11" x14ac:dyDescent="0.25">
      <c r="A610" s="1"/>
      <c r="B610" s="1"/>
      <c r="C610" s="6"/>
      <c r="D610" s="33"/>
      <c r="E610" s="34"/>
      <c r="F610" s="11"/>
      <c r="G610" s="14"/>
      <c r="H610" s="14"/>
      <c r="I610" s="14"/>
      <c r="J610" s="45"/>
      <c r="K610" s="53"/>
    </row>
    <row r="611" spans="1:11" x14ac:dyDescent="0.25">
      <c r="A611" s="1"/>
      <c r="B611" s="1"/>
      <c r="C611" s="6"/>
      <c r="D611" s="33"/>
      <c r="E611" s="34"/>
      <c r="F611" s="11"/>
      <c r="G611" s="5"/>
      <c r="H611" s="5"/>
      <c r="I611" s="5"/>
      <c r="J611" s="45"/>
      <c r="K611" s="53"/>
    </row>
    <row r="612" spans="1:11" x14ac:dyDescent="0.25">
      <c r="A612" s="1"/>
      <c r="B612" s="1"/>
      <c r="C612" s="6"/>
      <c r="D612" s="33"/>
      <c r="E612" s="34"/>
      <c r="F612" s="11"/>
      <c r="G612" s="5"/>
      <c r="H612" s="5"/>
      <c r="I612" s="5"/>
      <c r="J612" s="45"/>
      <c r="K612" s="53"/>
    </row>
    <row r="613" spans="1:11" x14ac:dyDescent="0.25">
      <c r="A613" s="1"/>
      <c r="B613" s="1"/>
      <c r="C613" s="6"/>
      <c r="D613" s="33"/>
      <c r="E613" s="34"/>
      <c r="F613" s="11"/>
      <c r="G613" s="14"/>
      <c r="H613" s="14"/>
      <c r="I613" s="14"/>
      <c r="J613" s="45"/>
      <c r="K613" s="53"/>
    </row>
    <row r="614" spans="1:11" x14ac:dyDescent="0.25">
      <c r="A614" s="1"/>
      <c r="B614" s="1"/>
      <c r="C614" s="6"/>
      <c r="D614" s="33"/>
      <c r="E614" s="34"/>
      <c r="F614" s="11"/>
      <c r="G614" s="5"/>
      <c r="H614" s="5"/>
      <c r="I614" s="5"/>
      <c r="J614" s="45"/>
      <c r="K614" s="53"/>
    </row>
    <row r="615" spans="1:11" x14ac:dyDescent="0.25">
      <c r="A615" s="1"/>
      <c r="B615" s="1"/>
      <c r="C615" s="6"/>
      <c r="D615" s="33"/>
      <c r="E615" s="34"/>
      <c r="F615" s="11"/>
      <c r="G615" s="5"/>
      <c r="H615" s="5"/>
      <c r="I615" s="5"/>
      <c r="J615" s="45"/>
      <c r="K615" s="53"/>
    </row>
    <row r="616" spans="1:11" x14ac:dyDescent="0.25">
      <c r="A616" s="1"/>
      <c r="B616" s="1"/>
      <c r="C616" s="6"/>
      <c r="D616" s="33"/>
      <c r="E616" s="34"/>
      <c r="F616" s="11"/>
      <c r="G616" s="14"/>
      <c r="H616" s="14"/>
      <c r="I616" s="14"/>
      <c r="J616" s="45"/>
      <c r="K616" s="53"/>
    </row>
    <row r="617" spans="1:11" x14ac:dyDescent="0.25">
      <c r="A617" s="1"/>
      <c r="B617" s="1"/>
      <c r="C617" s="6"/>
      <c r="D617" s="33"/>
      <c r="E617" s="34"/>
      <c r="F617" s="11"/>
      <c r="G617" s="14"/>
      <c r="H617" s="14"/>
      <c r="I617" s="14"/>
      <c r="J617" s="45"/>
      <c r="K617" s="53"/>
    </row>
    <row r="618" spans="1:11" x14ac:dyDescent="0.25">
      <c r="A618" s="1"/>
      <c r="B618" s="1"/>
      <c r="C618" s="6"/>
      <c r="D618" s="33"/>
      <c r="E618" s="34"/>
      <c r="F618" s="11"/>
      <c r="G618" s="5"/>
      <c r="H618" s="5"/>
      <c r="I618" s="5"/>
      <c r="J618" s="45"/>
      <c r="K618" s="53"/>
    </row>
    <row r="619" spans="1:11" x14ac:dyDescent="0.25">
      <c r="A619" s="1"/>
      <c r="B619" s="1"/>
      <c r="C619" s="6"/>
      <c r="D619" s="33"/>
      <c r="E619" s="34"/>
      <c r="F619" s="11"/>
      <c r="G619" s="5"/>
      <c r="H619" s="5"/>
      <c r="I619" s="5"/>
      <c r="J619" s="45"/>
      <c r="K619" s="53"/>
    </row>
    <row r="620" spans="1:11" x14ac:dyDescent="0.25">
      <c r="A620" s="1"/>
      <c r="B620" s="1"/>
      <c r="C620" s="6"/>
      <c r="D620" s="33"/>
      <c r="E620" s="34"/>
      <c r="F620" s="11"/>
      <c r="G620" s="14"/>
      <c r="H620" s="14"/>
      <c r="I620" s="14"/>
      <c r="J620" s="45"/>
      <c r="K620" s="53"/>
    </row>
    <row r="621" spans="1:11" x14ac:dyDescent="0.25">
      <c r="A621" s="1"/>
      <c r="B621" s="1"/>
      <c r="C621" s="6"/>
      <c r="D621" s="33"/>
      <c r="E621" s="34"/>
      <c r="F621" s="11"/>
      <c r="G621" s="14"/>
      <c r="H621" s="14"/>
      <c r="I621" s="14"/>
      <c r="J621" s="45"/>
      <c r="K621" s="53"/>
    </row>
    <row r="622" spans="1:11" x14ac:dyDescent="0.25">
      <c r="A622" s="1"/>
      <c r="B622" s="1"/>
      <c r="C622" s="6"/>
      <c r="D622" s="33"/>
      <c r="E622" s="34"/>
      <c r="F622" s="11"/>
      <c r="G622" s="5"/>
      <c r="H622" s="5"/>
      <c r="I622" s="5"/>
      <c r="J622" s="45"/>
      <c r="K622" s="53"/>
    </row>
    <row r="623" spans="1:11" x14ac:dyDescent="0.25">
      <c r="A623" s="1"/>
      <c r="B623" s="1"/>
      <c r="C623" s="6"/>
      <c r="D623" s="33"/>
      <c r="E623" s="34"/>
      <c r="F623" s="11"/>
      <c r="G623" s="14"/>
      <c r="H623" s="14"/>
      <c r="I623" s="14"/>
      <c r="J623" s="45"/>
      <c r="K623" s="53"/>
    </row>
    <row r="624" spans="1:11" x14ac:dyDescent="0.25">
      <c r="A624" s="1"/>
      <c r="B624" s="1"/>
      <c r="C624" s="6"/>
      <c r="D624" s="33"/>
      <c r="E624" s="34"/>
      <c r="F624" s="11"/>
      <c r="G624" s="5"/>
      <c r="H624" s="5"/>
      <c r="I624" s="5"/>
      <c r="J624" s="45"/>
      <c r="K624" s="53"/>
    </row>
    <row r="625" spans="1:11" x14ac:dyDescent="0.25">
      <c r="A625" s="1"/>
      <c r="B625" s="1"/>
      <c r="C625" s="6"/>
      <c r="D625" s="33"/>
      <c r="E625" s="34"/>
      <c r="F625" s="11"/>
      <c r="G625" s="5"/>
      <c r="H625" s="5"/>
      <c r="I625" s="5"/>
      <c r="J625" s="45"/>
      <c r="K625" s="53"/>
    </row>
    <row r="626" spans="1:11" x14ac:dyDescent="0.25">
      <c r="A626" s="1"/>
      <c r="B626" s="1"/>
      <c r="C626" s="6"/>
      <c r="D626" s="33"/>
      <c r="E626" s="34"/>
      <c r="F626" s="11"/>
      <c r="G626" s="14"/>
      <c r="H626" s="14"/>
      <c r="I626" s="5"/>
      <c r="J626" s="45"/>
      <c r="K626" s="53"/>
    </row>
    <row r="627" spans="1:11" x14ac:dyDescent="0.25">
      <c r="A627" s="1"/>
      <c r="B627" s="1"/>
      <c r="C627" s="6"/>
      <c r="D627" s="33"/>
      <c r="E627" s="34"/>
      <c r="F627" s="11"/>
      <c r="G627" s="14"/>
      <c r="H627" s="14"/>
      <c r="I627" s="14"/>
      <c r="J627" s="45"/>
      <c r="K627" s="53"/>
    </row>
    <row r="628" spans="1:11" x14ac:dyDescent="0.25">
      <c r="A628" s="1"/>
      <c r="B628" s="1"/>
      <c r="C628" s="6"/>
      <c r="D628" s="33"/>
      <c r="E628" s="34"/>
      <c r="F628" s="11"/>
      <c r="G628" s="14"/>
      <c r="H628" s="14"/>
      <c r="I628" s="14"/>
      <c r="J628" s="45"/>
      <c r="K628" s="53"/>
    </row>
    <row r="629" spans="1:11" x14ac:dyDescent="0.25">
      <c r="A629" s="1"/>
      <c r="B629" s="1"/>
      <c r="C629" s="6"/>
      <c r="D629" s="33"/>
      <c r="E629" s="34"/>
      <c r="F629" s="11"/>
      <c r="G629" s="14"/>
      <c r="H629" s="14"/>
      <c r="I629" s="14"/>
      <c r="J629" s="45"/>
      <c r="K629" s="53"/>
    </row>
    <row r="630" spans="1:11" x14ac:dyDescent="0.25">
      <c r="A630" s="1"/>
      <c r="B630" s="1"/>
      <c r="C630" s="6"/>
      <c r="D630" s="33"/>
      <c r="E630" s="34"/>
      <c r="F630" s="11"/>
      <c r="G630" s="5"/>
      <c r="H630" s="5"/>
      <c r="I630" s="5"/>
      <c r="J630" s="45"/>
      <c r="K630" s="53"/>
    </row>
    <row r="631" spans="1:11" x14ac:dyDescent="0.25">
      <c r="A631" s="1"/>
      <c r="B631" s="1"/>
      <c r="C631" s="6"/>
      <c r="D631" s="33"/>
      <c r="E631" s="34"/>
      <c r="F631" s="11"/>
      <c r="G631" s="14"/>
      <c r="H631" s="14"/>
      <c r="I631" s="14"/>
      <c r="J631" s="45"/>
      <c r="K631" s="53"/>
    </row>
    <row r="632" spans="1:11" x14ac:dyDescent="0.25">
      <c r="A632" s="1"/>
      <c r="B632" s="1"/>
      <c r="C632" s="6"/>
      <c r="D632" s="33"/>
      <c r="E632" s="34"/>
      <c r="F632" s="11"/>
      <c r="G632" s="14"/>
      <c r="H632" s="14"/>
      <c r="I632" s="14"/>
      <c r="J632" s="45"/>
      <c r="K632" s="53"/>
    </row>
    <row r="633" spans="1:11" x14ac:dyDescent="0.25">
      <c r="A633" s="1"/>
      <c r="B633" s="1"/>
      <c r="C633" s="6"/>
      <c r="D633" s="33"/>
      <c r="E633" s="34"/>
      <c r="F633" s="11"/>
      <c r="G633" s="5"/>
      <c r="H633" s="5"/>
      <c r="I633" s="5"/>
      <c r="J633" s="45"/>
      <c r="K633" s="53"/>
    </row>
    <row r="634" spans="1:11" x14ac:dyDescent="0.25">
      <c r="A634" s="1"/>
      <c r="B634" s="1"/>
      <c r="C634" s="6"/>
      <c r="D634" s="33"/>
      <c r="E634" s="34"/>
      <c r="F634" s="11"/>
      <c r="G634" s="5"/>
      <c r="H634" s="5"/>
      <c r="I634" s="5"/>
      <c r="J634" s="45"/>
      <c r="K634" s="53"/>
    </row>
    <row r="635" spans="1:11" x14ac:dyDescent="0.25">
      <c r="A635" s="1"/>
      <c r="B635" s="1"/>
      <c r="C635" s="6"/>
      <c r="D635" s="33"/>
      <c r="E635" s="34"/>
      <c r="F635" s="11"/>
      <c r="G635" s="14"/>
      <c r="H635" s="5"/>
      <c r="I635" s="5"/>
      <c r="J635" s="45"/>
      <c r="K635" s="53"/>
    </row>
    <row r="636" spans="1:11" x14ac:dyDescent="0.25">
      <c r="A636" s="1"/>
      <c r="B636" s="1"/>
      <c r="C636" s="6"/>
      <c r="D636" s="33"/>
      <c r="E636" s="34"/>
      <c r="F636" s="11"/>
      <c r="G636" s="5"/>
      <c r="H636" s="5"/>
      <c r="I636" s="5"/>
      <c r="J636" s="45"/>
      <c r="K636" s="53"/>
    </row>
    <row r="637" spans="1:11" x14ac:dyDescent="0.25">
      <c r="A637" s="1"/>
      <c r="B637" s="1"/>
      <c r="C637" s="6"/>
      <c r="D637" s="33"/>
      <c r="E637" s="34"/>
      <c r="F637" s="11"/>
      <c r="G637" s="5"/>
      <c r="H637" s="5"/>
      <c r="I637" s="5"/>
      <c r="J637" s="45"/>
      <c r="K637" s="53"/>
    </row>
    <row r="638" spans="1:11" x14ac:dyDescent="0.25">
      <c r="A638" s="1"/>
      <c r="B638" s="1"/>
      <c r="C638" s="6"/>
      <c r="D638" s="33"/>
      <c r="E638" s="34"/>
      <c r="F638" s="11"/>
      <c r="G638" s="5"/>
      <c r="H638" s="5"/>
      <c r="I638" s="5"/>
      <c r="J638" s="45"/>
      <c r="K638" s="53"/>
    </row>
    <row r="639" spans="1:11" x14ac:dyDescent="0.25">
      <c r="A639" s="1"/>
      <c r="B639" s="1"/>
      <c r="C639" s="6"/>
      <c r="D639" s="33"/>
      <c r="E639" s="34"/>
      <c r="F639" s="11"/>
      <c r="G639" s="5"/>
      <c r="H639" s="5"/>
      <c r="I639" s="5"/>
      <c r="J639" s="45"/>
      <c r="K639" s="53"/>
    </row>
    <row r="640" spans="1:11" x14ac:dyDescent="0.25">
      <c r="A640" s="1"/>
      <c r="B640" s="1"/>
      <c r="C640" s="6"/>
      <c r="D640" s="33"/>
      <c r="E640" s="34"/>
      <c r="F640" s="11"/>
      <c r="G640" s="5"/>
      <c r="H640" s="5"/>
      <c r="I640" s="5"/>
      <c r="J640" s="45"/>
      <c r="K640" s="53"/>
    </row>
    <row r="641" spans="1:11" x14ac:dyDescent="0.25">
      <c r="A641" s="28"/>
      <c r="B641" s="1"/>
      <c r="C641" s="6"/>
      <c r="D641" s="33"/>
      <c r="E641" s="34"/>
      <c r="F641" s="11"/>
      <c r="G641" s="5"/>
      <c r="H641" s="5"/>
      <c r="I641" s="5"/>
      <c r="J641" s="45"/>
      <c r="K641" s="53"/>
    </row>
    <row r="642" spans="1:11" x14ac:dyDescent="0.25">
      <c r="A642" s="28"/>
      <c r="B642" s="1"/>
      <c r="C642" s="6"/>
      <c r="D642" s="33"/>
      <c r="E642" s="34"/>
      <c r="F642" s="11"/>
      <c r="G642" s="14"/>
      <c r="H642" s="14"/>
      <c r="I642" s="14"/>
      <c r="J642" s="45"/>
      <c r="K642" s="53"/>
    </row>
    <row r="643" spans="1:11" x14ac:dyDescent="0.25">
      <c r="A643" s="28"/>
      <c r="B643" s="1"/>
      <c r="C643" s="6"/>
      <c r="D643" s="33"/>
      <c r="E643" s="34"/>
      <c r="F643" s="11"/>
      <c r="G643" s="5"/>
      <c r="H643" s="5"/>
      <c r="I643" s="5"/>
      <c r="J643" s="45"/>
      <c r="K643" s="53"/>
    </row>
    <row r="644" spans="1:11" x14ac:dyDescent="0.25">
      <c r="A644" s="28"/>
      <c r="B644" s="1"/>
      <c r="C644" s="6"/>
      <c r="D644" s="33"/>
      <c r="E644" s="34"/>
      <c r="F644" s="11"/>
      <c r="G644" s="5"/>
      <c r="H644" s="5"/>
      <c r="I644" s="5"/>
      <c r="J644" s="45"/>
      <c r="K644" s="53"/>
    </row>
    <row r="645" spans="1:11" x14ac:dyDescent="0.25">
      <c r="A645" s="28"/>
      <c r="B645" s="1"/>
      <c r="C645" s="6"/>
      <c r="D645" s="33"/>
      <c r="E645" s="34"/>
      <c r="F645" s="11"/>
      <c r="G645" s="5"/>
      <c r="H645" s="5"/>
      <c r="I645" s="5"/>
      <c r="J645" s="45"/>
      <c r="K645" s="53"/>
    </row>
    <row r="646" spans="1:11" x14ac:dyDescent="0.25">
      <c r="A646" s="28"/>
      <c r="B646" s="1"/>
      <c r="C646" s="6"/>
      <c r="D646" s="33"/>
      <c r="E646" s="34"/>
      <c r="F646" s="11"/>
      <c r="G646" s="5"/>
      <c r="H646" s="5"/>
      <c r="I646" s="5"/>
      <c r="J646" s="45"/>
      <c r="K646" s="53"/>
    </row>
    <row r="647" spans="1:11" x14ac:dyDescent="0.25">
      <c r="A647" s="28"/>
      <c r="B647" s="1"/>
      <c r="C647" s="6"/>
      <c r="D647" s="33"/>
      <c r="E647" s="34"/>
      <c r="F647" s="11"/>
      <c r="G647" s="5"/>
      <c r="H647" s="5"/>
      <c r="I647" s="5"/>
      <c r="J647" s="45"/>
      <c r="K647" s="53"/>
    </row>
    <row r="648" spans="1:11" x14ac:dyDescent="0.25">
      <c r="A648" s="28"/>
      <c r="B648" s="1"/>
      <c r="C648" s="6"/>
      <c r="D648" s="33"/>
      <c r="E648" s="34"/>
      <c r="F648" s="11"/>
      <c r="G648" s="14"/>
      <c r="H648" s="14"/>
      <c r="I648" s="14"/>
      <c r="J648" s="45"/>
      <c r="K648" s="53"/>
    </row>
    <row r="649" spans="1:11" x14ac:dyDescent="0.25">
      <c r="A649" s="28"/>
      <c r="B649" s="1"/>
      <c r="C649" s="6"/>
      <c r="D649" s="33"/>
      <c r="E649" s="34"/>
      <c r="F649" s="11"/>
      <c r="G649" s="14"/>
      <c r="H649" s="14"/>
      <c r="I649" s="5"/>
      <c r="J649" s="45"/>
      <c r="K649" s="53"/>
    </row>
    <row r="650" spans="1:11" x14ac:dyDescent="0.25">
      <c r="A650" s="28"/>
      <c r="B650" s="1"/>
      <c r="C650" s="6"/>
      <c r="D650" s="33"/>
      <c r="E650" s="34"/>
      <c r="F650" s="11"/>
      <c r="G650" s="14"/>
      <c r="H650" s="14"/>
      <c r="I650" s="14"/>
      <c r="J650" s="45"/>
      <c r="K650" s="53"/>
    </row>
    <row r="651" spans="1:11" x14ac:dyDescent="0.25">
      <c r="A651" s="28"/>
      <c r="B651" s="1"/>
      <c r="C651" s="6"/>
      <c r="D651" s="33"/>
      <c r="E651" s="34"/>
      <c r="F651" s="11"/>
      <c r="G651" s="14"/>
      <c r="H651" s="14"/>
      <c r="I651" s="14"/>
      <c r="J651" s="45"/>
      <c r="K651" s="53"/>
    </row>
    <row r="652" spans="1:11" x14ac:dyDescent="0.25">
      <c r="A652" s="28"/>
      <c r="B652" s="1"/>
      <c r="C652" s="6"/>
      <c r="D652" s="33"/>
      <c r="E652" s="34"/>
      <c r="F652" s="11"/>
      <c r="G652" s="14"/>
      <c r="H652" s="14"/>
      <c r="I652" s="14"/>
      <c r="J652" s="45"/>
      <c r="K652" s="53"/>
    </row>
    <row r="653" spans="1:11" x14ac:dyDescent="0.25">
      <c r="A653" s="28"/>
      <c r="B653" s="1"/>
      <c r="C653" s="6"/>
      <c r="D653" s="33"/>
      <c r="E653" s="34"/>
      <c r="F653" s="11"/>
      <c r="G653" s="5"/>
      <c r="H653" s="5"/>
      <c r="I653" s="5"/>
      <c r="J653" s="45"/>
      <c r="K653" s="53"/>
    </row>
    <row r="654" spans="1:11" x14ac:dyDescent="0.25">
      <c r="A654" s="28"/>
      <c r="B654" s="1"/>
      <c r="C654" s="6"/>
      <c r="D654" s="33"/>
      <c r="E654" s="34"/>
      <c r="F654" s="11"/>
      <c r="G654" s="14"/>
      <c r="H654" s="14"/>
      <c r="I654" s="14"/>
      <c r="J654" s="45"/>
      <c r="K654" s="53"/>
    </row>
    <row r="655" spans="1:11" x14ac:dyDescent="0.25">
      <c r="A655" s="28"/>
      <c r="B655" s="1"/>
      <c r="C655" s="6"/>
      <c r="D655" s="33"/>
      <c r="E655" s="34"/>
      <c r="F655" s="11"/>
      <c r="G655" s="5"/>
      <c r="H655" s="5"/>
      <c r="I655" s="5"/>
      <c r="J655" s="45"/>
      <c r="K655" s="53"/>
    </row>
    <row r="656" spans="1:11" x14ac:dyDescent="0.25">
      <c r="A656" s="28"/>
      <c r="B656" s="1"/>
      <c r="C656" s="6"/>
      <c r="D656" s="33"/>
      <c r="E656" s="34"/>
      <c r="F656" s="11"/>
      <c r="G656" s="14"/>
      <c r="H656" s="14"/>
      <c r="I656" s="14"/>
      <c r="J656" s="45"/>
      <c r="K656" s="53"/>
    </row>
    <row r="657" spans="1:11" x14ac:dyDescent="0.25">
      <c r="A657" s="28"/>
      <c r="B657" s="1"/>
      <c r="C657" s="6"/>
      <c r="D657" s="33"/>
      <c r="E657" s="34"/>
      <c r="F657" s="11"/>
      <c r="G657" s="5"/>
      <c r="H657" s="5"/>
      <c r="I657" s="5"/>
      <c r="J657" s="45"/>
      <c r="K657" s="53"/>
    </row>
    <row r="658" spans="1:11" x14ac:dyDescent="0.25">
      <c r="A658" s="28"/>
      <c r="B658" s="1"/>
      <c r="C658" s="6"/>
      <c r="D658" s="33"/>
      <c r="E658" s="34"/>
      <c r="F658" s="11"/>
      <c r="G658" s="11"/>
      <c r="H658" s="11"/>
      <c r="I658" s="11"/>
      <c r="J658" s="45"/>
      <c r="K658" s="53"/>
    </row>
    <row r="659" spans="1:11" x14ac:dyDescent="0.25">
      <c r="A659" s="28"/>
      <c r="B659" s="1"/>
      <c r="C659" s="6"/>
      <c r="D659" s="33"/>
      <c r="E659" s="34"/>
      <c r="F659" s="11"/>
      <c r="G659" s="14"/>
      <c r="H659" s="14"/>
      <c r="I659" s="14"/>
      <c r="J659" s="45"/>
      <c r="K659" s="53"/>
    </row>
    <row r="660" spans="1:11" x14ac:dyDescent="0.25">
      <c r="A660" s="28"/>
      <c r="B660" s="1"/>
      <c r="C660" s="6"/>
      <c r="D660" s="33"/>
      <c r="E660" s="34"/>
      <c r="F660" s="11"/>
      <c r="G660" s="14"/>
      <c r="H660" s="14"/>
      <c r="I660" s="14"/>
      <c r="J660" s="45"/>
      <c r="K660" s="53"/>
    </row>
    <row r="661" spans="1:11" x14ac:dyDescent="0.25">
      <c r="A661" s="28"/>
      <c r="B661" s="1"/>
      <c r="C661" s="6"/>
      <c r="D661" s="33"/>
      <c r="E661" s="34"/>
      <c r="F661" s="11"/>
      <c r="G661" s="5"/>
      <c r="H661" s="5"/>
      <c r="I661" s="5"/>
      <c r="J661" s="45"/>
      <c r="K661" s="53"/>
    </row>
    <row r="662" spans="1:11" x14ac:dyDescent="0.25">
      <c r="A662" s="28"/>
      <c r="B662" s="1"/>
      <c r="C662" s="6"/>
      <c r="D662" s="33"/>
      <c r="E662" s="34"/>
      <c r="F662" s="11"/>
      <c r="G662" s="14"/>
      <c r="H662" s="14"/>
      <c r="I662" s="14"/>
      <c r="J662" s="45"/>
      <c r="K662" s="53"/>
    </row>
    <row r="663" spans="1:11" x14ac:dyDescent="0.25">
      <c r="A663" s="28"/>
      <c r="B663" s="1"/>
      <c r="C663" s="6"/>
      <c r="D663" s="33"/>
      <c r="E663" s="34"/>
      <c r="F663" s="11"/>
      <c r="G663" s="5"/>
      <c r="H663" s="5"/>
      <c r="I663" s="5"/>
      <c r="J663" s="45"/>
      <c r="K663" s="53"/>
    </row>
    <row r="664" spans="1:11" x14ac:dyDescent="0.25">
      <c r="A664" s="28"/>
      <c r="B664" s="1"/>
      <c r="C664" s="6"/>
      <c r="D664" s="33"/>
      <c r="E664" s="34"/>
      <c r="F664" s="11"/>
      <c r="G664" s="14"/>
      <c r="H664" s="5"/>
      <c r="I664" s="5"/>
      <c r="J664" s="45"/>
      <c r="K664" s="53"/>
    </row>
    <row r="665" spans="1:11" x14ac:dyDescent="0.25">
      <c r="A665" s="28"/>
      <c r="B665" s="1"/>
      <c r="C665" s="6"/>
      <c r="D665" s="33"/>
      <c r="E665" s="34"/>
      <c r="F665" s="11"/>
      <c r="G665" s="5"/>
      <c r="H665" s="5"/>
      <c r="I665" s="5"/>
      <c r="J665" s="45"/>
      <c r="K665" s="53"/>
    </row>
    <row r="666" spans="1:11" x14ac:dyDescent="0.25">
      <c r="A666" s="28"/>
      <c r="B666" s="1"/>
      <c r="C666" s="6"/>
      <c r="D666" s="33"/>
      <c r="E666" s="34"/>
      <c r="F666" s="11"/>
      <c r="G666" s="14"/>
      <c r="H666" s="14"/>
      <c r="I666" s="14"/>
      <c r="J666" s="45"/>
      <c r="K666" s="53"/>
    </row>
    <row r="667" spans="1:11" x14ac:dyDescent="0.25">
      <c r="A667" s="28"/>
      <c r="B667" s="1"/>
      <c r="C667" s="6"/>
      <c r="D667" s="33"/>
      <c r="E667" s="34"/>
      <c r="F667" s="11"/>
      <c r="G667" s="14"/>
      <c r="H667" s="5"/>
      <c r="I667" s="5"/>
      <c r="J667" s="45"/>
      <c r="K667" s="53"/>
    </row>
    <row r="668" spans="1:11" x14ac:dyDescent="0.25">
      <c r="A668" s="28"/>
      <c r="B668" s="1"/>
      <c r="C668" s="6"/>
      <c r="D668" s="33"/>
      <c r="E668" s="34"/>
      <c r="F668" s="11"/>
      <c r="G668" s="5"/>
      <c r="H668" s="5"/>
      <c r="I668" s="5"/>
      <c r="J668" s="45"/>
      <c r="K668" s="53"/>
    </row>
    <row r="669" spans="1:11" x14ac:dyDescent="0.25">
      <c r="A669" s="28"/>
      <c r="B669" s="1"/>
      <c r="C669" s="6"/>
      <c r="D669" s="33"/>
      <c r="E669" s="34"/>
      <c r="F669" s="11"/>
      <c r="G669" s="14"/>
      <c r="H669" s="14"/>
      <c r="I669" s="14"/>
      <c r="J669" s="45"/>
      <c r="K669" s="53"/>
    </row>
    <row r="670" spans="1:11" x14ac:dyDescent="0.25">
      <c r="A670" s="28"/>
      <c r="B670" s="1"/>
      <c r="C670" s="6"/>
      <c r="D670" s="33"/>
      <c r="E670" s="34"/>
      <c r="F670" s="11"/>
      <c r="G670" s="5"/>
      <c r="H670" s="5"/>
      <c r="I670" s="5"/>
      <c r="J670" s="45"/>
      <c r="K670" s="53"/>
    </row>
    <row r="671" spans="1:11" x14ac:dyDescent="0.25">
      <c r="A671" s="28"/>
      <c r="B671" s="1"/>
      <c r="C671" s="6"/>
      <c r="D671" s="33"/>
      <c r="E671" s="34"/>
      <c r="F671" s="11"/>
      <c r="G671" s="5"/>
      <c r="H671" s="5"/>
      <c r="I671" s="5"/>
      <c r="J671" s="45"/>
      <c r="K671" s="53"/>
    </row>
    <row r="672" spans="1:11" x14ac:dyDescent="0.25">
      <c r="A672" s="28"/>
      <c r="B672" s="1"/>
      <c r="C672" s="6"/>
      <c r="D672" s="33"/>
      <c r="E672" s="34"/>
      <c r="F672" s="11"/>
      <c r="G672" s="14"/>
      <c r="H672" s="14"/>
      <c r="I672" s="14"/>
      <c r="J672" s="45"/>
      <c r="K672" s="53"/>
    </row>
    <row r="673" spans="1:11" x14ac:dyDescent="0.25">
      <c r="A673" s="28"/>
      <c r="B673" s="1"/>
      <c r="C673" s="6"/>
      <c r="D673" s="33"/>
      <c r="E673" s="34"/>
      <c r="F673" s="11"/>
      <c r="G673" s="5"/>
      <c r="H673" s="5"/>
      <c r="I673" s="5"/>
      <c r="J673" s="45"/>
      <c r="K673" s="53"/>
    </row>
    <row r="674" spans="1:11" x14ac:dyDescent="0.25">
      <c r="A674" s="28"/>
      <c r="B674" s="1"/>
      <c r="C674" s="6"/>
      <c r="D674" s="33"/>
      <c r="E674" s="34"/>
      <c r="F674" s="11"/>
      <c r="G674" s="5"/>
      <c r="H674" s="5"/>
      <c r="I674" s="5"/>
      <c r="J674" s="45"/>
      <c r="K674" s="53"/>
    </row>
    <row r="675" spans="1:11" x14ac:dyDescent="0.25">
      <c r="A675" s="28"/>
      <c r="B675" s="1"/>
      <c r="C675" s="6"/>
      <c r="D675" s="33"/>
      <c r="E675" s="34"/>
      <c r="F675" s="11"/>
      <c r="G675" s="14"/>
      <c r="H675" s="14"/>
      <c r="I675" s="14"/>
      <c r="J675" s="45"/>
      <c r="K675" s="53"/>
    </row>
    <row r="676" spans="1:11" x14ac:dyDescent="0.25">
      <c r="A676" s="28"/>
      <c r="B676" s="1"/>
      <c r="C676" s="6"/>
      <c r="D676" s="33"/>
      <c r="E676" s="34"/>
      <c r="F676" s="11"/>
      <c r="G676" s="5"/>
      <c r="H676" s="5"/>
      <c r="I676" s="5"/>
      <c r="J676" s="45"/>
      <c r="K676" s="53"/>
    </row>
    <row r="677" spans="1:11" x14ac:dyDescent="0.25">
      <c r="A677" s="28"/>
      <c r="B677" s="1"/>
      <c r="C677" s="6"/>
      <c r="D677" s="33"/>
      <c r="E677" s="34"/>
      <c r="F677" s="11"/>
      <c r="G677" s="14"/>
      <c r="H677" s="14"/>
      <c r="I677" s="14"/>
      <c r="J677" s="45"/>
      <c r="K677" s="53"/>
    </row>
    <row r="678" spans="1:11" x14ac:dyDescent="0.25">
      <c r="A678" s="28"/>
      <c r="B678" s="1"/>
      <c r="C678" s="6"/>
      <c r="D678" s="33"/>
      <c r="E678" s="34"/>
      <c r="F678" s="11"/>
      <c r="G678" s="14"/>
      <c r="H678" s="14"/>
      <c r="I678" s="14"/>
      <c r="J678" s="45"/>
      <c r="K678" s="53"/>
    </row>
    <row r="679" spans="1:11" x14ac:dyDescent="0.25">
      <c r="A679" s="28"/>
      <c r="B679" s="1"/>
      <c r="C679" s="6"/>
      <c r="D679" s="33"/>
      <c r="E679" s="34"/>
      <c r="F679" s="11"/>
      <c r="G679" s="14"/>
      <c r="H679" s="14"/>
      <c r="I679" s="14"/>
      <c r="J679" s="45"/>
      <c r="K679" s="53"/>
    </row>
    <row r="680" spans="1:11" x14ac:dyDescent="0.25">
      <c r="A680" s="28"/>
      <c r="B680" s="1"/>
      <c r="C680" s="6"/>
      <c r="D680" s="33"/>
      <c r="E680" s="34"/>
      <c r="F680" s="11"/>
      <c r="G680" s="14"/>
      <c r="H680" s="14"/>
      <c r="I680" s="14"/>
      <c r="J680" s="45"/>
      <c r="K680" s="53"/>
    </row>
    <row r="681" spans="1:11" x14ac:dyDescent="0.25">
      <c r="A681" s="28"/>
      <c r="B681" s="1"/>
      <c r="C681" s="6"/>
      <c r="D681" s="33"/>
      <c r="E681" s="34"/>
      <c r="F681" s="11"/>
      <c r="G681" s="5"/>
      <c r="H681" s="5"/>
      <c r="I681" s="5"/>
      <c r="J681" s="45"/>
      <c r="K681" s="53"/>
    </row>
    <row r="682" spans="1:11" x14ac:dyDescent="0.25">
      <c r="A682" s="28"/>
      <c r="B682" s="1"/>
      <c r="C682" s="6"/>
      <c r="D682" s="33"/>
      <c r="E682" s="34"/>
      <c r="F682" s="11"/>
      <c r="G682" s="14"/>
      <c r="H682" s="14"/>
      <c r="I682" s="14"/>
      <c r="J682" s="45"/>
      <c r="K682" s="53"/>
    </row>
    <row r="683" spans="1:11" x14ac:dyDescent="0.25">
      <c r="A683" s="28"/>
      <c r="B683" s="1"/>
      <c r="C683" s="6"/>
      <c r="D683" s="26"/>
      <c r="E683" s="27"/>
      <c r="F683" s="5"/>
      <c r="G683" s="5"/>
      <c r="H683" s="5"/>
      <c r="I683" s="5"/>
      <c r="J683" s="45"/>
      <c r="K683" s="53"/>
    </row>
    <row r="684" spans="1:11" x14ac:dyDescent="0.25">
      <c r="A684" s="28"/>
      <c r="B684" s="1"/>
      <c r="C684" s="6"/>
      <c r="D684" s="33"/>
      <c r="E684" s="34"/>
      <c r="F684" s="5"/>
      <c r="G684" s="5"/>
      <c r="H684" s="5"/>
      <c r="I684" s="5"/>
      <c r="J684" s="45"/>
      <c r="K684" s="53"/>
    </row>
    <row r="685" spans="1:11" x14ac:dyDescent="0.25">
      <c r="A685" s="28"/>
      <c r="B685" s="1"/>
      <c r="C685" s="6"/>
      <c r="D685" s="33"/>
      <c r="E685" s="34"/>
      <c r="F685" s="11"/>
      <c r="G685" s="5"/>
      <c r="H685" s="5"/>
      <c r="I685" s="5"/>
      <c r="J685" s="45"/>
      <c r="K685" s="53"/>
    </row>
    <row r="686" spans="1:11" x14ac:dyDescent="0.25">
      <c r="A686" s="28"/>
      <c r="B686" s="1"/>
      <c r="C686" s="6"/>
      <c r="D686" s="33"/>
      <c r="E686" s="34"/>
      <c r="F686" s="11"/>
      <c r="G686" s="14"/>
      <c r="H686" s="14"/>
      <c r="I686" s="14"/>
      <c r="J686" s="45"/>
      <c r="K686" s="53"/>
    </row>
    <row r="687" spans="1:11" x14ac:dyDescent="0.25">
      <c r="A687" s="28"/>
      <c r="B687" s="1"/>
      <c r="C687" s="6"/>
      <c r="D687" s="26"/>
      <c r="E687" s="27"/>
      <c r="F687" s="5"/>
      <c r="G687" s="5"/>
      <c r="H687" s="5"/>
      <c r="I687" s="5"/>
      <c r="J687" s="45"/>
      <c r="K687" s="53"/>
    </row>
    <row r="688" spans="1:11" x14ac:dyDescent="0.25">
      <c r="A688" s="28"/>
      <c r="B688" s="1"/>
      <c r="C688" s="6"/>
      <c r="D688" s="33"/>
      <c r="E688" s="34"/>
      <c r="F688" s="11"/>
      <c r="G688" s="14"/>
      <c r="H688" s="14"/>
      <c r="I688" s="14"/>
      <c r="J688" s="45"/>
      <c r="K688" s="53"/>
    </row>
    <row r="689" spans="1:11" x14ac:dyDescent="0.25">
      <c r="A689" s="28"/>
      <c r="B689" s="1"/>
      <c r="C689" s="6"/>
      <c r="D689" s="26"/>
      <c r="E689" s="27"/>
      <c r="F689" s="5"/>
      <c r="G689" s="5"/>
      <c r="H689" s="5"/>
      <c r="I689" s="5"/>
      <c r="J689" s="45"/>
      <c r="K689" s="53"/>
    </row>
    <row r="690" spans="1:11" x14ac:dyDescent="0.25">
      <c r="A690" s="28"/>
      <c r="B690" s="1"/>
      <c r="C690" s="6"/>
      <c r="D690" s="26"/>
      <c r="E690" s="27"/>
      <c r="F690" s="5"/>
      <c r="G690" s="5"/>
      <c r="H690" s="5"/>
      <c r="I690" s="5"/>
      <c r="J690" s="45"/>
      <c r="K690" s="53"/>
    </row>
    <row r="691" spans="1:11" x14ac:dyDescent="0.25">
      <c r="A691" s="28"/>
      <c r="B691" s="1"/>
      <c r="C691" s="6"/>
      <c r="D691" s="26"/>
      <c r="E691" s="27"/>
      <c r="F691" s="5"/>
      <c r="G691" s="5"/>
      <c r="H691" s="5"/>
      <c r="I691" s="5"/>
      <c r="J691" s="45"/>
      <c r="K691" s="53"/>
    </row>
    <row r="692" spans="1:11" x14ac:dyDescent="0.25">
      <c r="A692" s="28"/>
      <c r="B692" s="1"/>
      <c r="C692" s="6"/>
      <c r="D692" s="33"/>
      <c r="E692" s="34"/>
      <c r="F692" s="11"/>
      <c r="G692" s="14"/>
      <c r="H692" s="14"/>
      <c r="I692" s="14"/>
      <c r="J692" s="45"/>
      <c r="K692" s="53"/>
    </row>
    <row r="693" spans="1:11" x14ac:dyDescent="0.25">
      <c r="A693" s="28"/>
      <c r="B693" s="1"/>
      <c r="C693" s="6"/>
      <c r="D693" s="33"/>
      <c r="E693" s="34"/>
      <c r="F693" s="11"/>
      <c r="G693" s="14"/>
      <c r="H693" s="14"/>
      <c r="I693" s="14"/>
      <c r="J693" s="45"/>
      <c r="K693" s="53"/>
    </row>
    <row r="694" spans="1:11" x14ac:dyDescent="0.25">
      <c r="A694" s="28"/>
      <c r="B694" s="1"/>
      <c r="C694" s="6"/>
      <c r="D694" s="33"/>
      <c r="E694" s="27"/>
      <c r="F694" s="5"/>
      <c r="G694" s="5"/>
      <c r="H694" s="5"/>
      <c r="I694" s="5"/>
      <c r="J694" s="45"/>
      <c r="K694" s="53"/>
    </row>
    <row r="695" spans="1:11" x14ac:dyDescent="0.25">
      <c r="A695" s="28"/>
      <c r="B695" s="1"/>
      <c r="C695" s="6"/>
      <c r="D695" s="26"/>
      <c r="E695" s="27"/>
      <c r="F695" s="5"/>
      <c r="G695" s="5"/>
      <c r="H695" s="5"/>
      <c r="I695" s="5"/>
      <c r="J695" s="45"/>
      <c r="K695" s="53"/>
    </row>
    <row r="696" spans="1:11" x14ac:dyDescent="0.25">
      <c r="A696" s="28"/>
      <c r="B696" s="1"/>
      <c r="C696" s="6"/>
      <c r="D696" s="33"/>
      <c r="E696" s="34"/>
      <c r="F696" s="5"/>
      <c r="G696" s="5"/>
      <c r="H696" s="5"/>
      <c r="I696" s="5"/>
      <c r="J696" s="45"/>
      <c r="K696" s="53"/>
    </row>
    <row r="697" spans="1:11" x14ac:dyDescent="0.25">
      <c r="A697" s="1"/>
      <c r="B697" s="1"/>
      <c r="C697" s="6"/>
      <c r="D697" s="33"/>
      <c r="E697" s="34"/>
      <c r="F697" s="11"/>
      <c r="G697" s="14"/>
      <c r="H697" s="14"/>
      <c r="I697" s="14"/>
      <c r="J697" s="45"/>
      <c r="K697" s="53"/>
    </row>
    <row r="698" spans="1:11" x14ac:dyDescent="0.25">
      <c r="A698" s="1"/>
      <c r="B698" s="1"/>
      <c r="C698" s="6"/>
      <c r="D698" s="33"/>
      <c r="E698" s="34"/>
      <c r="F698" s="11"/>
      <c r="G698" s="14"/>
      <c r="H698" s="14"/>
      <c r="I698" s="14"/>
      <c r="J698" s="45"/>
      <c r="K698" s="53"/>
    </row>
    <row r="699" spans="1:11" x14ac:dyDescent="0.25">
      <c r="A699" s="1"/>
      <c r="B699" s="1"/>
      <c r="C699" s="6"/>
      <c r="D699" s="33"/>
      <c r="E699" s="34"/>
      <c r="F699" s="11"/>
      <c r="G699" s="14"/>
      <c r="H699" s="14"/>
      <c r="I699" s="14"/>
      <c r="J699" s="45"/>
      <c r="K699" s="53"/>
    </row>
    <row r="700" spans="1:11" x14ac:dyDescent="0.25">
      <c r="A700" s="1"/>
      <c r="B700" s="1"/>
      <c r="C700" s="6"/>
      <c r="D700" s="33"/>
      <c r="E700" s="34"/>
      <c r="F700" s="11"/>
      <c r="G700" s="14"/>
      <c r="H700" s="14"/>
      <c r="I700" s="14"/>
      <c r="J700" s="45"/>
      <c r="K700" s="53"/>
    </row>
    <row r="701" spans="1:11" x14ac:dyDescent="0.25">
      <c r="A701" s="1"/>
      <c r="B701" s="1"/>
      <c r="C701" s="6"/>
      <c r="D701" s="33"/>
      <c r="E701" s="34"/>
      <c r="F701" s="11"/>
      <c r="G701" s="14"/>
      <c r="H701" s="14"/>
      <c r="I701" s="14"/>
      <c r="J701" s="45"/>
      <c r="K701" s="53"/>
    </row>
    <row r="702" spans="1:11" x14ac:dyDescent="0.25">
      <c r="A702" s="1"/>
      <c r="B702" s="1"/>
      <c r="C702" s="6"/>
      <c r="D702" s="33"/>
      <c r="E702" s="34"/>
      <c r="F702" s="11"/>
      <c r="G702" s="14"/>
      <c r="H702" s="14"/>
      <c r="I702" s="14"/>
      <c r="J702" s="45"/>
      <c r="K702" s="53"/>
    </row>
    <row r="703" spans="1:11" x14ac:dyDescent="0.25">
      <c r="A703" s="1"/>
      <c r="B703" s="1"/>
      <c r="C703" s="6"/>
      <c r="D703" s="33"/>
      <c r="E703" s="34"/>
      <c r="F703" s="5"/>
      <c r="G703" s="5"/>
      <c r="H703" s="5"/>
      <c r="I703" s="5"/>
      <c r="J703" s="45"/>
      <c r="K703" s="53"/>
    </row>
    <row r="704" spans="1:11" x14ac:dyDescent="0.25">
      <c r="A704" s="1"/>
      <c r="B704" s="1"/>
      <c r="C704" s="6"/>
      <c r="D704" s="33"/>
      <c r="E704" s="34"/>
      <c r="F704" s="11"/>
      <c r="G704" s="14"/>
      <c r="H704" s="14"/>
      <c r="I704" s="14"/>
      <c r="J704" s="45"/>
      <c r="K704" s="53"/>
    </row>
    <row r="705" spans="1:11" x14ac:dyDescent="0.25">
      <c r="A705" s="1"/>
      <c r="B705" s="1"/>
      <c r="C705" s="6"/>
      <c r="D705" s="33"/>
      <c r="E705" s="34"/>
      <c r="F705" s="11"/>
      <c r="G705" s="14"/>
      <c r="H705" s="14"/>
      <c r="I705" s="14"/>
      <c r="J705" s="45"/>
      <c r="K705" s="53"/>
    </row>
    <row r="706" spans="1:11" x14ac:dyDescent="0.25">
      <c r="A706" s="1"/>
      <c r="B706" s="1"/>
      <c r="C706" s="6"/>
      <c r="D706" s="33"/>
      <c r="E706" s="34"/>
      <c r="F706" s="11"/>
      <c r="G706" s="14"/>
      <c r="H706" s="14"/>
      <c r="I706" s="14"/>
      <c r="J706" s="45"/>
      <c r="K706" s="53"/>
    </row>
    <row r="707" spans="1:11" x14ac:dyDescent="0.25">
      <c r="A707" s="1"/>
      <c r="B707" s="1"/>
      <c r="C707" s="6"/>
      <c r="D707" s="33"/>
      <c r="E707" s="34"/>
      <c r="F707" s="11"/>
      <c r="G707" s="14"/>
      <c r="H707" s="14"/>
      <c r="I707" s="5"/>
      <c r="J707" s="45"/>
      <c r="K707" s="53"/>
    </row>
    <row r="708" spans="1:11" x14ac:dyDescent="0.25">
      <c r="A708" s="1"/>
      <c r="B708" s="1"/>
      <c r="C708" s="6"/>
      <c r="D708" s="33"/>
      <c r="E708" s="34"/>
      <c r="F708" s="11"/>
      <c r="G708" s="14"/>
      <c r="H708" s="14"/>
      <c r="I708" s="14"/>
      <c r="J708" s="45"/>
      <c r="K708" s="53"/>
    </row>
    <row r="709" spans="1:11" x14ac:dyDescent="0.25">
      <c r="A709" s="1"/>
      <c r="B709" s="1"/>
      <c r="C709" s="6"/>
      <c r="D709" s="33"/>
      <c r="E709" s="34"/>
      <c r="F709" s="11"/>
      <c r="G709" s="11"/>
      <c r="H709" s="11"/>
      <c r="I709" s="11"/>
      <c r="J709" s="45"/>
      <c r="K709" s="53"/>
    </row>
    <row r="710" spans="1:11" x14ac:dyDescent="0.25">
      <c r="A710" s="1"/>
      <c r="B710" s="1"/>
      <c r="C710" s="6"/>
      <c r="D710" s="33"/>
      <c r="E710" s="34"/>
      <c r="F710" s="11"/>
      <c r="G710" s="14"/>
      <c r="H710" s="14"/>
      <c r="I710" s="14"/>
      <c r="J710" s="45"/>
      <c r="K710" s="53"/>
    </row>
    <row r="711" spans="1:11" x14ac:dyDescent="0.25">
      <c r="A711" s="1"/>
      <c r="B711" s="1"/>
      <c r="C711" s="6"/>
      <c r="D711" s="33"/>
      <c r="E711" s="34"/>
      <c r="F711" s="11"/>
      <c r="G711" s="14"/>
      <c r="H711" s="14"/>
      <c r="I711" s="14"/>
      <c r="J711" s="45"/>
      <c r="K711" s="53"/>
    </row>
    <row r="712" spans="1:11" x14ac:dyDescent="0.25">
      <c r="A712" s="1"/>
      <c r="B712" s="1"/>
      <c r="C712" s="6"/>
      <c r="D712" s="33"/>
      <c r="E712" s="34"/>
      <c r="F712" s="11"/>
      <c r="G712" s="14"/>
      <c r="H712" s="14"/>
      <c r="I712" s="14"/>
      <c r="J712" s="45"/>
      <c r="K712" s="53"/>
    </row>
    <row r="713" spans="1:11" x14ac:dyDescent="0.25">
      <c r="A713" s="1"/>
      <c r="B713" s="1"/>
      <c r="C713" s="6"/>
      <c r="D713" s="33"/>
      <c r="E713" s="34"/>
      <c r="F713" s="11"/>
      <c r="G713" s="14"/>
      <c r="H713" s="14"/>
      <c r="I713" s="14"/>
      <c r="J713" s="45"/>
      <c r="K713" s="53"/>
    </row>
    <row r="714" spans="1:11" x14ac:dyDescent="0.25">
      <c r="A714" s="1"/>
      <c r="B714" s="1"/>
      <c r="C714" s="6"/>
      <c r="D714" s="33"/>
      <c r="E714" s="34"/>
      <c r="F714" s="11"/>
      <c r="G714" s="14"/>
      <c r="H714" s="14"/>
      <c r="I714" s="14"/>
      <c r="J714" s="45"/>
      <c r="K714" s="53"/>
    </row>
    <row r="715" spans="1:11" x14ac:dyDescent="0.25">
      <c r="A715" s="1"/>
      <c r="B715" s="1"/>
      <c r="C715" s="6"/>
      <c r="D715" s="33"/>
      <c r="E715" s="34"/>
      <c r="F715" s="11"/>
      <c r="G715" s="14"/>
      <c r="H715" s="14"/>
      <c r="I715" s="14"/>
      <c r="J715" s="45"/>
      <c r="K715" s="53"/>
    </row>
    <row r="716" spans="1:11" x14ac:dyDescent="0.25">
      <c r="A716" s="1"/>
      <c r="B716" s="1"/>
      <c r="C716" s="6"/>
      <c r="D716" s="33"/>
      <c r="E716" s="34"/>
      <c r="F716" s="11"/>
      <c r="G716" s="14"/>
      <c r="H716" s="14"/>
      <c r="I716" s="14"/>
      <c r="J716" s="45"/>
      <c r="K716" s="53"/>
    </row>
    <row r="717" spans="1:11" x14ac:dyDescent="0.25">
      <c r="A717" s="1"/>
      <c r="B717" s="1"/>
      <c r="C717" s="6"/>
      <c r="D717" s="33"/>
      <c r="E717" s="34"/>
      <c r="F717" s="11"/>
      <c r="G717" s="14"/>
      <c r="H717" s="14"/>
      <c r="I717" s="14"/>
      <c r="J717" s="45"/>
      <c r="K717" s="53"/>
    </row>
    <row r="718" spans="1:11" x14ac:dyDescent="0.25">
      <c r="A718" s="1"/>
      <c r="B718" s="1"/>
      <c r="C718" s="6"/>
      <c r="D718" s="33"/>
      <c r="E718" s="34"/>
      <c r="F718" s="11"/>
      <c r="G718" s="14"/>
      <c r="H718" s="14"/>
      <c r="I718" s="14"/>
      <c r="J718" s="45"/>
      <c r="K718" s="53"/>
    </row>
    <row r="719" spans="1:11" x14ac:dyDescent="0.25">
      <c r="A719" s="1"/>
      <c r="B719" s="1"/>
      <c r="C719" s="6"/>
      <c r="D719" s="33"/>
      <c r="E719" s="34"/>
      <c r="F719" s="11"/>
      <c r="G719" s="14"/>
      <c r="H719" s="14"/>
      <c r="I719" s="14"/>
      <c r="J719" s="45"/>
      <c r="K719" s="53"/>
    </row>
    <row r="720" spans="1:11" x14ac:dyDescent="0.25">
      <c r="A720" s="1"/>
      <c r="B720" s="1"/>
      <c r="C720" s="6"/>
      <c r="D720" s="33"/>
      <c r="E720" s="34"/>
      <c r="F720" s="11"/>
      <c r="G720" s="14"/>
      <c r="H720" s="14"/>
      <c r="I720" s="14"/>
      <c r="J720" s="45"/>
      <c r="K720" s="53"/>
    </row>
    <row r="721" spans="1:11" x14ac:dyDescent="0.25">
      <c r="A721" s="1"/>
      <c r="B721" s="1"/>
      <c r="C721" s="6"/>
      <c r="D721" s="33"/>
      <c r="E721" s="34"/>
      <c r="F721" s="11"/>
      <c r="G721" s="14"/>
      <c r="H721" s="14"/>
      <c r="I721" s="14"/>
      <c r="J721" s="45"/>
      <c r="K721" s="53"/>
    </row>
    <row r="722" spans="1:11" x14ac:dyDescent="0.25">
      <c r="A722" s="1"/>
      <c r="B722" s="1"/>
      <c r="C722" s="6"/>
      <c r="D722" s="33"/>
      <c r="E722" s="34"/>
      <c r="F722" s="11"/>
      <c r="G722" s="14"/>
      <c r="H722" s="14"/>
      <c r="I722" s="14"/>
      <c r="J722" s="45"/>
      <c r="K722" s="53"/>
    </row>
    <row r="723" spans="1:11" x14ac:dyDescent="0.25">
      <c r="A723" s="1"/>
      <c r="B723" s="1"/>
      <c r="C723" s="6"/>
      <c r="D723" s="33"/>
      <c r="E723" s="34"/>
      <c r="F723" s="11"/>
      <c r="G723" s="14"/>
      <c r="H723" s="14"/>
      <c r="I723" s="14"/>
      <c r="J723" s="45"/>
      <c r="K723" s="53"/>
    </row>
    <row r="724" spans="1:11" x14ac:dyDescent="0.25">
      <c r="A724" s="1"/>
      <c r="B724" s="1"/>
      <c r="C724" s="6"/>
      <c r="D724" s="33"/>
      <c r="E724" s="34"/>
      <c r="F724" s="11"/>
      <c r="G724" s="14"/>
      <c r="H724" s="14"/>
      <c r="I724" s="14"/>
      <c r="J724" s="45"/>
      <c r="K724" s="53"/>
    </row>
    <row r="725" spans="1:11" x14ac:dyDescent="0.25">
      <c r="A725" s="1"/>
      <c r="B725" s="1"/>
      <c r="C725" s="6"/>
      <c r="D725" s="26"/>
      <c r="E725" s="27"/>
      <c r="F725" s="5"/>
      <c r="G725" s="5"/>
      <c r="H725" s="5"/>
      <c r="I725" s="5"/>
      <c r="J725" s="45"/>
      <c r="K725" s="53"/>
    </row>
    <row r="726" spans="1:11" x14ac:dyDescent="0.25">
      <c r="A726" s="1"/>
      <c r="B726" s="1"/>
      <c r="C726" s="6"/>
      <c r="D726" s="33"/>
      <c r="E726" s="34"/>
      <c r="F726" s="11"/>
      <c r="G726" s="14"/>
      <c r="H726" s="14"/>
      <c r="I726" s="14"/>
      <c r="J726" s="45"/>
      <c r="K726" s="53"/>
    </row>
    <row r="727" spans="1:11" x14ac:dyDescent="0.25">
      <c r="A727" s="1"/>
      <c r="B727" s="1"/>
      <c r="C727" s="6"/>
      <c r="D727" s="33"/>
      <c r="E727" s="34"/>
      <c r="F727" s="11"/>
      <c r="G727" s="5"/>
      <c r="H727" s="5"/>
      <c r="I727" s="5"/>
      <c r="J727" s="45"/>
      <c r="K727" s="53"/>
    </row>
    <row r="728" spans="1:11" x14ac:dyDescent="0.25">
      <c r="A728" s="1"/>
      <c r="B728" s="1"/>
      <c r="C728" s="6"/>
      <c r="D728" s="33"/>
      <c r="E728" s="34"/>
      <c r="F728" s="49"/>
      <c r="G728" s="14"/>
      <c r="H728" s="14"/>
      <c r="I728" s="14"/>
      <c r="J728" s="45"/>
      <c r="K728" s="53"/>
    </row>
    <row r="729" spans="1:11" x14ac:dyDescent="0.25">
      <c r="A729" s="1"/>
      <c r="B729" s="1"/>
      <c r="C729" s="6"/>
      <c r="D729" s="33"/>
      <c r="E729" s="34"/>
      <c r="F729" s="11"/>
      <c r="G729" s="14"/>
      <c r="H729" s="14"/>
      <c r="I729" s="14"/>
      <c r="J729" s="45"/>
      <c r="K729" s="53"/>
    </row>
    <row r="730" spans="1:11" x14ac:dyDescent="0.25">
      <c r="A730" s="1"/>
      <c r="B730" s="1"/>
      <c r="C730" s="6"/>
      <c r="D730" s="33"/>
      <c r="E730" s="34"/>
      <c r="F730" s="11"/>
      <c r="G730" s="5"/>
      <c r="H730" s="5"/>
      <c r="I730" s="5"/>
      <c r="J730" s="45"/>
      <c r="K730" s="53"/>
    </row>
    <row r="731" spans="1:11" x14ac:dyDescent="0.25">
      <c r="A731" s="1"/>
      <c r="B731" s="1"/>
      <c r="C731" s="6"/>
      <c r="D731" s="33"/>
      <c r="E731" s="34"/>
      <c r="F731" s="11"/>
      <c r="G731" s="14"/>
      <c r="H731" s="14"/>
      <c r="I731" s="14"/>
      <c r="J731" s="45"/>
      <c r="K731" s="53"/>
    </row>
    <row r="732" spans="1:11" x14ac:dyDescent="0.25">
      <c r="A732" s="1"/>
      <c r="B732" s="1"/>
      <c r="C732" s="6"/>
      <c r="D732" s="33"/>
      <c r="E732" s="34"/>
      <c r="F732" s="11"/>
      <c r="G732" s="14"/>
      <c r="H732" s="14"/>
      <c r="I732" s="14"/>
      <c r="J732" s="45"/>
      <c r="K732" s="53"/>
    </row>
    <row r="733" spans="1:11" x14ac:dyDescent="0.25">
      <c r="A733" s="1"/>
      <c r="B733" s="1"/>
      <c r="C733" s="6"/>
      <c r="D733" s="33"/>
      <c r="E733" s="34"/>
      <c r="F733" s="11"/>
      <c r="G733" s="14"/>
      <c r="H733" s="14"/>
      <c r="I733" s="14"/>
      <c r="J733" s="45"/>
      <c r="K733" s="53"/>
    </row>
    <row r="734" spans="1:11" x14ac:dyDescent="0.25">
      <c r="A734" s="1"/>
      <c r="B734" s="1"/>
      <c r="C734" s="6"/>
      <c r="D734" s="33"/>
      <c r="E734" s="34"/>
      <c r="F734" s="11"/>
      <c r="G734" s="5"/>
      <c r="H734" s="5"/>
      <c r="I734" s="5"/>
      <c r="J734" s="45"/>
      <c r="K734" s="53"/>
    </row>
    <row r="735" spans="1:11" x14ac:dyDescent="0.25">
      <c r="A735" s="1"/>
      <c r="B735" s="1"/>
      <c r="C735" s="6"/>
      <c r="D735" s="33"/>
      <c r="E735" s="34"/>
      <c r="F735" s="11"/>
      <c r="G735" s="14"/>
      <c r="H735" s="14"/>
      <c r="I735" s="14"/>
      <c r="J735" s="45"/>
      <c r="K735" s="53"/>
    </row>
    <row r="736" spans="1:11" x14ac:dyDescent="0.25">
      <c r="A736" s="1"/>
      <c r="B736" s="1"/>
      <c r="C736" s="6"/>
      <c r="D736" s="33"/>
      <c r="E736" s="34"/>
      <c r="F736" s="11"/>
      <c r="G736" s="14"/>
      <c r="H736" s="14"/>
      <c r="I736" s="14"/>
      <c r="J736" s="45"/>
      <c r="K736" s="53"/>
    </row>
    <row r="737" spans="1:11" x14ac:dyDescent="0.25">
      <c r="A737" s="1"/>
      <c r="B737" s="1"/>
      <c r="C737" s="6"/>
      <c r="D737" s="33"/>
      <c r="E737" s="34"/>
      <c r="F737" s="11"/>
      <c r="G737" s="14"/>
      <c r="H737" s="14"/>
      <c r="I737" s="14"/>
      <c r="J737" s="45"/>
      <c r="K737" s="53"/>
    </row>
    <row r="738" spans="1:11" x14ac:dyDescent="0.25">
      <c r="A738" s="1"/>
      <c r="B738" s="1"/>
      <c r="C738" s="6"/>
      <c r="D738" s="33"/>
      <c r="E738" s="34"/>
      <c r="F738" s="11"/>
      <c r="G738" s="5"/>
      <c r="H738" s="5"/>
      <c r="I738" s="5"/>
      <c r="J738" s="45"/>
      <c r="K738" s="53"/>
    </row>
    <row r="739" spans="1:11" x14ac:dyDescent="0.25">
      <c r="A739" s="1"/>
      <c r="B739" s="1"/>
      <c r="C739" s="6"/>
      <c r="D739" s="33"/>
      <c r="E739" s="34"/>
      <c r="F739" s="11"/>
      <c r="G739" s="14"/>
      <c r="H739" s="14"/>
      <c r="I739" s="14"/>
      <c r="J739" s="45"/>
      <c r="K739" s="53"/>
    </row>
    <row r="740" spans="1:11" x14ac:dyDescent="0.25">
      <c r="A740" s="1"/>
      <c r="B740" s="1"/>
      <c r="C740" s="6"/>
      <c r="D740" s="33"/>
      <c r="E740" s="34"/>
      <c r="F740" s="11"/>
      <c r="G740" s="14"/>
      <c r="H740" s="14"/>
      <c r="I740" s="14"/>
      <c r="J740" s="45"/>
      <c r="K740" s="53"/>
    </row>
    <row r="741" spans="1:11" x14ac:dyDescent="0.25">
      <c r="A741" s="1"/>
      <c r="B741" s="1"/>
      <c r="C741" s="6"/>
      <c r="D741" s="33"/>
      <c r="E741" s="34"/>
      <c r="F741" s="11"/>
      <c r="G741" s="14"/>
      <c r="H741" s="14"/>
      <c r="I741" s="14"/>
      <c r="J741" s="45"/>
      <c r="K741" s="53"/>
    </row>
    <row r="742" spans="1:11" x14ac:dyDescent="0.25">
      <c r="A742" s="1"/>
      <c r="B742" s="1"/>
      <c r="C742" s="6"/>
      <c r="D742" s="33"/>
      <c r="E742" s="34"/>
      <c r="F742" s="11"/>
      <c r="G742" s="14"/>
      <c r="H742" s="14"/>
      <c r="I742" s="14"/>
      <c r="J742" s="45"/>
      <c r="K742" s="53"/>
    </row>
    <row r="743" spans="1:11" x14ac:dyDescent="0.25">
      <c r="A743" s="1"/>
      <c r="B743" s="1"/>
      <c r="C743" s="6"/>
      <c r="D743" s="33"/>
      <c r="E743" s="34"/>
      <c r="F743" s="14"/>
      <c r="G743" s="14"/>
      <c r="H743" s="14"/>
      <c r="I743" s="14"/>
      <c r="J743" s="45"/>
      <c r="K743" s="53"/>
    </row>
    <row r="744" spans="1:11" x14ac:dyDescent="0.25">
      <c r="A744" s="1"/>
      <c r="B744" s="1"/>
      <c r="C744" s="6"/>
      <c r="D744" s="33"/>
      <c r="E744" s="34"/>
      <c r="F744" s="11"/>
      <c r="G744" s="14"/>
      <c r="H744" s="14"/>
      <c r="I744" s="14"/>
      <c r="J744" s="45"/>
      <c r="K744" s="53"/>
    </row>
    <row r="745" spans="1:11" x14ac:dyDescent="0.25">
      <c r="A745" s="1"/>
      <c r="B745" s="1"/>
      <c r="C745" s="6"/>
      <c r="D745" s="33"/>
      <c r="E745" s="34"/>
      <c r="F745" s="11"/>
      <c r="G745" s="14"/>
      <c r="H745" s="14"/>
      <c r="I745" s="14"/>
      <c r="J745" s="45"/>
      <c r="K745" s="53"/>
    </row>
    <row r="746" spans="1:11" x14ac:dyDescent="0.25">
      <c r="A746" s="1"/>
      <c r="B746" s="1"/>
      <c r="C746" s="6"/>
      <c r="D746" s="33"/>
      <c r="E746" s="34"/>
      <c r="F746" s="11"/>
      <c r="G746" s="14"/>
      <c r="H746" s="14"/>
      <c r="I746" s="14"/>
      <c r="J746" s="45"/>
      <c r="K746" s="53"/>
    </row>
    <row r="747" spans="1:11" x14ac:dyDescent="0.25">
      <c r="A747" s="1"/>
      <c r="B747" s="1"/>
      <c r="C747" s="6"/>
      <c r="D747" s="33"/>
      <c r="E747" s="34"/>
      <c r="F747" s="11"/>
      <c r="G747" s="14"/>
      <c r="H747" s="14"/>
      <c r="I747" s="14"/>
      <c r="J747" s="45"/>
      <c r="K747" s="53"/>
    </row>
    <row r="748" spans="1:11" x14ac:dyDescent="0.25">
      <c r="A748" s="1"/>
      <c r="B748" s="1"/>
      <c r="C748" s="6"/>
      <c r="D748" s="33"/>
      <c r="E748" s="34"/>
      <c r="F748" s="11"/>
      <c r="G748" s="14"/>
      <c r="H748" s="14"/>
      <c r="I748" s="14"/>
      <c r="J748" s="45"/>
      <c r="K748" s="53"/>
    </row>
    <row r="749" spans="1:11" x14ac:dyDescent="0.25">
      <c r="A749" s="1"/>
      <c r="B749" s="1"/>
      <c r="C749" s="6"/>
      <c r="D749" s="33"/>
      <c r="E749" s="34"/>
      <c r="F749" s="11"/>
      <c r="G749" s="14"/>
      <c r="H749" s="14"/>
      <c r="I749" s="14"/>
      <c r="J749" s="45"/>
      <c r="K749" s="53"/>
    </row>
    <row r="750" spans="1:11" x14ac:dyDescent="0.25">
      <c r="A750" s="1"/>
      <c r="B750" s="1"/>
      <c r="C750" s="6"/>
      <c r="D750" s="33"/>
      <c r="E750" s="34"/>
      <c r="F750" s="11"/>
      <c r="G750" s="14"/>
      <c r="H750" s="14"/>
      <c r="I750" s="14"/>
      <c r="J750" s="45"/>
      <c r="K750" s="53"/>
    </row>
    <row r="751" spans="1:11" x14ac:dyDescent="0.25">
      <c r="A751" s="1"/>
      <c r="B751" s="1"/>
      <c r="C751" s="6"/>
      <c r="D751" s="33"/>
      <c r="E751" s="34"/>
      <c r="F751" s="16"/>
      <c r="G751" s="17"/>
      <c r="H751" s="14"/>
      <c r="I751" s="14"/>
      <c r="J751" s="45"/>
      <c r="K751" s="53"/>
    </row>
    <row r="752" spans="1:11" x14ac:dyDescent="0.25">
      <c r="A752" s="1"/>
      <c r="B752" s="1"/>
      <c r="C752" s="6"/>
      <c r="D752" s="33"/>
      <c r="E752" s="34"/>
      <c r="F752" s="11"/>
      <c r="G752" s="14"/>
      <c r="H752" s="14"/>
      <c r="I752" s="14"/>
      <c r="J752" s="45"/>
      <c r="K752" s="53"/>
    </row>
    <row r="753" spans="1:11" x14ac:dyDescent="0.25">
      <c r="A753" s="1"/>
      <c r="B753" s="1"/>
      <c r="C753" s="6"/>
      <c r="D753" s="33"/>
      <c r="E753" s="34"/>
      <c r="F753" s="11"/>
      <c r="G753" s="14"/>
      <c r="H753" s="14"/>
      <c r="I753" s="14"/>
      <c r="J753" s="45"/>
      <c r="K753" s="53"/>
    </row>
    <row r="754" spans="1:11" x14ac:dyDescent="0.25">
      <c r="A754" s="1"/>
      <c r="B754" s="1"/>
      <c r="C754" s="6"/>
      <c r="D754" s="33"/>
      <c r="E754" s="34"/>
      <c r="F754" s="11"/>
      <c r="G754" s="14"/>
      <c r="H754" s="14"/>
      <c r="I754" s="14"/>
      <c r="J754" s="45"/>
      <c r="K754" s="53"/>
    </row>
    <row r="755" spans="1:11" x14ac:dyDescent="0.25">
      <c r="A755" s="1"/>
      <c r="B755" s="1"/>
      <c r="C755" s="6"/>
      <c r="D755" s="33"/>
      <c r="E755" s="34"/>
      <c r="F755" s="11"/>
      <c r="G755" s="14"/>
      <c r="H755" s="14"/>
      <c r="I755" s="14"/>
      <c r="J755" s="45"/>
      <c r="K755" s="53"/>
    </row>
    <row r="756" spans="1:11" x14ac:dyDescent="0.25">
      <c r="A756" s="1"/>
      <c r="B756" s="1"/>
      <c r="C756" s="6"/>
      <c r="D756" s="33"/>
      <c r="E756" s="34"/>
      <c r="F756" s="11"/>
      <c r="G756" s="14"/>
      <c r="H756" s="14"/>
      <c r="I756" s="14"/>
      <c r="J756" s="45"/>
      <c r="K756" s="53"/>
    </row>
    <row r="757" spans="1:11" x14ac:dyDescent="0.25">
      <c r="A757" s="1"/>
      <c r="B757" s="1"/>
      <c r="C757" s="6"/>
      <c r="D757" s="33"/>
      <c r="E757" s="34"/>
      <c r="F757" s="11"/>
      <c r="G757" s="14"/>
      <c r="H757" s="14"/>
      <c r="I757" s="14"/>
      <c r="J757" s="45"/>
      <c r="K757" s="53"/>
    </row>
    <row r="758" spans="1:11" x14ac:dyDescent="0.25">
      <c r="A758" s="2"/>
      <c r="B758" s="1"/>
      <c r="C758" s="6"/>
      <c r="D758" s="7"/>
      <c r="E758" s="8"/>
      <c r="F758" s="5"/>
      <c r="G758" s="5"/>
      <c r="H758" s="5"/>
      <c r="I758" s="5"/>
      <c r="J758" s="9"/>
      <c r="K758" s="53"/>
    </row>
    <row r="759" spans="1:11" x14ac:dyDescent="0.25">
      <c r="A759" s="2"/>
      <c r="B759" s="1"/>
      <c r="C759" s="6"/>
      <c r="D759" s="7"/>
      <c r="E759" s="8"/>
      <c r="F759" s="5"/>
      <c r="G759" s="5"/>
      <c r="H759" s="5"/>
      <c r="I759" s="5"/>
      <c r="J759" s="9"/>
      <c r="K759" s="53"/>
    </row>
    <row r="760" spans="1:11" x14ac:dyDescent="0.25">
      <c r="A760" s="2"/>
      <c r="B760" s="1"/>
      <c r="C760" s="6"/>
      <c r="D760" s="7"/>
      <c r="E760" s="8"/>
      <c r="F760" s="11"/>
      <c r="G760" s="5"/>
      <c r="H760" s="5"/>
      <c r="I760" s="5"/>
      <c r="J760" s="12"/>
      <c r="K760" s="53"/>
    </row>
    <row r="761" spans="1:11" x14ac:dyDescent="0.25">
      <c r="A761" s="2"/>
      <c r="B761" s="1"/>
      <c r="C761" s="6"/>
      <c r="D761" s="7"/>
      <c r="E761" s="8"/>
      <c r="F761" s="11"/>
      <c r="G761" s="5"/>
      <c r="H761" s="5"/>
      <c r="I761" s="5"/>
      <c r="J761" s="12"/>
      <c r="K761" s="53"/>
    </row>
    <row r="762" spans="1:11" x14ac:dyDescent="0.25">
      <c r="A762" s="2"/>
      <c r="B762" s="1"/>
      <c r="C762" s="6"/>
      <c r="D762" s="7"/>
      <c r="E762" s="8"/>
      <c r="F762" s="11"/>
      <c r="G762" s="5"/>
      <c r="H762" s="5"/>
      <c r="I762" s="5"/>
      <c r="J762" s="12"/>
      <c r="K762" s="53"/>
    </row>
    <row r="763" spans="1:11" x14ac:dyDescent="0.25">
      <c r="A763" s="2"/>
      <c r="B763" s="1"/>
      <c r="C763" s="6"/>
      <c r="D763" s="7"/>
      <c r="E763" s="8"/>
      <c r="F763" s="11"/>
      <c r="G763" s="5"/>
      <c r="H763" s="5"/>
      <c r="I763" s="5"/>
      <c r="J763" s="12"/>
      <c r="K763" s="53"/>
    </row>
    <row r="764" spans="1:11" x14ac:dyDescent="0.25">
      <c r="A764" s="2"/>
      <c r="B764" s="1"/>
      <c r="C764" s="6"/>
      <c r="D764" s="7"/>
      <c r="E764" s="8"/>
      <c r="F764" s="11"/>
      <c r="G764" s="5"/>
      <c r="H764" s="5"/>
      <c r="I764" s="5"/>
      <c r="J764" s="12"/>
      <c r="K764" s="53"/>
    </row>
    <row r="765" spans="1:11" x14ac:dyDescent="0.25">
      <c r="A765" s="2"/>
      <c r="B765" s="1"/>
      <c r="C765" s="6"/>
      <c r="D765" s="7"/>
      <c r="E765" s="8"/>
      <c r="F765" s="11"/>
      <c r="G765" s="5"/>
      <c r="H765" s="5"/>
      <c r="I765" s="5"/>
      <c r="J765" s="12"/>
      <c r="K765" s="53"/>
    </row>
    <row r="766" spans="1:11" x14ac:dyDescent="0.25">
      <c r="A766" s="2"/>
      <c r="B766" s="1"/>
      <c r="C766" s="6"/>
      <c r="D766" s="7"/>
      <c r="E766" s="8"/>
      <c r="F766" s="11"/>
      <c r="G766" s="5"/>
      <c r="H766" s="5"/>
      <c r="I766" s="5"/>
      <c r="J766" s="12"/>
      <c r="K766" s="53"/>
    </row>
    <row r="767" spans="1:11" x14ac:dyDescent="0.25">
      <c r="A767" s="2"/>
      <c r="B767" s="1"/>
      <c r="C767" s="6"/>
      <c r="D767" s="7"/>
      <c r="E767" s="8"/>
      <c r="F767" s="11"/>
      <c r="G767" s="5"/>
      <c r="H767" s="5"/>
      <c r="I767" s="5"/>
      <c r="J767" s="12"/>
      <c r="K767" s="53"/>
    </row>
    <row r="768" spans="1:11" x14ac:dyDescent="0.25">
      <c r="A768" s="2"/>
      <c r="B768" s="1"/>
      <c r="C768" s="6"/>
      <c r="D768" s="7"/>
      <c r="E768" s="8"/>
      <c r="F768" s="11"/>
      <c r="G768" s="5"/>
      <c r="H768" s="5"/>
      <c r="I768" s="5"/>
      <c r="J768" s="12"/>
      <c r="K768" s="53"/>
    </row>
    <row r="769" spans="1:11" x14ac:dyDescent="0.25">
      <c r="A769" s="2"/>
      <c r="B769" s="1"/>
      <c r="C769" s="6"/>
      <c r="D769" s="7"/>
      <c r="E769" s="8"/>
      <c r="F769" s="11"/>
      <c r="G769" s="5"/>
      <c r="H769" s="5"/>
      <c r="I769" s="5"/>
      <c r="J769" s="12"/>
      <c r="K769" s="53"/>
    </row>
    <row r="770" spans="1:11" x14ac:dyDescent="0.25">
      <c r="A770" s="2"/>
      <c r="B770" s="1"/>
      <c r="C770" s="6"/>
      <c r="D770" s="7"/>
      <c r="E770" s="8"/>
      <c r="F770" s="11"/>
      <c r="G770" s="5"/>
      <c r="H770" s="5"/>
      <c r="I770" s="5"/>
      <c r="J770" s="12"/>
      <c r="K770" s="53"/>
    </row>
    <row r="771" spans="1:11" x14ac:dyDescent="0.25">
      <c r="A771" s="2"/>
      <c r="B771" s="1"/>
      <c r="C771" s="6"/>
      <c r="D771" s="7"/>
      <c r="E771" s="8"/>
      <c r="F771" s="11"/>
      <c r="G771" s="5"/>
      <c r="H771" s="5"/>
      <c r="I771" s="5"/>
      <c r="J771" s="12"/>
      <c r="K771" s="53"/>
    </row>
    <row r="772" spans="1:11" x14ac:dyDescent="0.25">
      <c r="A772" s="2"/>
      <c r="B772" s="1"/>
      <c r="C772" s="6"/>
      <c r="D772" s="7"/>
      <c r="E772" s="8"/>
      <c r="F772" s="11"/>
      <c r="G772" s="5"/>
      <c r="H772" s="5"/>
      <c r="I772" s="5"/>
      <c r="J772" s="12"/>
      <c r="K772" s="53"/>
    </row>
    <row r="773" spans="1:11" x14ac:dyDescent="0.25">
      <c r="A773" s="2"/>
      <c r="B773" s="1"/>
      <c r="C773" s="6"/>
      <c r="D773" s="7"/>
      <c r="E773" s="8"/>
      <c r="F773" s="11"/>
      <c r="G773" s="5"/>
      <c r="H773" s="5"/>
      <c r="I773" s="5"/>
      <c r="J773" s="12"/>
      <c r="K773" s="53"/>
    </row>
    <row r="774" spans="1:11" x14ac:dyDescent="0.25">
      <c r="A774" s="2"/>
      <c r="B774" s="1"/>
      <c r="C774" s="6"/>
      <c r="D774" s="7"/>
      <c r="E774" s="8"/>
      <c r="F774" s="11"/>
      <c r="G774" s="5"/>
      <c r="H774" s="5"/>
      <c r="I774" s="5"/>
      <c r="J774" s="12"/>
      <c r="K774" s="53"/>
    </row>
    <row r="775" spans="1:11" x14ac:dyDescent="0.25">
      <c r="A775" s="2"/>
      <c r="B775" s="1"/>
      <c r="C775" s="6"/>
      <c r="D775" s="7"/>
      <c r="E775" s="8"/>
      <c r="F775" s="11"/>
      <c r="G775" s="13"/>
      <c r="H775" s="14"/>
      <c r="I775" s="14"/>
      <c r="J775" s="12"/>
      <c r="K775" s="53"/>
    </row>
    <row r="776" spans="1:11" x14ac:dyDescent="0.25">
      <c r="A776" s="2"/>
      <c r="B776" s="1"/>
      <c r="C776" s="6"/>
      <c r="D776" s="7"/>
      <c r="E776" s="8"/>
      <c r="F776" s="11"/>
      <c r="G776" s="5"/>
      <c r="H776" s="5"/>
      <c r="I776" s="5"/>
      <c r="J776" s="12"/>
      <c r="K776" s="53"/>
    </row>
    <row r="777" spans="1:11" x14ac:dyDescent="0.25">
      <c r="A777" s="2"/>
      <c r="B777" s="1"/>
      <c r="C777" s="6"/>
      <c r="D777" s="7"/>
      <c r="E777" s="8"/>
      <c r="F777" s="11"/>
      <c r="G777" s="5"/>
      <c r="H777" s="5"/>
      <c r="I777" s="5"/>
      <c r="J777" s="12"/>
      <c r="K777" s="53"/>
    </row>
    <row r="778" spans="1:11" x14ac:dyDescent="0.25">
      <c r="A778" s="2"/>
      <c r="B778" s="1"/>
      <c r="C778" s="6"/>
      <c r="D778" s="7"/>
      <c r="E778" s="8"/>
      <c r="F778" s="11"/>
      <c r="G778" s="5"/>
      <c r="H778" s="5"/>
      <c r="I778" s="5"/>
      <c r="J778" s="12"/>
      <c r="K778" s="53"/>
    </row>
    <row r="779" spans="1:11" x14ac:dyDescent="0.25">
      <c r="A779" s="2"/>
      <c r="B779" s="1"/>
      <c r="C779" s="6"/>
      <c r="D779" s="7"/>
      <c r="E779" s="8"/>
      <c r="F779" s="11"/>
      <c r="G779" s="5"/>
      <c r="H779" s="5"/>
      <c r="I779" s="5"/>
      <c r="J779" s="12"/>
      <c r="K779" s="53"/>
    </row>
    <row r="780" spans="1:11" x14ac:dyDescent="0.25">
      <c r="A780" s="2"/>
      <c r="B780" s="1"/>
      <c r="C780" s="6"/>
      <c r="D780" s="7"/>
      <c r="E780" s="8"/>
      <c r="F780" s="11"/>
      <c r="G780" s="5"/>
      <c r="H780" s="5"/>
      <c r="I780" s="5"/>
      <c r="J780" s="12"/>
      <c r="K780" s="53"/>
    </row>
    <row r="781" spans="1:11" x14ac:dyDescent="0.25">
      <c r="A781" s="2"/>
      <c r="B781" s="1"/>
      <c r="C781" s="6"/>
      <c r="D781" s="7"/>
      <c r="E781" s="8"/>
      <c r="F781" s="11"/>
      <c r="G781" s="5"/>
      <c r="H781" s="5"/>
      <c r="I781" s="5"/>
      <c r="J781" s="12"/>
      <c r="K781" s="53"/>
    </row>
    <row r="782" spans="1:11" x14ac:dyDescent="0.25">
      <c r="A782" s="2"/>
      <c r="B782" s="1"/>
      <c r="C782" s="6"/>
      <c r="D782" s="7"/>
      <c r="E782" s="8"/>
      <c r="F782" s="11"/>
      <c r="G782" s="5"/>
      <c r="H782" s="5"/>
      <c r="I782" s="5"/>
      <c r="J782" s="12"/>
      <c r="K782" s="53"/>
    </row>
    <row r="783" spans="1:11" x14ac:dyDescent="0.25">
      <c r="A783" s="2"/>
      <c r="B783" s="1"/>
      <c r="C783" s="6"/>
      <c r="D783" s="7"/>
      <c r="E783" s="8"/>
      <c r="F783" s="11"/>
      <c r="G783" s="5"/>
      <c r="H783" s="5"/>
      <c r="I783" s="5"/>
      <c r="J783" s="12"/>
      <c r="K783" s="53"/>
    </row>
    <row r="784" spans="1:11" x14ac:dyDescent="0.25">
      <c r="A784" s="2"/>
      <c r="B784" s="1"/>
      <c r="C784" s="6"/>
      <c r="D784" s="7"/>
      <c r="E784" s="8"/>
      <c r="F784" s="11"/>
      <c r="G784" s="5"/>
      <c r="H784" s="5"/>
      <c r="I784" s="5"/>
      <c r="J784" s="12"/>
      <c r="K784" s="53"/>
    </row>
    <row r="785" spans="1:11" x14ac:dyDescent="0.25">
      <c r="A785" s="2"/>
      <c r="B785" s="1"/>
      <c r="C785" s="6"/>
      <c r="D785" s="7"/>
      <c r="E785" s="8"/>
      <c r="F785" s="11"/>
      <c r="G785" s="5"/>
      <c r="H785" s="5"/>
      <c r="I785" s="5"/>
      <c r="J785" s="12"/>
      <c r="K785" s="53"/>
    </row>
    <row r="786" spans="1:11" x14ac:dyDescent="0.25">
      <c r="A786" s="2"/>
      <c r="B786" s="1"/>
      <c r="C786" s="6"/>
      <c r="D786" s="7"/>
      <c r="E786" s="8"/>
      <c r="F786" s="11"/>
      <c r="G786" s="5"/>
      <c r="H786" s="5"/>
      <c r="I786" s="5"/>
      <c r="J786" s="12"/>
      <c r="K786" s="53"/>
    </row>
    <row r="787" spans="1:11" x14ac:dyDescent="0.25">
      <c r="A787" s="2"/>
      <c r="B787" s="1"/>
      <c r="C787" s="6"/>
      <c r="D787" s="7"/>
      <c r="E787" s="8"/>
      <c r="F787" s="11"/>
      <c r="G787" s="5"/>
      <c r="H787" s="5"/>
      <c r="I787" s="5"/>
      <c r="J787" s="12"/>
      <c r="K787" s="53"/>
    </row>
    <row r="788" spans="1:11" x14ac:dyDescent="0.25">
      <c r="A788" s="2"/>
      <c r="B788" s="1"/>
      <c r="C788" s="6"/>
      <c r="D788" s="7"/>
      <c r="E788" s="8"/>
      <c r="F788" s="11"/>
      <c r="G788" s="14"/>
      <c r="H788" s="14"/>
      <c r="I788" s="14"/>
      <c r="J788" s="12"/>
      <c r="K788" s="53"/>
    </row>
    <row r="789" spans="1:11" x14ac:dyDescent="0.25">
      <c r="A789" s="2"/>
      <c r="B789" s="1"/>
      <c r="C789" s="6"/>
      <c r="D789" s="7"/>
      <c r="E789" s="8"/>
      <c r="F789" s="11"/>
      <c r="G789" s="5"/>
      <c r="H789" s="5"/>
      <c r="I789" s="5"/>
      <c r="J789" s="12"/>
      <c r="K789" s="53"/>
    </row>
    <row r="790" spans="1:11" x14ac:dyDescent="0.25">
      <c r="A790" s="2"/>
      <c r="B790" s="1"/>
      <c r="C790" s="6"/>
      <c r="D790" s="7"/>
      <c r="E790" s="8"/>
      <c r="F790" s="11"/>
      <c r="G790" s="5"/>
      <c r="H790" s="5"/>
      <c r="I790" s="5"/>
      <c r="J790" s="12"/>
      <c r="K790" s="53"/>
    </row>
    <row r="791" spans="1:11" x14ac:dyDescent="0.25">
      <c r="A791" s="2"/>
      <c r="B791" s="1"/>
      <c r="C791" s="6"/>
      <c r="D791" s="7"/>
      <c r="E791" s="8"/>
      <c r="F791" s="11"/>
      <c r="G791" s="14"/>
      <c r="H791" s="14"/>
      <c r="I791" s="14"/>
      <c r="J791" s="12"/>
      <c r="K791" s="53"/>
    </row>
    <row r="792" spans="1:11" x14ac:dyDescent="0.25">
      <c r="A792" s="2"/>
      <c r="B792" s="1"/>
      <c r="C792" s="6"/>
      <c r="D792" s="7"/>
      <c r="E792" s="8"/>
      <c r="F792" s="11"/>
      <c r="G792" s="14"/>
      <c r="H792" s="14"/>
      <c r="I792" s="14"/>
      <c r="J792" s="12"/>
      <c r="K792" s="53"/>
    </row>
    <row r="793" spans="1:11" x14ac:dyDescent="0.25">
      <c r="A793" s="2"/>
      <c r="B793" s="1"/>
      <c r="C793" s="6"/>
      <c r="D793" s="7"/>
      <c r="E793" s="8"/>
      <c r="F793" s="11"/>
      <c r="G793" s="5"/>
      <c r="H793" s="5"/>
      <c r="I793" s="5"/>
      <c r="J793" s="12"/>
      <c r="K793" s="53"/>
    </row>
    <row r="794" spans="1:11" x14ac:dyDescent="0.25">
      <c r="A794" s="2"/>
      <c r="B794" s="1"/>
      <c r="C794" s="6"/>
      <c r="D794" s="7"/>
      <c r="E794" s="8"/>
      <c r="F794" s="11"/>
      <c r="G794" s="5"/>
      <c r="H794" s="5"/>
      <c r="I794" s="5"/>
      <c r="J794" s="12"/>
      <c r="K794" s="53"/>
    </row>
    <row r="795" spans="1:11" x14ac:dyDescent="0.25">
      <c r="A795" s="2"/>
      <c r="B795" s="1"/>
      <c r="C795" s="6"/>
      <c r="D795" s="7"/>
      <c r="E795" s="8"/>
      <c r="F795" s="11"/>
      <c r="G795" s="5"/>
      <c r="H795" s="5"/>
      <c r="I795" s="5"/>
      <c r="J795" s="12"/>
      <c r="K795" s="53"/>
    </row>
    <row r="796" spans="1:11" x14ac:dyDescent="0.25">
      <c r="A796" s="2"/>
      <c r="B796" s="1"/>
      <c r="C796" s="6"/>
      <c r="D796" s="7"/>
      <c r="E796" s="8"/>
      <c r="F796" s="11"/>
      <c r="G796" s="5"/>
      <c r="H796" s="5"/>
      <c r="I796" s="5"/>
      <c r="J796" s="12"/>
      <c r="K796" s="53"/>
    </row>
    <row r="797" spans="1:11" x14ac:dyDescent="0.25">
      <c r="A797" s="2"/>
      <c r="B797" s="1"/>
      <c r="C797" s="6"/>
      <c r="D797" s="7"/>
      <c r="E797" s="8"/>
      <c r="F797" s="11"/>
      <c r="G797" s="5"/>
      <c r="H797" s="5"/>
      <c r="I797" s="5"/>
      <c r="J797" s="12"/>
      <c r="K797" s="53"/>
    </row>
    <row r="798" spans="1:11" x14ac:dyDescent="0.25">
      <c r="A798" s="2"/>
      <c r="B798" s="1"/>
      <c r="C798" s="6"/>
      <c r="D798" s="7"/>
      <c r="E798" s="8"/>
      <c r="F798" s="11"/>
      <c r="G798" s="5"/>
      <c r="H798" s="5"/>
      <c r="I798" s="5"/>
      <c r="J798" s="12"/>
      <c r="K798" s="53"/>
    </row>
    <row r="799" spans="1:11" x14ac:dyDescent="0.25">
      <c r="A799" s="2"/>
      <c r="B799" s="1"/>
      <c r="C799" s="6"/>
      <c r="D799" s="7"/>
      <c r="E799" s="8"/>
      <c r="F799" s="11"/>
      <c r="G799" s="5"/>
      <c r="H799" s="5"/>
      <c r="I799" s="5"/>
      <c r="J799" s="12"/>
      <c r="K799" s="53"/>
    </row>
    <row r="800" spans="1:11" x14ac:dyDescent="0.25">
      <c r="A800" s="2"/>
      <c r="B800" s="1"/>
      <c r="C800" s="6"/>
      <c r="D800" s="7"/>
      <c r="E800" s="8"/>
      <c r="F800" s="11"/>
      <c r="G800" s="5"/>
      <c r="H800" s="5"/>
      <c r="I800" s="5"/>
      <c r="J800" s="12"/>
      <c r="K800" s="53"/>
    </row>
    <row r="801" spans="1:11" x14ac:dyDescent="0.25">
      <c r="A801" s="2"/>
      <c r="B801" s="1"/>
      <c r="C801" s="6"/>
      <c r="D801" s="7"/>
      <c r="E801" s="8"/>
      <c r="F801" s="11"/>
      <c r="G801" s="5"/>
      <c r="H801" s="5"/>
      <c r="I801" s="5"/>
      <c r="J801" s="12"/>
      <c r="K801" s="53"/>
    </row>
    <row r="802" spans="1:11" x14ac:dyDescent="0.25">
      <c r="A802" s="2"/>
      <c r="B802" s="1"/>
      <c r="C802" s="6"/>
      <c r="D802" s="7"/>
      <c r="E802" s="8"/>
      <c r="F802" s="11"/>
      <c r="G802" s="5"/>
      <c r="H802" s="5"/>
      <c r="I802" s="5"/>
      <c r="J802" s="12"/>
      <c r="K802" s="53"/>
    </row>
    <row r="803" spans="1:11" x14ac:dyDescent="0.25">
      <c r="A803" s="2"/>
      <c r="B803" s="1"/>
      <c r="C803" s="6"/>
      <c r="D803" s="7"/>
      <c r="E803" s="8"/>
      <c r="F803" s="11"/>
      <c r="G803" s="5"/>
      <c r="H803" s="5"/>
      <c r="I803" s="5"/>
      <c r="J803" s="12"/>
      <c r="K803" s="53"/>
    </row>
    <row r="804" spans="1:11" x14ac:dyDescent="0.25">
      <c r="A804" s="2"/>
      <c r="B804" s="1"/>
      <c r="C804" s="6"/>
      <c r="D804" s="7"/>
      <c r="E804" s="8"/>
      <c r="F804" s="11"/>
      <c r="G804" s="5"/>
      <c r="H804" s="5"/>
      <c r="I804" s="5"/>
      <c r="J804" s="12"/>
      <c r="K804" s="53"/>
    </row>
    <row r="805" spans="1:11" x14ac:dyDescent="0.25">
      <c r="A805" s="15"/>
      <c r="B805" s="1"/>
      <c r="C805" s="6"/>
      <c r="D805" s="7"/>
      <c r="E805" s="8"/>
      <c r="F805" s="11"/>
      <c r="G805" s="5"/>
      <c r="H805" s="5"/>
      <c r="I805" s="5"/>
      <c r="J805" s="12"/>
      <c r="K805" s="53"/>
    </row>
    <row r="806" spans="1:11" x14ac:dyDescent="0.25">
      <c r="A806" s="15"/>
      <c r="B806" s="1"/>
      <c r="C806" s="6"/>
      <c r="D806" s="7"/>
      <c r="E806" s="8"/>
      <c r="F806" s="11"/>
      <c r="G806" s="5"/>
      <c r="H806" s="5"/>
      <c r="I806" s="5"/>
      <c r="J806" s="12"/>
      <c r="K806" s="53"/>
    </row>
    <row r="807" spans="1:11" x14ac:dyDescent="0.25">
      <c r="A807" s="15"/>
      <c r="B807" s="1"/>
      <c r="C807" s="6"/>
      <c r="D807" s="7"/>
      <c r="E807" s="8"/>
      <c r="F807" s="10"/>
      <c r="G807" s="10"/>
      <c r="H807" s="5"/>
      <c r="I807" s="5"/>
      <c r="J807" s="12"/>
      <c r="K807" s="53"/>
    </row>
    <row r="808" spans="1:11" x14ac:dyDescent="0.25">
      <c r="A808" s="15"/>
      <c r="B808" s="1"/>
      <c r="C808" s="6"/>
      <c r="D808" s="7"/>
      <c r="E808" s="8"/>
      <c r="F808" s="11"/>
      <c r="G808" s="14"/>
      <c r="H808" s="14"/>
      <c r="I808" s="14"/>
      <c r="J808" s="12"/>
      <c r="K808" s="53"/>
    </row>
    <row r="809" spans="1:11" x14ac:dyDescent="0.25">
      <c r="A809" s="15"/>
      <c r="B809" s="1"/>
      <c r="C809" s="6"/>
      <c r="D809" s="7"/>
      <c r="E809" s="8"/>
      <c r="F809" s="11"/>
      <c r="G809" s="5"/>
      <c r="H809" s="5"/>
      <c r="I809" s="5"/>
      <c r="J809" s="12"/>
      <c r="K809" s="53"/>
    </row>
    <row r="810" spans="1:11" x14ac:dyDescent="0.25">
      <c r="A810" s="15"/>
      <c r="B810" s="1"/>
      <c r="C810" s="6"/>
      <c r="D810" s="7"/>
      <c r="E810" s="8"/>
      <c r="F810" s="11"/>
      <c r="G810" s="5"/>
      <c r="H810" s="5"/>
      <c r="I810" s="5"/>
      <c r="J810" s="12"/>
      <c r="K810" s="53"/>
    </row>
    <row r="811" spans="1:11" x14ac:dyDescent="0.25">
      <c r="A811" s="15"/>
      <c r="B811" s="1"/>
      <c r="C811" s="6"/>
      <c r="D811" s="7"/>
      <c r="E811" s="8"/>
      <c r="F811" s="11"/>
      <c r="G811" s="5"/>
      <c r="H811" s="5"/>
      <c r="I811" s="5"/>
      <c r="J811" s="12"/>
      <c r="K811" s="53"/>
    </row>
    <row r="812" spans="1:11" x14ac:dyDescent="0.25">
      <c r="A812" s="15"/>
      <c r="B812" s="1"/>
      <c r="C812" s="6"/>
      <c r="D812" s="7"/>
      <c r="E812" s="8"/>
      <c r="F812" s="11"/>
      <c r="G812" s="14"/>
      <c r="H812" s="14"/>
      <c r="I812" s="5"/>
      <c r="J812" s="12"/>
      <c r="K812" s="53"/>
    </row>
    <row r="813" spans="1:11" x14ac:dyDescent="0.25">
      <c r="A813" s="15"/>
      <c r="B813" s="1"/>
      <c r="C813" s="6"/>
      <c r="D813" s="7"/>
      <c r="E813" s="8"/>
      <c r="F813" s="10"/>
      <c r="G813" s="10"/>
      <c r="H813" s="5"/>
      <c r="I813" s="5"/>
      <c r="J813" s="12"/>
      <c r="K813" s="53"/>
    </row>
    <row r="814" spans="1:11" x14ac:dyDescent="0.25">
      <c r="A814" s="15"/>
      <c r="B814" s="1"/>
      <c r="C814" s="6"/>
      <c r="D814" s="7"/>
      <c r="E814" s="8"/>
      <c r="F814" s="10"/>
      <c r="G814" s="10"/>
      <c r="H814" s="5"/>
      <c r="I814" s="5"/>
      <c r="J814" s="12"/>
      <c r="K814" s="53"/>
    </row>
    <row r="815" spans="1:11" x14ac:dyDescent="0.25">
      <c r="A815" s="15"/>
      <c r="B815" s="1"/>
      <c r="C815" s="6"/>
      <c r="D815" s="7"/>
      <c r="E815" s="8"/>
      <c r="F815" s="11"/>
      <c r="G815" s="5"/>
      <c r="H815" s="5"/>
      <c r="I815" s="5"/>
      <c r="J815" s="12"/>
      <c r="K815" s="53"/>
    </row>
    <row r="816" spans="1:11" x14ac:dyDescent="0.25">
      <c r="A816" s="15"/>
      <c r="B816" s="1"/>
      <c r="C816" s="6"/>
      <c r="D816" s="7"/>
      <c r="E816" s="8"/>
      <c r="F816" s="11"/>
      <c r="G816" s="14"/>
      <c r="H816" s="14"/>
      <c r="I816" s="14"/>
      <c r="J816" s="12"/>
      <c r="K816" s="53"/>
    </row>
    <row r="817" spans="1:11" x14ac:dyDescent="0.25">
      <c r="A817" s="15"/>
      <c r="B817" s="1"/>
      <c r="C817" s="6"/>
      <c r="D817" s="7"/>
      <c r="E817" s="8"/>
      <c r="F817" s="10"/>
      <c r="G817" s="10"/>
      <c r="H817" s="5"/>
      <c r="I817" s="5"/>
      <c r="J817" s="12"/>
      <c r="K817" s="53"/>
    </row>
    <row r="818" spans="1:11" x14ac:dyDescent="0.25">
      <c r="A818" s="15"/>
      <c r="B818" s="1"/>
      <c r="C818" s="6"/>
      <c r="D818" s="7"/>
      <c r="E818" s="8"/>
      <c r="F818" s="10"/>
      <c r="G818" s="10"/>
      <c r="H818" s="5"/>
      <c r="I818" s="5"/>
      <c r="J818" s="12"/>
      <c r="K818" s="53"/>
    </row>
    <row r="819" spans="1:11" x14ac:dyDescent="0.25">
      <c r="A819" s="15"/>
      <c r="B819" s="1"/>
      <c r="C819" s="6"/>
      <c r="D819" s="7"/>
      <c r="E819" s="8"/>
      <c r="F819" s="11"/>
      <c r="G819" s="14"/>
      <c r="H819" s="14"/>
      <c r="I819" s="14"/>
      <c r="J819" s="12"/>
      <c r="K819" s="53"/>
    </row>
    <row r="820" spans="1:11" x14ac:dyDescent="0.25">
      <c r="A820" s="15"/>
      <c r="B820" s="1"/>
      <c r="C820" s="6"/>
      <c r="D820" s="7"/>
      <c r="E820" s="8"/>
      <c r="F820" s="11"/>
      <c r="G820" s="14"/>
      <c r="H820" s="14"/>
      <c r="I820" s="14"/>
      <c r="J820" s="12"/>
      <c r="K820" s="53"/>
    </row>
    <row r="821" spans="1:11" x14ac:dyDescent="0.25">
      <c r="A821" s="15"/>
      <c r="B821" s="1"/>
      <c r="C821" s="6"/>
      <c r="D821" s="7"/>
      <c r="E821" s="8"/>
      <c r="F821" s="10"/>
      <c r="G821" s="10"/>
      <c r="H821" s="5"/>
      <c r="I821" s="5"/>
      <c r="J821" s="12"/>
      <c r="K821" s="53"/>
    </row>
    <row r="822" spans="1:11" x14ac:dyDescent="0.25">
      <c r="A822" s="15"/>
      <c r="B822" s="1"/>
      <c r="C822" s="6"/>
      <c r="D822" s="7"/>
      <c r="E822" s="8"/>
      <c r="F822" s="11"/>
      <c r="G822" s="5"/>
      <c r="H822" s="5"/>
      <c r="I822" s="5"/>
      <c r="J822" s="12"/>
      <c r="K822" s="53"/>
    </row>
    <row r="823" spans="1:11" x14ac:dyDescent="0.25">
      <c r="A823" s="15"/>
      <c r="B823" s="1"/>
      <c r="C823" s="6"/>
      <c r="D823" s="7"/>
      <c r="E823" s="8"/>
      <c r="F823" s="10"/>
      <c r="G823" s="10"/>
      <c r="H823" s="5"/>
      <c r="I823" s="5"/>
      <c r="J823" s="12"/>
      <c r="K823" s="53"/>
    </row>
    <row r="824" spans="1:11" x14ac:dyDescent="0.25">
      <c r="A824" s="15"/>
      <c r="B824" s="1"/>
      <c r="C824" s="6"/>
      <c r="D824" s="7"/>
      <c r="E824" s="8"/>
      <c r="F824" s="11"/>
      <c r="G824" s="5"/>
      <c r="H824" s="5"/>
      <c r="I824" s="5"/>
      <c r="J824" s="12"/>
      <c r="K824" s="53"/>
    </row>
    <row r="825" spans="1:11" x14ac:dyDescent="0.25">
      <c r="A825" s="15"/>
      <c r="B825" s="1"/>
      <c r="C825" s="6"/>
      <c r="D825" s="7"/>
      <c r="E825" s="8"/>
      <c r="F825" s="11"/>
      <c r="G825" s="5"/>
      <c r="H825" s="5"/>
      <c r="I825" s="5"/>
      <c r="J825" s="12"/>
      <c r="K825" s="53"/>
    </row>
    <row r="826" spans="1:11" x14ac:dyDescent="0.25">
      <c r="A826" s="15"/>
      <c r="B826" s="1"/>
      <c r="C826" s="6"/>
      <c r="D826" s="7"/>
      <c r="E826" s="8"/>
      <c r="F826" s="11"/>
      <c r="G826" s="5"/>
      <c r="H826" s="5"/>
      <c r="I826" s="5"/>
      <c r="J826" s="12"/>
      <c r="K826" s="53"/>
    </row>
    <row r="827" spans="1:11" x14ac:dyDescent="0.25">
      <c r="A827" s="15"/>
      <c r="B827" s="1"/>
      <c r="C827" s="6"/>
      <c r="D827" s="7"/>
      <c r="E827" s="8"/>
      <c r="F827" s="11"/>
      <c r="G827" s="5"/>
      <c r="H827" s="5"/>
      <c r="I827" s="5"/>
      <c r="J827" s="12"/>
      <c r="K827" s="53"/>
    </row>
    <row r="828" spans="1:11" x14ac:dyDescent="0.25">
      <c r="A828" s="15"/>
      <c r="B828" s="1"/>
      <c r="C828" s="6"/>
      <c r="D828" s="7"/>
      <c r="E828" s="8"/>
      <c r="F828" s="11"/>
      <c r="G828" s="5"/>
      <c r="H828" s="5"/>
      <c r="I828" s="5"/>
      <c r="J828" s="12"/>
      <c r="K828" s="53"/>
    </row>
    <row r="829" spans="1:11" x14ac:dyDescent="0.25">
      <c r="A829" s="15"/>
      <c r="B829" s="1"/>
      <c r="C829" s="6"/>
      <c r="D829" s="7"/>
      <c r="E829" s="8"/>
      <c r="F829" s="10"/>
      <c r="G829" s="10"/>
      <c r="H829" s="5"/>
      <c r="I829" s="5"/>
      <c r="J829" s="12"/>
      <c r="K829" s="53"/>
    </row>
    <row r="830" spans="1:11" x14ac:dyDescent="0.25">
      <c r="A830" s="15"/>
      <c r="B830" s="1"/>
      <c r="C830" s="6"/>
      <c r="D830" s="7"/>
      <c r="E830" s="8"/>
      <c r="F830" s="10"/>
      <c r="G830" s="10"/>
      <c r="H830" s="5"/>
      <c r="I830" s="5"/>
      <c r="J830" s="12"/>
      <c r="K830" s="53"/>
    </row>
    <row r="831" spans="1:11" x14ac:dyDescent="0.25">
      <c r="A831" s="15"/>
      <c r="B831" s="1"/>
      <c r="C831" s="6"/>
      <c r="D831" s="7"/>
      <c r="E831" s="8"/>
      <c r="F831" s="10"/>
      <c r="G831" s="10"/>
      <c r="H831" s="5"/>
      <c r="I831" s="5"/>
      <c r="J831" s="12"/>
      <c r="K831" s="53"/>
    </row>
    <row r="832" spans="1:11" x14ac:dyDescent="0.25">
      <c r="A832" s="15"/>
      <c r="B832" s="1"/>
      <c r="C832" s="6"/>
      <c r="D832" s="7"/>
      <c r="E832" s="8"/>
      <c r="F832" s="10"/>
      <c r="G832" s="10"/>
      <c r="H832" s="5"/>
      <c r="I832" s="5"/>
      <c r="J832" s="12"/>
      <c r="K832" s="53"/>
    </row>
    <row r="833" spans="1:11" x14ac:dyDescent="0.25">
      <c r="A833" s="15"/>
      <c r="B833" s="1"/>
      <c r="C833" s="6"/>
      <c r="D833" s="3"/>
      <c r="E833" s="4"/>
      <c r="F833" s="5"/>
      <c r="G833" s="5"/>
      <c r="H833" s="5"/>
      <c r="I833" s="5"/>
      <c r="J833" s="12"/>
      <c r="K833" s="53"/>
    </row>
    <row r="834" spans="1:11" x14ac:dyDescent="0.25">
      <c r="A834" s="15"/>
      <c r="B834" s="1"/>
      <c r="C834" s="6"/>
      <c r="D834" s="7"/>
      <c r="E834" s="8"/>
      <c r="F834" s="11"/>
      <c r="G834" s="5"/>
      <c r="H834" s="5"/>
      <c r="I834" s="5"/>
      <c r="J834" s="12"/>
      <c r="K834" s="53"/>
    </row>
    <row r="835" spans="1:11" x14ac:dyDescent="0.25">
      <c r="A835" s="15"/>
      <c r="B835" s="1"/>
      <c r="C835" s="6"/>
      <c r="D835" s="7"/>
      <c r="E835" s="8"/>
      <c r="F835" s="10"/>
      <c r="G835" s="10"/>
      <c r="H835" s="5"/>
      <c r="I835" s="5"/>
      <c r="J835" s="12"/>
      <c r="K835" s="53"/>
    </row>
    <row r="836" spans="1:11" x14ac:dyDescent="0.25">
      <c r="A836" s="15"/>
      <c r="B836" s="1"/>
      <c r="C836" s="6"/>
      <c r="D836" s="3"/>
      <c r="E836" s="4"/>
      <c r="F836" s="10"/>
      <c r="G836" s="10"/>
      <c r="H836" s="5"/>
      <c r="I836" s="5"/>
      <c r="J836" s="12"/>
      <c r="K836" s="53"/>
    </row>
    <row r="837" spans="1:11" x14ac:dyDescent="0.25">
      <c r="A837" s="15"/>
      <c r="B837" s="1"/>
      <c r="C837" s="6"/>
      <c r="D837" s="7"/>
      <c r="E837" s="8"/>
      <c r="F837" s="11"/>
      <c r="G837" s="14"/>
      <c r="H837" s="14"/>
      <c r="I837" s="14"/>
      <c r="J837" s="12"/>
      <c r="K837" s="53"/>
    </row>
    <row r="838" spans="1:11" x14ac:dyDescent="0.25">
      <c r="A838" s="15"/>
      <c r="B838" s="1"/>
      <c r="C838" s="6"/>
      <c r="D838" s="3"/>
      <c r="E838" s="4"/>
      <c r="F838" s="5"/>
      <c r="G838" s="5"/>
      <c r="H838" s="5"/>
      <c r="I838" s="5"/>
      <c r="J838" s="12"/>
      <c r="K838" s="53"/>
    </row>
    <row r="839" spans="1:11" x14ac:dyDescent="0.25">
      <c r="A839" s="15"/>
      <c r="B839" s="1"/>
      <c r="C839" s="6"/>
      <c r="D839" s="7"/>
      <c r="E839" s="8"/>
      <c r="F839" s="11"/>
      <c r="G839" s="5"/>
      <c r="H839" s="5"/>
      <c r="I839" s="5"/>
      <c r="J839" s="12"/>
      <c r="K839" s="53"/>
    </row>
    <row r="840" spans="1:11" x14ac:dyDescent="0.25">
      <c r="A840" s="15"/>
      <c r="B840" s="1"/>
      <c r="C840" s="6"/>
      <c r="D840" s="7"/>
      <c r="E840" s="8"/>
      <c r="F840" s="10"/>
      <c r="G840" s="10"/>
      <c r="H840" s="5"/>
      <c r="I840" s="5"/>
      <c r="J840" s="12"/>
      <c r="K840" s="53"/>
    </row>
    <row r="841" spans="1:11" x14ac:dyDescent="0.25">
      <c r="A841" s="15"/>
      <c r="B841" s="1"/>
      <c r="C841" s="6"/>
      <c r="D841" s="7"/>
      <c r="E841" s="8"/>
      <c r="F841" s="11"/>
      <c r="G841" s="5"/>
      <c r="H841" s="5"/>
      <c r="I841" s="5"/>
      <c r="J841" s="12"/>
      <c r="K841" s="53"/>
    </row>
    <row r="842" spans="1:11" x14ac:dyDescent="0.25">
      <c r="A842" s="15"/>
      <c r="B842" s="1"/>
      <c r="C842" s="6"/>
      <c r="D842" s="3"/>
      <c r="E842" s="4"/>
      <c r="F842" s="5"/>
      <c r="G842" s="5"/>
      <c r="H842" s="5"/>
      <c r="I842" s="5"/>
      <c r="J842" s="12"/>
      <c r="K842" s="53"/>
    </row>
    <row r="843" spans="1:11" x14ac:dyDescent="0.25">
      <c r="A843" s="15"/>
      <c r="B843" s="1"/>
      <c r="C843" s="6"/>
      <c r="D843" s="7"/>
      <c r="E843" s="8"/>
      <c r="F843" s="11"/>
      <c r="G843" s="10"/>
      <c r="H843" s="5"/>
      <c r="I843" s="5"/>
      <c r="J843" s="12"/>
      <c r="K843" s="53"/>
    </row>
    <row r="844" spans="1:11" x14ac:dyDescent="0.25">
      <c r="A844" s="15"/>
      <c r="B844" s="1"/>
      <c r="C844" s="6"/>
      <c r="D844" s="7"/>
      <c r="E844" s="8"/>
      <c r="F844" s="11"/>
      <c r="G844" s="14"/>
      <c r="H844" s="14"/>
      <c r="I844" s="14"/>
      <c r="J844" s="12"/>
      <c r="K844" s="53"/>
    </row>
    <row r="845" spans="1:11" x14ac:dyDescent="0.25">
      <c r="A845" s="15"/>
      <c r="B845" s="1"/>
      <c r="C845" s="6"/>
      <c r="D845" s="7"/>
      <c r="E845" s="8"/>
      <c r="F845" s="10"/>
      <c r="G845" s="10"/>
      <c r="H845" s="5"/>
      <c r="I845" s="5"/>
      <c r="J845" s="12"/>
      <c r="K845" s="53"/>
    </row>
    <row r="846" spans="1:11" x14ac:dyDescent="0.25">
      <c r="A846" s="15"/>
      <c r="B846" s="1"/>
      <c r="C846" s="6"/>
      <c r="D846" s="7"/>
      <c r="E846" s="8"/>
      <c r="F846" s="10"/>
      <c r="G846" s="10"/>
      <c r="H846" s="5"/>
      <c r="I846" s="5"/>
      <c r="J846" s="12"/>
      <c r="K846" s="53"/>
    </row>
    <row r="847" spans="1:11" x14ac:dyDescent="0.25">
      <c r="A847" s="15"/>
      <c r="B847" s="1"/>
      <c r="C847" s="6"/>
      <c r="D847" s="7"/>
      <c r="E847" s="8"/>
      <c r="F847" s="11"/>
      <c r="G847" s="14"/>
      <c r="H847" s="14"/>
      <c r="I847" s="14"/>
      <c r="J847" s="12"/>
      <c r="K847" s="53"/>
    </row>
    <row r="848" spans="1:11" x14ac:dyDescent="0.25">
      <c r="A848" s="15"/>
      <c r="B848" s="1"/>
      <c r="C848" s="6"/>
      <c r="D848" s="7"/>
      <c r="E848" s="8"/>
      <c r="F848" s="11"/>
      <c r="G848" s="10"/>
      <c r="H848" s="5"/>
      <c r="I848" s="5"/>
      <c r="J848" s="12"/>
      <c r="K848" s="53"/>
    </row>
    <row r="849" spans="1:11" x14ac:dyDescent="0.25">
      <c r="A849" s="15"/>
      <c r="B849" s="1"/>
      <c r="C849" s="6"/>
      <c r="D849" s="7"/>
      <c r="E849" s="8"/>
      <c r="F849" s="11"/>
      <c r="G849" s="14"/>
      <c r="H849" s="14"/>
      <c r="I849" s="5"/>
      <c r="J849" s="12"/>
      <c r="K849" s="53"/>
    </row>
    <row r="850" spans="1:11" x14ac:dyDescent="0.25">
      <c r="A850" s="15"/>
      <c r="B850" s="1"/>
      <c r="C850" s="6"/>
      <c r="D850" s="7"/>
      <c r="E850" s="8"/>
      <c r="F850" s="10"/>
      <c r="G850" s="10"/>
      <c r="H850" s="5"/>
      <c r="I850" s="5"/>
      <c r="J850" s="12"/>
      <c r="K850" s="53"/>
    </row>
    <row r="851" spans="1:11" x14ac:dyDescent="0.25">
      <c r="A851" s="15"/>
      <c r="B851" s="1"/>
      <c r="C851" s="6"/>
      <c r="D851" s="7"/>
      <c r="E851" s="8"/>
      <c r="F851" s="11"/>
      <c r="G851" s="14"/>
      <c r="H851" s="14"/>
      <c r="I851" s="14"/>
      <c r="J851" s="12"/>
      <c r="K851" s="53"/>
    </row>
    <row r="852" spans="1:11" x14ac:dyDescent="0.25">
      <c r="A852" s="15"/>
      <c r="B852" s="1"/>
      <c r="C852" s="6"/>
      <c r="D852" s="7"/>
      <c r="E852" s="8"/>
      <c r="F852" s="11"/>
      <c r="G852" s="14"/>
      <c r="H852" s="14"/>
      <c r="I852" s="14"/>
      <c r="J852" s="12"/>
      <c r="K852" s="53"/>
    </row>
    <row r="853" spans="1:11" x14ac:dyDescent="0.25">
      <c r="A853" s="15"/>
      <c r="B853" s="1"/>
      <c r="C853" s="6"/>
      <c r="D853" s="7"/>
      <c r="E853" s="8"/>
      <c r="F853" s="11"/>
      <c r="G853" s="14"/>
      <c r="H853" s="14"/>
      <c r="I853" s="14"/>
      <c r="J853" s="12"/>
      <c r="K853" s="53"/>
    </row>
    <row r="854" spans="1:11" x14ac:dyDescent="0.25">
      <c r="A854" s="15"/>
      <c r="B854" s="1"/>
      <c r="C854" s="6"/>
      <c r="D854" s="7"/>
      <c r="E854" s="8"/>
      <c r="F854" s="11"/>
      <c r="G854" s="14"/>
      <c r="H854" s="14"/>
      <c r="I854" s="14"/>
      <c r="J854" s="12"/>
      <c r="K854" s="53"/>
    </row>
    <row r="855" spans="1:11" x14ac:dyDescent="0.25">
      <c r="A855" s="2"/>
      <c r="B855" s="1"/>
      <c r="C855" s="6"/>
      <c r="D855" s="7"/>
      <c r="E855" s="8"/>
      <c r="F855" s="11"/>
      <c r="G855" s="14"/>
      <c r="H855" s="14"/>
      <c r="I855" s="14"/>
      <c r="J855" s="12"/>
      <c r="K855" s="53"/>
    </row>
    <row r="856" spans="1:11" x14ac:dyDescent="0.25">
      <c r="A856" s="2"/>
      <c r="B856" s="1"/>
      <c r="C856" s="6"/>
      <c r="D856" s="7"/>
      <c r="E856" s="8"/>
      <c r="F856" s="11"/>
      <c r="G856" s="14"/>
      <c r="H856" s="14"/>
      <c r="I856" s="14"/>
      <c r="J856" s="12"/>
      <c r="K856" s="53"/>
    </row>
    <row r="857" spans="1:11" x14ac:dyDescent="0.25">
      <c r="A857" s="2"/>
      <c r="B857" s="1"/>
      <c r="C857" s="6"/>
      <c r="D857" s="7"/>
      <c r="E857" s="8"/>
      <c r="F857" s="11"/>
      <c r="G857" s="14"/>
      <c r="H857" s="14"/>
      <c r="I857" s="14"/>
      <c r="J857" s="12"/>
      <c r="K857" s="53"/>
    </row>
    <row r="858" spans="1:11" x14ac:dyDescent="0.25">
      <c r="A858" s="2"/>
      <c r="B858" s="1"/>
      <c r="C858" s="6"/>
      <c r="D858" s="7"/>
      <c r="E858" s="8"/>
      <c r="F858" s="11"/>
      <c r="G858" s="14"/>
      <c r="H858" s="14"/>
      <c r="I858" s="14"/>
      <c r="J858" s="12"/>
      <c r="K858" s="53"/>
    </row>
    <row r="859" spans="1:11" x14ac:dyDescent="0.25">
      <c r="A859" s="2"/>
      <c r="B859" s="1"/>
      <c r="C859" s="6"/>
      <c r="D859" s="3"/>
      <c r="E859" s="4"/>
      <c r="F859" s="5"/>
      <c r="G859" s="5"/>
      <c r="H859" s="5"/>
      <c r="I859" s="5"/>
      <c r="J859" s="12"/>
      <c r="K859" s="53"/>
    </row>
    <row r="860" spans="1:11" x14ac:dyDescent="0.25">
      <c r="A860" s="2"/>
      <c r="B860" s="1"/>
      <c r="C860" s="6"/>
      <c r="D860" s="7"/>
      <c r="E860" s="8"/>
      <c r="F860" s="11"/>
      <c r="G860" s="14"/>
      <c r="H860" s="14"/>
      <c r="I860" s="14"/>
      <c r="J860" s="12"/>
      <c r="K860" s="53"/>
    </row>
    <row r="861" spans="1:11" x14ac:dyDescent="0.25">
      <c r="A861" s="2"/>
      <c r="B861" s="1"/>
      <c r="C861" s="6"/>
      <c r="D861" s="7"/>
      <c r="E861" s="8"/>
      <c r="F861" s="11"/>
      <c r="G861" s="14"/>
      <c r="H861" s="14"/>
      <c r="I861" s="14"/>
      <c r="J861" s="12"/>
      <c r="K861" s="53"/>
    </row>
    <row r="862" spans="1:11" x14ac:dyDescent="0.25">
      <c r="A862" s="2"/>
      <c r="B862" s="1"/>
      <c r="C862" s="6"/>
      <c r="D862" s="7"/>
      <c r="E862" s="8"/>
      <c r="F862" s="11"/>
      <c r="G862" s="14"/>
      <c r="H862" s="14"/>
      <c r="I862" s="14"/>
      <c r="J862" s="12"/>
      <c r="K862" s="53"/>
    </row>
    <row r="863" spans="1:11" x14ac:dyDescent="0.25">
      <c r="A863" s="2"/>
      <c r="B863" s="1"/>
      <c r="C863" s="6"/>
      <c r="D863" s="7"/>
      <c r="E863" s="8"/>
      <c r="F863" s="11"/>
      <c r="G863" s="14"/>
      <c r="H863" s="14"/>
      <c r="I863" s="14"/>
      <c r="J863" s="12"/>
      <c r="K863" s="53"/>
    </row>
    <row r="864" spans="1:11" x14ac:dyDescent="0.25">
      <c r="A864" s="2"/>
      <c r="B864" s="1"/>
      <c r="C864" s="6"/>
      <c r="D864" s="7"/>
      <c r="E864" s="8"/>
      <c r="F864" s="11"/>
      <c r="G864" s="14"/>
      <c r="H864" s="14"/>
      <c r="I864" s="14"/>
      <c r="J864" s="12"/>
      <c r="K864" s="53"/>
    </row>
    <row r="865" spans="1:11" x14ac:dyDescent="0.25">
      <c r="A865" s="2"/>
      <c r="B865" s="1"/>
      <c r="C865" s="6"/>
      <c r="D865" s="7"/>
      <c r="E865" s="8"/>
      <c r="F865" s="11"/>
      <c r="G865" s="5"/>
      <c r="H865" s="5"/>
      <c r="I865" s="5"/>
      <c r="J865" s="12"/>
      <c r="K865" s="53"/>
    </row>
    <row r="866" spans="1:11" x14ac:dyDescent="0.25">
      <c r="A866" s="2"/>
      <c r="B866" s="1"/>
      <c r="C866" s="6"/>
      <c r="D866" s="7"/>
      <c r="E866" s="8"/>
      <c r="F866" s="11"/>
      <c r="G866" s="14"/>
      <c r="H866" s="14"/>
      <c r="I866" s="14"/>
      <c r="J866" s="12"/>
      <c r="K866" s="53"/>
    </row>
    <row r="867" spans="1:11" x14ac:dyDescent="0.25">
      <c r="A867" s="2"/>
      <c r="B867" s="1"/>
      <c r="C867" s="6"/>
      <c r="D867" s="7"/>
      <c r="E867" s="8"/>
      <c r="F867" s="11"/>
      <c r="G867" s="14"/>
      <c r="H867" s="14"/>
      <c r="I867" s="14"/>
      <c r="J867" s="12"/>
      <c r="K867" s="53"/>
    </row>
    <row r="868" spans="1:11" x14ac:dyDescent="0.25">
      <c r="A868" s="2"/>
      <c r="B868" s="1"/>
      <c r="C868" s="6"/>
      <c r="D868" s="7"/>
      <c r="E868" s="8"/>
      <c r="F868" s="11"/>
      <c r="G868" s="5"/>
      <c r="H868" s="5"/>
      <c r="I868" s="5"/>
      <c r="J868" s="12"/>
      <c r="K868" s="53"/>
    </row>
    <row r="869" spans="1:11" x14ac:dyDescent="0.25">
      <c r="A869" s="2"/>
      <c r="B869" s="1"/>
      <c r="C869" s="6"/>
      <c r="D869" s="7"/>
      <c r="E869" s="8"/>
      <c r="F869" s="11"/>
      <c r="G869" s="14"/>
      <c r="H869" s="14"/>
      <c r="I869" s="14"/>
      <c r="J869" s="12"/>
      <c r="K869" s="53"/>
    </row>
    <row r="870" spans="1:11" x14ac:dyDescent="0.25">
      <c r="A870" s="2"/>
      <c r="B870" s="1"/>
      <c r="C870" s="6"/>
      <c r="D870" s="7"/>
      <c r="E870" s="8"/>
      <c r="F870" s="11"/>
      <c r="G870" s="14"/>
      <c r="H870" s="14"/>
      <c r="I870" s="14"/>
      <c r="J870" s="12"/>
      <c r="K870" s="53"/>
    </row>
    <row r="871" spans="1:11" x14ac:dyDescent="0.25">
      <c r="A871" s="2"/>
      <c r="B871" s="1"/>
      <c r="C871" s="6"/>
      <c r="D871" s="7"/>
      <c r="E871" s="8"/>
      <c r="F871" s="11"/>
      <c r="G871" s="14"/>
      <c r="H871" s="5"/>
      <c r="I871" s="5"/>
      <c r="J871" s="12"/>
      <c r="K871" s="53"/>
    </row>
    <row r="872" spans="1:11" x14ac:dyDescent="0.25">
      <c r="A872" s="2"/>
      <c r="B872" s="1"/>
      <c r="C872" s="6"/>
      <c r="D872" s="7"/>
      <c r="E872" s="8"/>
      <c r="F872" s="14"/>
      <c r="G872" s="14"/>
      <c r="H872" s="5"/>
      <c r="I872" s="5"/>
      <c r="J872" s="12"/>
      <c r="K872" s="53"/>
    </row>
    <row r="873" spans="1:11" x14ac:dyDescent="0.25">
      <c r="A873" s="2"/>
      <c r="B873" s="1"/>
      <c r="C873" s="6"/>
      <c r="D873" s="7"/>
      <c r="E873" s="8"/>
      <c r="F873" s="11"/>
      <c r="G873" s="14"/>
      <c r="H873" s="14"/>
      <c r="I873" s="14"/>
      <c r="J873" s="12"/>
      <c r="K873" s="53"/>
    </row>
    <row r="874" spans="1:11" x14ac:dyDescent="0.25">
      <c r="A874" s="2"/>
      <c r="B874" s="1"/>
      <c r="C874" s="6"/>
      <c r="D874" s="7"/>
      <c r="E874" s="8"/>
      <c r="F874" s="11"/>
      <c r="G874" s="14"/>
      <c r="H874" s="14"/>
      <c r="I874" s="14"/>
      <c r="J874" s="12"/>
      <c r="K874" s="53"/>
    </row>
    <row r="875" spans="1:11" x14ac:dyDescent="0.25">
      <c r="A875" s="2"/>
      <c r="B875" s="1"/>
      <c r="C875" s="6"/>
      <c r="D875" s="7"/>
      <c r="E875" s="8"/>
      <c r="F875" s="11"/>
      <c r="G875" s="14"/>
      <c r="H875" s="14"/>
      <c r="I875" s="14"/>
      <c r="J875" s="12"/>
      <c r="K875" s="53"/>
    </row>
    <row r="876" spans="1:11" x14ac:dyDescent="0.25">
      <c r="A876" s="2"/>
      <c r="B876" s="1"/>
      <c r="C876" s="6"/>
      <c r="D876" s="7"/>
      <c r="E876" s="8"/>
      <c r="F876" s="11"/>
      <c r="G876" s="14"/>
      <c r="H876" s="14"/>
      <c r="I876" s="14"/>
      <c r="J876" s="12"/>
      <c r="K876" s="53"/>
    </row>
    <row r="877" spans="1:11" x14ac:dyDescent="0.25">
      <c r="A877" s="2"/>
      <c r="B877" s="1"/>
      <c r="C877" s="6"/>
      <c r="D877" s="7"/>
      <c r="E877" s="8"/>
      <c r="F877" s="11"/>
      <c r="G877" s="14"/>
      <c r="H877" s="14"/>
      <c r="I877" s="14"/>
      <c r="J877" s="12"/>
      <c r="K877" s="53"/>
    </row>
    <row r="878" spans="1:11" x14ac:dyDescent="0.25">
      <c r="A878" s="2"/>
      <c r="B878" s="1"/>
      <c r="C878" s="6"/>
      <c r="D878" s="7"/>
      <c r="E878" s="8"/>
      <c r="F878" s="11"/>
      <c r="G878" s="14"/>
      <c r="H878" s="14"/>
      <c r="I878" s="14"/>
      <c r="J878" s="12"/>
      <c r="K878" s="53"/>
    </row>
    <row r="879" spans="1:11" x14ac:dyDescent="0.25">
      <c r="A879" s="2"/>
      <c r="B879" s="1"/>
      <c r="C879" s="6"/>
      <c r="D879" s="7"/>
      <c r="E879" s="8"/>
      <c r="F879" s="16"/>
      <c r="G879" s="17"/>
      <c r="H879" s="14"/>
      <c r="I879" s="14"/>
      <c r="J879" s="12"/>
      <c r="K879" s="53"/>
    </row>
    <row r="880" spans="1:11" x14ac:dyDescent="0.25">
      <c r="A880" s="2"/>
      <c r="B880" s="1"/>
      <c r="C880" s="6"/>
      <c r="D880" s="7"/>
      <c r="E880" s="8"/>
      <c r="F880" s="11"/>
      <c r="G880" s="14"/>
      <c r="H880" s="14"/>
      <c r="I880" s="14"/>
      <c r="J880" s="12"/>
      <c r="K880" s="53"/>
    </row>
    <row r="881" spans="1:11" x14ac:dyDescent="0.25">
      <c r="A881" s="2"/>
      <c r="B881" s="1"/>
      <c r="C881" s="6"/>
      <c r="D881" s="7"/>
      <c r="E881" s="8"/>
      <c r="F881" s="11"/>
      <c r="G881" s="14"/>
      <c r="H881" s="14"/>
      <c r="I881" s="14"/>
      <c r="J881" s="12"/>
      <c r="K881" s="53"/>
    </row>
    <row r="882" spans="1:11" x14ac:dyDescent="0.25">
      <c r="A882" s="2"/>
      <c r="B882" s="1"/>
      <c r="C882" s="6"/>
      <c r="D882" s="7"/>
      <c r="E882" s="8"/>
      <c r="F882" s="11"/>
      <c r="G882" s="14"/>
      <c r="H882" s="14"/>
      <c r="I882" s="14"/>
      <c r="J882" s="12"/>
      <c r="K882" s="53"/>
    </row>
    <row r="883" spans="1:11" x14ac:dyDescent="0.25">
      <c r="A883" s="2"/>
      <c r="B883" s="1"/>
      <c r="C883" s="6"/>
      <c r="D883" s="7"/>
      <c r="E883" s="8"/>
      <c r="F883" s="11"/>
      <c r="G883" s="14"/>
      <c r="H883" s="14"/>
      <c r="I883" s="14"/>
      <c r="J883" s="12"/>
      <c r="K883" s="53"/>
    </row>
    <row r="884" spans="1:11" x14ac:dyDescent="0.25">
      <c r="A884" s="2"/>
      <c r="B884" s="1"/>
      <c r="C884" s="6"/>
      <c r="D884" s="7"/>
      <c r="E884" s="8"/>
      <c r="F884" s="11"/>
      <c r="G884" s="14"/>
      <c r="H884" s="14"/>
      <c r="I884" s="5"/>
      <c r="J884" s="12"/>
      <c r="K884" s="53"/>
    </row>
    <row r="885" spans="1:11" x14ac:dyDescent="0.25">
      <c r="A885" s="2"/>
      <c r="B885" s="1"/>
      <c r="C885" s="6"/>
      <c r="D885" s="7"/>
      <c r="E885" s="8"/>
      <c r="F885" s="11"/>
      <c r="G885" s="14"/>
      <c r="H885" s="14"/>
      <c r="I885" s="14"/>
      <c r="J885" s="12"/>
      <c r="K885" s="53"/>
    </row>
    <row r="886" spans="1:11" x14ac:dyDescent="0.25">
      <c r="A886" s="2"/>
      <c r="B886" s="1"/>
      <c r="C886" s="6"/>
      <c r="D886" s="7"/>
      <c r="E886" s="8"/>
      <c r="F886" s="11"/>
      <c r="G886" s="14"/>
      <c r="H886" s="14"/>
      <c r="I886" s="14"/>
      <c r="J886" s="12"/>
      <c r="K886" s="53"/>
    </row>
    <row r="887" spans="1:11" x14ac:dyDescent="0.25">
      <c r="A887" s="2"/>
      <c r="B887" s="1"/>
      <c r="C887" s="6"/>
      <c r="D887" s="7"/>
      <c r="E887" s="8"/>
      <c r="F887" s="11"/>
      <c r="G887" s="5"/>
      <c r="H887" s="5"/>
      <c r="I887" s="5"/>
      <c r="J887" s="12"/>
      <c r="K887" s="53"/>
    </row>
    <row r="888" spans="1:11" x14ac:dyDescent="0.25">
      <c r="A888" s="2"/>
      <c r="B888" s="1"/>
      <c r="C888" s="6"/>
      <c r="D888" s="7"/>
      <c r="E888" s="8"/>
      <c r="F888" s="11"/>
      <c r="G888" s="14"/>
      <c r="H888" s="14"/>
      <c r="I888" s="14"/>
      <c r="J888" s="12"/>
      <c r="K888" s="53"/>
    </row>
    <row r="889" spans="1:11" x14ac:dyDescent="0.25">
      <c r="A889" s="2"/>
      <c r="B889" s="1"/>
      <c r="C889" s="6"/>
      <c r="D889" s="7"/>
      <c r="E889" s="8"/>
      <c r="F889" s="11"/>
      <c r="G889" s="14"/>
      <c r="H889" s="14"/>
      <c r="I889" s="14"/>
      <c r="J889" s="12"/>
      <c r="K889" s="53"/>
    </row>
    <row r="890" spans="1:11" x14ac:dyDescent="0.25">
      <c r="A890" s="2"/>
      <c r="B890" s="1"/>
      <c r="C890" s="6"/>
      <c r="D890" s="7"/>
      <c r="E890" s="8"/>
      <c r="F890" s="11"/>
      <c r="G890" s="14"/>
      <c r="H890" s="14"/>
      <c r="I890" s="14"/>
      <c r="J890" s="12"/>
      <c r="K890" s="53"/>
    </row>
    <row r="891" spans="1:11" x14ac:dyDescent="0.25">
      <c r="A891" s="2"/>
      <c r="B891" s="1"/>
      <c r="C891" s="6"/>
      <c r="D891" s="7"/>
      <c r="E891" s="8"/>
      <c r="F891" s="11"/>
      <c r="G891" s="14"/>
      <c r="H891" s="14"/>
      <c r="I891" s="14"/>
      <c r="J891" s="12"/>
      <c r="K891" s="53"/>
    </row>
    <row r="892" spans="1:11" x14ac:dyDescent="0.25">
      <c r="A892" s="2"/>
      <c r="B892" s="1"/>
      <c r="C892" s="6"/>
      <c r="D892" s="7"/>
      <c r="E892" s="8"/>
      <c r="F892" s="11"/>
      <c r="G892" s="14"/>
      <c r="H892" s="14"/>
      <c r="I892" s="14"/>
      <c r="J892" s="12"/>
      <c r="K892" s="53"/>
    </row>
    <row r="893" spans="1:11" x14ac:dyDescent="0.25">
      <c r="A893" s="2"/>
      <c r="B893" s="1"/>
      <c r="C893" s="6"/>
      <c r="D893" s="7"/>
      <c r="E893" s="8"/>
      <c r="F893" s="11"/>
      <c r="G893" s="14"/>
      <c r="H893" s="14"/>
      <c r="I893" s="14"/>
      <c r="J893" s="12"/>
      <c r="K893" s="53"/>
    </row>
    <row r="894" spans="1:11" x14ac:dyDescent="0.25">
      <c r="A894" s="2"/>
      <c r="B894" s="1"/>
      <c r="C894" s="6"/>
      <c r="D894" s="7"/>
      <c r="E894" s="8"/>
      <c r="F894" s="11"/>
      <c r="G894" s="14"/>
      <c r="H894" s="14"/>
      <c r="I894" s="14"/>
      <c r="J894" s="12"/>
      <c r="K894" s="53"/>
    </row>
    <row r="895" spans="1:11" x14ac:dyDescent="0.25">
      <c r="A895" s="2"/>
      <c r="B895" s="1"/>
      <c r="C895" s="6"/>
      <c r="D895" s="7"/>
      <c r="E895" s="8"/>
      <c r="F895" s="11"/>
      <c r="G895" s="14"/>
      <c r="H895" s="14"/>
      <c r="I895" s="14"/>
      <c r="J895" s="12"/>
      <c r="K895" s="53"/>
    </row>
    <row r="896" spans="1:11" x14ac:dyDescent="0.25">
      <c r="A896" s="2"/>
      <c r="B896" s="1"/>
      <c r="C896" s="6"/>
      <c r="D896" s="7"/>
      <c r="E896" s="8"/>
      <c r="F896" s="11"/>
      <c r="G896" s="14"/>
      <c r="H896" s="14"/>
      <c r="I896" s="14"/>
      <c r="J896" s="12"/>
      <c r="K896" s="53"/>
    </row>
    <row r="897" spans="1:11" x14ac:dyDescent="0.25">
      <c r="A897" s="2"/>
      <c r="B897" s="1"/>
      <c r="C897" s="6"/>
      <c r="D897" s="7"/>
      <c r="E897" s="8"/>
      <c r="F897" s="11"/>
      <c r="G897" s="14"/>
      <c r="H897" s="14"/>
      <c r="I897" s="14"/>
      <c r="J897" s="12"/>
      <c r="K897" s="53"/>
    </row>
    <row r="898" spans="1:11" x14ac:dyDescent="0.25">
      <c r="A898" s="2"/>
      <c r="B898" s="1"/>
      <c r="C898" s="6"/>
      <c r="D898" s="7"/>
      <c r="E898" s="8"/>
      <c r="F898" s="11"/>
      <c r="G898" s="14"/>
      <c r="H898" s="14"/>
      <c r="I898" s="14"/>
      <c r="J898" s="12"/>
      <c r="K898" s="53"/>
    </row>
    <row r="899" spans="1:11" x14ac:dyDescent="0.25">
      <c r="A899" s="2"/>
      <c r="B899" s="1"/>
      <c r="C899" s="6"/>
      <c r="D899" s="7"/>
      <c r="E899" s="8"/>
      <c r="F899" s="11"/>
      <c r="G899" s="14"/>
      <c r="H899" s="14"/>
      <c r="I899" s="14"/>
      <c r="J899" s="12"/>
      <c r="K899" s="53"/>
    </row>
    <row r="900" spans="1:11" x14ac:dyDescent="0.25">
      <c r="A900" s="2"/>
      <c r="B900" s="1"/>
      <c r="C900" s="6"/>
      <c r="D900" s="7"/>
      <c r="E900" s="8"/>
      <c r="F900" s="11"/>
      <c r="G900" s="14"/>
      <c r="H900" s="14"/>
      <c r="I900" s="14"/>
      <c r="J900" s="12"/>
      <c r="K900" s="53"/>
    </row>
    <row r="901" spans="1:11" x14ac:dyDescent="0.25">
      <c r="A901" s="2"/>
      <c r="B901" s="1"/>
      <c r="C901" s="6"/>
      <c r="D901" s="7"/>
      <c r="E901" s="8"/>
      <c r="F901" s="11"/>
      <c r="G901" s="14"/>
      <c r="H901" s="14"/>
      <c r="I901" s="14"/>
      <c r="J901" s="12"/>
      <c r="K901" s="53"/>
    </row>
    <row r="902" spans="1:11" x14ac:dyDescent="0.25">
      <c r="A902" s="2"/>
      <c r="B902" s="1"/>
      <c r="C902" s="6"/>
      <c r="D902" s="7"/>
      <c r="E902" s="8"/>
      <c r="F902" s="11"/>
      <c r="G902" s="14"/>
      <c r="H902" s="14"/>
      <c r="I902" s="14"/>
      <c r="J902" s="12"/>
      <c r="K902" s="53"/>
    </row>
    <row r="903" spans="1:11" x14ac:dyDescent="0.25">
      <c r="A903" s="2"/>
      <c r="B903" s="1"/>
      <c r="C903" s="6"/>
      <c r="D903" s="7"/>
      <c r="E903" s="8"/>
      <c r="F903" s="11"/>
      <c r="G903" s="14"/>
      <c r="H903" s="14"/>
      <c r="I903" s="14"/>
      <c r="J903" s="12"/>
      <c r="K903" s="53"/>
    </row>
    <row r="904" spans="1:11" x14ac:dyDescent="0.25">
      <c r="A904" s="2"/>
      <c r="B904" s="1"/>
      <c r="C904" s="6"/>
      <c r="D904" s="7"/>
      <c r="E904" s="8"/>
      <c r="F904" s="11"/>
      <c r="G904" s="14"/>
      <c r="H904" s="14"/>
      <c r="I904" s="14"/>
      <c r="J904" s="12"/>
      <c r="K904" s="53"/>
    </row>
    <row r="905" spans="1:11" x14ac:dyDescent="0.25">
      <c r="A905" s="2"/>
      <c r="B905" s="1"/>
      <c r="C905" s="6"/>
      <c r="D905" s="7"/>
      <c r="E905" s="8"/>
      <c r="F905" s="11"/>
      <c r="G905" s="14"/>
      <c r="H905" s="14"/>
      <c r="I905" s="14"/>
      <c r="J905" s="12"/>
      <c r="K905" s="53"/>
    </row>
    <row r="906" spans="1:11" x14ac:dyDescent="0.25">
      <c r="A906" s="2"/>
      <c r="B906" s="1"/>
      <c r="C906" s="6"/>
      <c r="D906" s="7"/>
      <c r="E906" s="8"/>
      <c r="F906" s="11"/>
      <c r="G906" s="14"/>
      <c r="H906" s="14"/>
      <c r="I906" s="14"/>
      <c r="J906" s="12"/>
      <c r="K906" s="53"/>
    </row>
    <row r="907" spans="1:11" x14ac:dyDescent="0.25">
      <c r="A907" s="2"/>
      <c r="B907" s="1"/>
      <c r="C907" s="6"/>
      <c r="D907" s="7"/>
      <c r="E907" s="8"/>
      <c r="F907" s="11"/>
      <c r="G907" s="14"/>
      <c r="H907" s="14"/>
      <c r="I907" s="14"/>
      <c r="J907" s="12"/>
      <c r="K907" s="53"/>
    </row>
    <row r="908" spans="1:11" x14ac:dyDescent="0.25">
      <c r="A908" s="2"/>
      <c r="B908" s="1"/>
      <c r="C908" s="6"/>
      <c r="D908" s="7"/>
      <c r="E908" s="8"/>
      <c r="F908" s="11"/>
      <c r="G908" s="14"/>
      <c r="H908" s="14"/>
      <c r="I908" s="14"/>
      <c r="J908" s="12"/>
      <c r="K908" s="53"/>
    </row>
    <row r="909" spans="1:11" x14ac:dyDescent="0.25">
      <c r="A909" s="2"/>
      <c r="B909" s="1"/>
      <c r="C909" s="6"/>
      <c r="D909" s="7"/>
      <c r="E909" s="8"/>
      <c r="F909" s="11"/>
      <c r="G909" s="14"/>
      <c r="H909" s="14"/>
      <c r="I909" s="14"/>
      <c r="J909" s="12"/>
      <c r="K909" s="53"/>
    </row>
    <row r="910" spans="1:11" x14ac:dyDescent="0.25">
      <c r="A910" s="2"/>
      <c r="B910" s="1"/>
      <c r="C910" s="6"/>
      <c r="D910" s="7"/>
      <c r="E910" s="8"/>
      <c r="F910" s="11"/>
      <c r="G910" s="14"/>
      <c r="H910" s="14"/>
      <c r="I910" s="14"/>
      <c r="J910" s="12"/>
      <c r="K910" s="53"/>
    </row>
    <row r="911" spans="1:11" x14ac:dyDescent="0.25">
      <c r="A911" s="2"/>
      <c r="B911" s="1"/>
      <c r="C911" s="6"/>
      <c r="D911" s="7"/>
      <c r="E911" s="8"/>
      <c r="F911" s="10"/>
      <c r="G911" s="10"/>
      <c r="H911" s="5"/>
      <c r="I911" s="5"/>
      <c r="J911" s="12"/>
      <c r="K911" s="53"/>
    </row>
    <row r="912" spans="1:11" x14ac:dyDescent="0.25">
      <c r="A912" s="2"/>
      <c r="B912" s="1"/>
      <c r="C912" s="6"/>
      <c r="D912" s="7"/>
      <c r="E912" s="8"/>
      <c r="F912" s="11"/>
      <c r="G912" s="14"/>
      <c r="H912" s="14"/>
      <c r="I912" s="14"/>
      <c r="J912" s="12"/>
      <c r="K912" s="53"/>
    </row>
    <row r="913" spans="1:11" x14ac:dyDescent="0.25">
      <c r="A913" s="2"/>
      <c r="B913" s="1"/>
      <c r="C913" s="6"/>
      <c r="D913" s="7"/>
      <c r="E913" s="8"/>
      <c r="F913" s="11"/>
      <c r="G913" s="14"/>
      <c r="H913" s="14"/>
      <c r="I913" s="14"/>
      <c r="J913" s="12"/>
      <c r="K913" s="53"/>
    </row>
    <row r="914" spans="1:11" x14ac:dyDescent="0.25">
      <c r="A914" s="2"/>
      <c r="B914" s="1"/>
      <c r="C914" s="6"/>
      <c r="D914" s="7"/>
      <c r="E914" s="8"/>
      <c r="F914" s="11"/>
      <c r="G914" s="14"/>
      <c r="H914" s="14"/>
      <c r="I914" s="14"/>
      <c r="J914" s="12"/>
      <c r="K914" s="53"/>
    </row>
    <row r="915" spans="1:11" x14ac:dyDescent="0.25">
      <c r="A915" s="2"/>
      <c r="B915" s="1"/>
      <c r="C915" s="6"/>
      <c r="D915" s="7"/>
      <c r="E915" s="8"/>
      <c r="F915" s="11"/>
      <c r="G915" s="14"/>
      <c r="H915" s="14"/>
      <c r="I915" s="14"/>
      <c r="J915" s="12"/>
      <c r="K915" s="53"/>
    </row>
    <row r="916" spans="1:11" x14ac:dyDescent="0.25">
      <c r="A916" s="2"/>
      <c r="B916" s="1"/>
      <c r="C916" s="6"/>
      <c r="D916" s="7"/>
      <c r="E916" s="8"/>
      <c r="F916" s="11"/>
      <c r="G916" s="14"/>
      <c r="H916" s="14"/>
      <c r="I916" s="5"/>
      <c r="J916" s="12"/>
      <c r="K916" s="53"/>
    </row>
    <row r="917" spans="1:11" x14ac:dyDescent="0.25">
      <c r="A917" s="2"/>
      <c r="B917" s="1"/>
      <c r="C917" s="6"/>
      <c r="D917" s="7"/>
      <c r="E917" s="8"/>
      <c r="F917" s="11"/>
      <c r="G917" s="14"/>
      <c r="H917" s="14"/>
      <c r="I917" s="14"/>
      <c r="J917" s="12"/>
      <c r="K917" s="53"/>
    </row>
    <row r="918" spans="1:11" x14ac:dyDescent="0.25">
      <c r="A918" s="2"/>
      <c r="B918" s="1"/>
      <c r="C918" s="6"/>
      <c r="D918" s="7"/>
      <c r="E918" s="8"/>
      <c r="F918" s="11"/>
      <c r="G918" s="14"/>
      <c r="H918" s="14"/>
      <c r="I918" s="14"/>
      <c r="J918" s="12"/>
      <c r="K918" s="53"/>
    </row>
    <row r="919" spans="1:11" x14ac:dyDescent="0.25">
      <c r="A919" s="2"/>
      <c r="B919" s="1"/>
      <c r="C919" s="6"/>
      <c r="D919" s="7"/>
      <c r="E919" s="8"/>
      <c r="F919" s="11"/>
      <c r="G919" s="14"/>
      <c r="H919" s="14"/>
      <c r="I919" s="14"/>
      <c r="J919" s="12"/>
      <c r="K919" s="53"/>
    </row>
    <row r="920" spans="1:11" x14ac:dyDescent="0.25">
      <c r="A920" s="2"/>
      <c r="B920" s="1"/>
      <c r="C920" s="6"/>
      <c r="D920" s="7"/>
      <c r="E920" s="8"/>
      <c r="F920" s="11"/>
      <c r="G920" s="14"/>
      <c r="H920" s="14"/>
      <c r="I920" s="14"/>
      <c r="J920" s="12"/>
      <c r="K920" s="53"/>
    </row>
    <row r="921" spans="1:11" x14ac:dyDescent="0.25">
      <c r="A921" s="2"/>
      <c r="B921" s="1"/>
      <c r="C921" s="6"/>
      <c r="D921" s="7"/>
      <c r="E921" s="8"/>
      <c r="F921" s="11"/>
      <c r="G921" s="14"/>
      <c r="H921" s="14"/>
      <c r="I921" s="14"/>
      <c r="J921" s="12"/>
      <c r="K921" s="53"/>
    </row>
    <row r="922" spans="1:11" x14ac:dyDescent="0.25">
      <c r="A922" s="2"/>
      <c r="B922" s="1"/>
      <c r="C922" s="6"/>
      <c r="D922" s="7"/>
      <c r="E922" s="8"/>
      <c r="F922" s="11"/>
      <c r="G922" s="14"/>
      <c r="H922" s="14"/>
      <c r="I922" s="14"/>
      <c r="J922" s="12"/>
      <c r="K922" s="53"/>
    </row>
    <row r="923" spans="1:11" ht="16.5" thickBot="1" x14ac:dyDescent="0.3">
      <c r="A923" s="18"/>
      <c r="B923" s="19"/>
      <c r="C923" s="20"/>
      <c r="D923" s="21"/>
      <c r="E923" s="22"/>
      <c r="F923" s="23"/>
      <c r="G923" s="24"/>
      <c r="H923" s="24"/>
      <c r="I923" s="24"/>
      <c r="J923" s="25"/>
      <c r="K923" s="53"/>
    </row>
    <row r="1616" spans="1:10" x14ac:dyDescent="0.25">
      <c r="A1616" s="2"/>
      <c r="B1616" s="1"/>
      <c r="C1616" s="6"/>
      <c r="D1616" s="7"/>
      <c r="E1616" s="8"/>
      <c r="F1616" s="5"/>
      <c r="G1616" s="5"/>
      <c r="H1616" s="5"/>
      <c r="I1616" s="5"/>
      <c r="J1616" s="9"/>
    </row>
    <row r="1617" spans="1:10" x14ac:dyDescent="0.25">
      <c r="A1617" s="2"/>
      <c r="B1617" s="1"/>
      <c r="C1617" s="6"/>
      <c r="D1617" s="7"/>
      <c r="E1617" s="8"/>
      <c r="F1617" s="5"/>
      <c r="G1617" s="5"/>
      <c r="H1617" s="5"/>
      <c r="I1617" s="5"/>
      <c r="J1617" s="9"/>
    </row>
    <row r="1618" spans="1:10" x14ac:dyDescent="0.25">
      <c r="A1618" s="2"/>
      <c r="B1618" s="1"/>
      <c r="C1618" s="6"/>
      <c r="D1618" s="7"/>
      <c r="E1618" s="8"/>
      <c r="F1618" s="11"/>
      <c r="G1618" s="5"/>
      <c r="H1618" s="5"/>
      <c r="I1618" s="5"/>
      <c r="J1618" s="12"/>
    </row>
    <row r="1619" spans="1:10" x14ac:dyDescent="0.25">
      <c r="A1619" s="2"/>
      <c r="B1619" s="1"/>
      <c r="C1619" s="6"/>
      <c r="D1619" s="7"/>
      <c r="E1619" s="8"/>
      <c r="F1619" s="11"/>
      <c r="G1619" s="5"/>
      <c r="H1619" s="5"/>
      <c r="I1619" s="5"/>
      <c r="J1619" s="12"/>
    </row>
    <row r="1620" spans="1:10" x14ac:dyDescent="0.25">
      <c r="A1620" s="2"/>
      <c r="B1620" s="1"/>
      <c r="C1620" s="6"/>
      <c r="D1620" s="7"/>
      <c r="E1620" s="8"/>
      <c r="F1620" s="11"/>
      <c r="G1620" s="5"/>
      <c r="H1620" s="5"/>
      <c r="I1620" s="5"/>
      <c r="J1620" s="12"/>
    </row>
    <row r="1621" spans="1:10" x14ac:dyDescent="0.25">
      <c r="A1621" s="2"/>
      <c r="B1621" s="1"/>
      <c r="C1621" s="6"/>
      <c r="D1621" s="7"/>
      <c r="E1621" s="8"/>
      <c r="F1621" s="11"/>
      <c r="G1621" s="5"/>
      <c r="H1621" s="5"/>
      <c r="I1621" s="5"/>
      <c r="J1621" s="12"/>
    </row>
    <row r="1622" spans="1:10" x14ac:dyDescent="0.25">
      <c r="A1622" s="2"/>
      <c r="B1622" s="1"/>
      <c r="C1622" s="6"/>
      <c r="D1622" s="7"/>
      <c r="E1622" s="8"/>
      <c r="F1622" s="11"/>
      <c r="G1622" s="5"/>
      <c r="H1622" s="5"/>
      <c r="I1622" s="5"/>
      <c r="J1622" s="12"/>
    </row>
    <row r="1623" spans="1:10" x14ac:dyDescent="0.25">
      <c r="A1623" s="2"/>
      <c r="B1623" s="1"/>
      <c r="C1623" s="6"/>
      <c r="D1623" s="7"/>
      <c r="E1623" s="8"/>
      <c r="F1623" s="11"/>
      <c r="G1623" s="5"/>
      <c r="H1623" s="5"/>
      <c r="I1623" s="5"/>
      <c r="J1623" s="12"/>
    </row>
    <row r="1624" spans="1:10" x14ac:dyDescent="0.25">
      <c r="A1624" s="2"/>
      <c r="B1624" s="1"/>
      <c r="C1624" s="6"/>
      <c r="D1624" s="7"/>
      <c r="E1624" s="8"/>
      <c r="F1624" s="11"/>
      <c r="G1624" s="5"/>
      <c r="H1624" s="5"/>
      <c r="I1624" s="5"/>
      <c r="J1624" s="12"/>
    </row>
    <row r="1625" spans="1:10" x14ac:dyDescent="0.25">
      <c r="A1625" s="2"/>
      <c r="B1625" s="1"/>
      <c r="C1625" s="6"/>
      <c r="D1625" s="7"/>
      <c r="E1625" s="8"/>
      <c r="F1625" s="11"/>
      <c r="G1625" s="5"/>
      <c r="H1625" s="5"/>
      <c r="I1625" s="5"/>
      <c r="J1625" s="12"/>
    </row>
    <row r="1626" spans="1:10" x14ac:dyDescent="0.25">
      <c r="A1626" s="2"/>
      <c r="B1626" s="1"/>
      <c r="C1626" s="6"/>
      <c r="D1626" s="7"/>
      <c r="E1626" s="8"/>
      <c r="F1626" s="11"/>
      <c r="G1626" s="5"/>
      <c r="H1626" s="5"/>
      <c r="I1626" s="5"/>
      <c r="J1626" s="12"/>
    </row>
    <row r="1627" spans="1:10" x14ac:dyDescent="0.25">
      <c r="A1627" s="2"/>
      <c r="B1627" s="1"/>
      <c r="C1627" s="6"/>
      <c r="D1627" s="7"/>
      <c r="E1627" s="8"/>
      <c r="F1627" s="11"/>
      <c r="G1627" s="5"/>
      <c r="H1627" s="5"/>
      <c r="I1627" s="5"/>
      <c r="J1627" s="12"/>
    </row>
    <row r="1628" spans="1:10" x14ac:dyDescent="0.25">
      <c r="A1628" s="2"/>
      <c r="B1628" s="1"/>
      <c r="C1628" s="6"/>
      <c r="D1628" s="7"/>
      <c r="E1628" s="8"/>
      <c r="F1628" s="11"/>
      <c r="G1628" s="5"/>
      <c r="H1628" s="5"/>
      <c r="I1628" s="5"/>
      <c r="J1628" s="12"/>
    </row>
    <row r="1629" spans="1:10" x14ac:dyDescent="0.25">
      <c r="A1629" s="2"/>
      <c r="B1629" s="1"/>
      <c r="C1629" s="6"/>
      <c r="D1629" s="7"/>
      <c r="E1629" s="8"/>
      <c r="F1629" s="11"/>
      <c r="G1629" s="5"/>
      <c r="H1629" s="5"/>
      <c r="I1629" s="5"/>
      <c r="J1629" s="12"/>
    </row>
    <row r="1630" spans="1:10" x14ac:dyDescent="0.25">
      <c r="A1630" s="2"/>
      <c r="B1630" s="1"/>
      <c r="C1630" s="6"/>
      <c r="D1630" s="7"/>
      <c r="E1630" s="8"/>
      <c r="F1630" s="11"/>
      <c r="G1630" s="5"/>
      <c r="H1630" s="5"/>
      <c r="I1630" s="5"/>
      <c r="J1630" s="12"/>
    </row>
    <row r="1631" spans="1:10" x14ac:dyDescent="0.25">
      <c r="A1631" s="2"/>
      <c r="B1631" s="1"/>
      <c r="C1631" s="6"/>
      <c r="D1631" s="7"/>
      <c r="E1631" s="8"/>
      <c r="F1631" s="11"/>
      <c r="G1631" s="5"/>
      <c r="H1631" s="5"/>
      <c r="I1631" s="5"/>
      <c r="J1631" s="12"/>
    </row>
    <row r="1632" spans="1:10" x14ac:dyDescent="0.25">
      <c r="A1632" s="2"/>
      <c r="B1632" s="1"/>
      <c r="C1632" s="6"/>
      <c r="D1632" s="7"/>
      <c r="E1632" s="8"/>
      <c r="F1632" s="11"/>
      <c r="G1632" s="5"/>
      <c r="H1632" s="5"/>
      <c r="I1632" s="5"/>
      <c r="J1632" s="12"/>
    </row>
    <row r="1633" spans="1:10" x14ac:dyDescent="0.25">
      <c r="A1633" s="2"/>
      <c r="B1633" s="1"/>
      <c r="C1633" s="6"/>
      <c r="D1633" s="7"/>
      <c r="E1633" s="8"/>
      <c r="F1633" s="11"/>
      <c r="G1633" s="13"/>
      <c r="H1633" s="14"/>
      <c r="I1633" s="14"/>
      <c r="J1633" s="12"/>
    </row>
    <row r="1634" spans="1:10" x14ac:dyDescent="0.25">
      <c r="A1634" s="2"/>
      <c r="B1634" s="1"/>
      <c r="C1634" s="6"/>
      <c r="D1634" s="7"/>
      <c r="E1634" s="8"/>
      <c r="F1634" s="11"/>
      <c r="G1634" s="5"/>
      <c r="H1634" s="5"/>
      <c r="I1634" s="5"/>
      <c r="J1634" s="12"/>
    </row>
    <row r="1635" spans="1:10" x14ac:dyDescent="0.25">
      <c r="A1635" s="2"/>
      <c r="B1635" s="1"/>
      <c r="C1635" s="6"/>
      <c r="D1635" s="7"/>
      <c r="E1635" s="8"/>
      <c r="F1635" s="11"/>
      <c r="G1635" s="5"/>
      <c r="H1635" s="5"/>
      <c r="I1635" s="5"/>
      <c r="J1635" s="12"/>
    </row>
    <row r="1636" spans="1:10" x14ac:dyDescent="0.25">
      <c r="A1636" s="2"/>
      <c r="B1636" s="1"/>
      <c r="C1636" s="6"/>
      <c r="D1636" s="7"/>
      <c r="E1636" s="8"/>
      <c r="F1636" s="11"/>
      <c r="G1636" s="5"/>
      <c r="H1636" s="5"/>
      <c r="I1636" s="5"/>
      <c r="J1636" s="12"/>
    </row>
    <row r="1637" spans="1:10" x14ac:dyDescent="0.25">
      <c r="A1637" s="2"/>
      <c r="B1637" s="1"/>
      <c r="C1637" s="6"/>
      <c r="D1637" s="7"/>
      <c r="E1637" s="8"/>
      <c r="F1637" s="11"/>
      <c r="G1637" s="5"/>
      <c r="H1637" s="5"/>
      <c r="I1637" s="5"/>
      <c r="J1637" s="12"/>
    </row>
    <row r="1638" spans="1:10" x14ac:dyDescent="0.25">
      <c r="A1638" s="2"/>
      <c r="B1638" s="1"/>
      <c r="C1638" s="6"/>
      <c r="D1638" s="7"/>
      <c r="E1638" s="8"/>
      <c r="F1638" s="11"/>
      <c r="G1638" s="5"/>
      <c r="H1638" s="5"/>
      <c r="I1638" s="5"/>
      <c r="J1638" s="12"/>
    </row>
    <row r="1639" spans="1:10" x14ac:dyDescent="0.25">
      <c r="A1639" s="2"/>
      <c r="B1639" s="1"/>
      <c r="C1639" s="6"/>
      <c r="D1639" s="7"/>
      <c r="E1639" s="8"/>
      <c r="F1639" s="11"/>
      <c r="G1639" s="5"/>
      <c r="H1639" s="5"/>
      <c r="I1639" s="5"/>
      <c r="J1639" s="12"/>
    </row>
    <row r="1640" spans="1:10" x14ac:dyDescent="0.25">
      <c r="A1640" s="2"/>
      <c r="B1640" s="1"/>
      <c r="C1640" s="6"/>
      <c r="D1640" s="7"/>
      <c r="E1640" s="8"/>
      <c r="F1640" s="11"/>
      <c r="G1640" s="5"/>
      <c r="H1640" s="5"/>
      <c r="I1640" s="5"/>
      <c r="J1640" s="12"/>
    </row>
    <row r="1641" spans="1:10" x14ac:dyDescent="0.25">
      <c r="A1641" s="2"/>
      <c r="B1641" s="1"/>
      <c r="C1641" s="6"/>
      <c r="D1641" s="7"/>
      <c r="E1641" s="8"/>
      <c r="F1641" s="11"/>
      <c r="G1641" s="5"/>
      <c r="H1641" s="5"/>
      <c r="I1641" s="5"/>
      <c r="J1641" s="12"/>
    </row>
    <row r="1642" spans="1:10" x14ac:dyDescent="0.25">
      <c r="A1642" s="2"/>
      <c r="B1642" s="1"/>
      <c r="C1642" s="6"/>
      <c r="D1642" s="7"/>
      <c r="E1642" s="8"/>
      <c r="F1642" s="11"/>
      <c r="G1642" s="5"/>
      <c r="H1642" s="5"/>
      <c r="I1642" s="5"/>
      <c r="J1642" s="12"/>
    </row>
    <row r="1643" spans="1:10" x14ac:dyDescent="0.25">
      <c r="A1643" s="2"/>
      <c r="B1643" s="1"/>
      <c r="C1643" s="6"/>
      <c r="D1643" s="7"/>
      <c r="E1643" s="8"/>
      <c r="F1643" s="11"/>
      <c r="G1643" s="5"/>
      <c r="H1643" s="5"/>
      <c r="I1643" s="5"/>
      <c r="J1643" s="12"/>
    </row>
    <row r="1644" spans="1:10" x14ac:dyDescent="0.25">
      <c r="A1644" s="2"/>
      <c r="B1644" s="1"/>
      <c r="C1644" s="6"/>
      <c r="D1644" s="7"/>
      <c r="E1644" s="8"/>
      <c r="F1644" s="11"/>
      <c r="G1644" s="5"/>
      <c r="H1644" s="5"/>
      <c r="I1644" s="5"/>
      <c r="J1644" s="12"/>
    </row>
    <row r="1645" spans="1:10" x14ac:dyDescent="0.25">
      <c r="A1645" s="2"/>
      <c r="B1645" s="1"/>
      <c r="C1645" s="6"/>
      <c r="D1645" s="7"/>
      <c r="E1645" s="8"/>
      <c r="F1645" s="11"/>
      <c r="G1645" s="5"/>
      <c r="H1645" s="5"/>
      <c r="I1645" s="5"/>
      <c r="J1645" s="12"/>
    </row>
    <row r="1646" spans="1:10" x14ac:dyDescent="0.25">
      <c r="A1646" s="2"/>
      <c r="B1646" s="1"/>
      <c r="C1646" s="6"/>
      <c r="D1646" s="7"/>
      <c r="E1646" s="8"/>
      <c r="F1646" s="11"/>
      <c r="G1646" s="14"/>
      <c r="H1646" s="14"/>
      <c r="I1646" s="14"/>
      <c r="J1646" s="12"/>
    </row>
    <row r="1647" spans="1:10" x14ac:dyDescent="0.25">
      <c r="A1647" s="2"/>
      <c r="B1647" s="1"/>
      <c r="C1647" s="6"/>
      <c r="D1647" s="7"/>
      <c r="E1647" s="8"/>
      <c r="F1647" s="11"/>
      <c r="G1647" s="5"/>
      <c r="H1647" s="5"/>
      <c r="I1647" s="5"/>
      <c r="J1647" s="12"/>
    </row>
    <row r="1648" spans="1:10" x14ac:dyDescent="0.25">
      <c r="A1648" s="2"/>
      <c r="B1648" s="1"/>
      <c r="C1648" s="6"/>
      <c r="D1648" s="7"/>
      <c r="E1648" s="8"/>
      <c r="F1648" s="11"/>
      <c r="G1648" s="5"/>
      <c r="H1648" s="5"/>
      <c r="I1648" s="5"/>
      <c r="J1648" s="12"/>
    </row>
    <row r="1649" spans="1:10" x14ac:dyDescent="0.25">
      <c r="A1649" s="2"/>
      <c r="B1649" s="1"/>
      <c r="C1649" s="6"/>
      <c r="D1649" s="7"/>
      <c r="E1649" s="8"/>
      <c r="F1649" s="11"/>
      <c r="G1649" s="14"/>
      <c r="H1649" s="14"/>
      <c r="I1649" s="14"/>
      <c r="J1649" s="12"/>
    </row>
    <row r="1650" spans="1:10" x14ac:dyDescent="0.25">
      <c r="A1650" s="2"/>
      <c r="B1650" s="1"/>
      <c r="C1650" s="6"/>
      <c r="D1650" s="7"/>
      <c r="E1650" s="8"/>
      <c r="F1650" s="11"/>
      <c r="G1650" s="14"/>
      <c r="H1650" s="14"/>
      <c r="I1650" s="14"/>
      <c r="J1650" s="12"/>
    </row>
    <row r="1651" spans="1:10" x14ac:dyDescent="0.25">
      <c r="A1651" s="2"/>
      <c r="B1651" s="1"/>
      <c r="C1651" s="6"/>
      <c r="D1651" s="7"/>
      <c r="E1651" s="8"/>
      <c r="F1651" s="11"/>
      <c r="G1651" s="5"/>
      <c r="H1651" s="5"/>
      <c r="I1651" s="5"/>
      <c r="J1651" s="12"/>
    </row>
    <row r="1652" spans="1:10" x14ac:dyDescent="0.25">
      <c r="A1652" s="2"/>
      <c r="B1652" s="1"/>
      <c r="C1652" s="6"/>
      <c r="D1652" s="7"/>
      <c r="E1652" s="8"/>
      <c r="F1652" s="11"/>
      <c r="G1652" s="5"/>
      <c r="H1652" s="5"/>
      <c r="I1652" s="5"/>
      <c r="J1652" s="12"/>
    </row>
    <row r="1653" spans="1:10" x14ac:dyDescent="0.25">
      <c r="A1653" s="2"/>
      <c r="B1653" s="1"/>
      <c r="C1653" s="6"/>
      <c r="D1653" s="7"/>
      <c r="E1653" s="8"/>
      <c r="F1653" s="11"/>
      <c r="G1653" s="5"/>
      <c r="H1653" s="5"/>
      <c r="I1653" s="5"/>
      <c r="J1653" s="12"/>
    </row>
    <row r="1654" spans="1:10" x14ac:dyDescent="0.25">
      <c r="A1654" s="2"/>
      <c r="B1654" s="1"/>
      <c r="C1654" s="6"/>
      <c r="D1654" s="7"/>
      <c r="E1654" s="8"/>
      <c r="F1654" s="11"/>
      <c r="G1654" s="5"/>
      <c r="H1654" s="5"/>
      <c r="I1654" s="5"/>
      <c r="J1654" s="12"/>
    </row>
    <row r="1655" spans="1:10" x14ac:dyDescent="0.25">
      <c r="A1655" s="2"/>
      <c r="B1655" s="1"/>
      <c r="C1655" s="6"/>
      <c r="D1655" s="7"/>
      <c r="E1655" s="8"/>
      <c r="F1655" s="11"/>
      <c r="G1655" s="5"/>
      <c r="H1655" s="5"/>
      <c r="I1655" s="5"/>
      <c r="J1655" s="12"/>
    </row>
    <row r="1656" spans="1:10" x14ac:dyDescent="0.25">
      <c r="A1656" s="2"/>
      <c r="B1656" s="1"/>
      <c r="C1656" s="6"/>
      <c r="D1656" s="7"/>
      <c r="E1656" s="8"/>
      <c r="F1656" s="11"/>
      <c r="G1656" s="5"/>
      <c r="H1656" s="5"/>
      <c r="I1656" s="5"/>
      <c r="J1656" s="12"/>
    </row>
    <row r="1657" spans="1:10" x14ac:dyDescent="0.25">
      <c r="A1657" s="2"/>
      <c r="B1657" s="1"/>
      <c r="C1657" s="6"/>
      <c r="D1657" s="7"/>
      <c r="E1657" s="8"/>
      <c r="F1657" s="11"/>
      <c r="G1657" s="5"/>
      <c r="H1657" s="5"/>
      <c r="I1657" s="5"/>
      <c r="J1657" s="12"/>
    </row>
    <row r="1658" spans="1:10" x14ac:dyDescent="0.25">
      <c r="A1658" s="2"/>
      <c r="B1658" s="1"/>
      <c r="C1658" s="6"/>
      <c r="D1658" s="7"/>
      <c r="E1658" s="8"/>
      <c r="F1658" s="11"/>
      <c r="G1658" s="5"/>
      <c r="H1658" s="5"/>
      <c r="I1658" s="5"/>
      <c r="J1658" s="12"/>
    </row>
    <row r="1659" spans="1:10" x14ac:dyDescent="0.25">
      <c r="A1659" s="2"/>
      <c r="B1659" s="1"/>
      <c r="C1659" s="6"/>
      <c r="D1659" s="7"/>
      <c r="E1659" s="8"/>
      <c r="F1659" s="11"/>
      <c r="G1659" s="5"/>
      <c r="H1659" s="5"/>
      <c r="I1659" s="5"/>
      <c r="J1659" s="12"/>
    </row>
    <row r="1660" spans="1:10" x14ac:dyDescent="0.25">
      <c r="A1660" s="2"/>
      <c r="B1660" s="1"/>
      <c r="C1660" s="6"/>
      <c r="D1660" s="7"/>
      <c r="E1660" s="8"/>
      <c r="F1660" s="11"/>
      <c r="G1660" s="5"/>
      <c r="H1660" s="5"/>
      <c r="I1660" s="5"/>
      <c r="J1660" s="12"/>
    </row>
    <row r="1661" spans="1:10" x14ac:dyDescent="0.25">
      <c r="A1661" s="2"/>
      <c r="B1661" s="1"/>
      <c r="C1661" s="6"/>
      <c r="D1661" s="7"/>
      <c r="E1661" s="8"/>
      <c r="F1661" s="11"/>
      <c r="G1661" s="5"/>
      <c r="H1661" s="5"/>
      <c r="I1661" s="5"/>
      <c r="J1661" s="12"/>
    </row>
    <row r="1662" spans="1:10" x14ac:dyDescent="0.25">
      <c r="A1662" s="2"/>
      <c r="B1662" s="1"/>
      <c r="C1662" s="6"/>
      <c r="D1662" s="7"/>
      <c r="E1662" s="8"/>
      <c r="F1662" s="11"/>
      <c r="G1662" s="5"/>
      <c r="H1662" s="5"/>
      <c r="I1662" s="5"/>
      <c r="J1662" s="12"/>
    </row>
    <row r="1663" spans="1:10" x14ac:dyDescent="0.25">
      <c r="A1663" s="15"/>
      <c r="B1663" s="1"/>
      <c r="C1663" s="6"/>
      <c r="D1663" s="7"/>
      <c r="E1663" s="8"/>
      <c r="F1663" s="11"/>
      <c r="G1663" s="5"/>
      <c r="H1663" s="5"/>
      <c r="I1663" s="5"/>
      <c r="J1663" s="12"/>
    </row>
    <row r="1664" spans="1:10" x14ac:dyDescent="0.25">
      <c r="A1664" s="15"/>
      <c r="B1664" s="1"/>
      <c r="C1664" s="6"/>
      <c r="D1664" s="7"/>
      <c r="E1664" s="8"/>
      <c r="F1664" s="11"/>
      <c r="G1664" s="5"/>
      <c r="H1664" s="5"/>
      <c r="I1664" s="5"/>
      <c r="J1664" s="12"/>
    </row>
    <row r="1665" spans="1:10" x14ac:dyDescent="0.25">
      <c r="A1665" s="15"/>
      <c r="B1665" s="1"/>
      <c r="C1665" s="6"/>
      <c r="D1665" s="7"/>
      <c r="E1665" s="8"/>
      <c r="F1665" s="10"/>
      <c r="G1665" s="10"/>
      <c r="H1665" s="5"/>
      <c r="I1665" s="5"/>
      <c r="J1665" s="12"/>
    </row>
    <row r="1666" spans="1:10" x14ac:dyDescent="0.25">
      <c r="A1666" s="15"/>
      <c r="B1666" s="1"/>
      <c r="C1666" s="6"/>
      <c r="D1666" s="7"/>
      <c r="E1666" s="8"/>
      <c r="F1666" s="11"/>
      <c r="G1666" s="14"/>
      <c r="H1666" s="14"/>
      <c r="I1666" s="14"/>
      <c r="J1666" s="12"/>
    </row>
    <row r="1667" spans="1:10" x14ac:dyDescent="0.25">
      <c r="A1667" s="15"/>
      <c r="B1667" s="1"/>
      <c r="C1667" s="6"/>
      <c r="D1667" s="7"/>
      <c r="E1667" s="8"/>
      <c r="F1667" s="11"/>
      <c r="G1667" s="5"/>
      <c r="H1667" s="5"/>
      <c r="I1667" s="5"/>
      <c r="J1667" s="12"/>
    </row>
    <row r="1668" spans="1:10" x14ac:dyDescent="0.25">
      <c r="A1668" s="15"/>
      <c r="B1668" s="1"/>
      <c r="C1668" s="6"/>
      <c r="D1668" s="7"/>
      <c r="E1668" s="8"/>
      <c r="F1668" s="11"/>
      <c r="G1668" s="5"/>
      <c r="H1668" s="5"/>
      <c r="I1668" s="5"/>
      <c r="J1668" s="12"/>
    </row>
    <row r="1669" spans="1:10" x14ac:dyDescent="0.25">
      <c r="A1669" s="15"/>
      <c r="B1669" s="1"/>
      <c r="C1669" s="6"/>
      <c r="D1669" s="7"/>
      <c r="E1669" s="8"/>
      <c r="F1669" s="11"/>
      <c r="G1669" s="5"/>
      <c r="H1669" s="5"/>
      <c r="I1669" s="5"/>
      <c r="J1669" s="12"/>
    </row>
    <row r="1670" spans="1:10" x14ac:dyDescent="0.25">
      <c r="A1670" s="15"/>
      <c r="B1670" s="1"/>
      <c r="C1670" s="6"/>
      <c r="D1670" s="7"/>
      <c r="E1670" s="8"/>
      <c r="F1670" s="11"/>
      <c r="G1670" s="14"/>
      <c r="H1670" s="14"/>
      <c r="I1670" s="5"/>
      <c r="J1670" s="12"/>
    </row>
    <row r="1671" spans="1:10" x14ac:dyDescent="0.25">
      <c r="A1671" s="15"/>
      <c r="B1671" s="1"/>
      <c r="C1671" s="6"/>
      <c r="D1671" s="7"/>
      <c r="E1671" s="8"/>
      <c r="F1671" s="10"/>
      <c r="G1671" s="10"/>
      <c r="H1671" s="5"/>
      <c r="I1671" s="5"/>
      <c r="J1671" s="12"/>
    </row>
    <row r="1672" spans="1:10" x14ac:dyDescent="0.25">
      <c r="A1672" s="15"/>
      <c r="B1672" s="1"/>
      <c r="C1672" s="6"/>
      <c r="D1672" s="7"/>
      <c r="E1672" s="8"/>
      <c r="F1672" s="10"/>
      <c r="G1672" s="10"/>
      <c r="H1672" s="5"/>
      <c r="I1672" s="5"/>
      <c r="J1672" s="12"/>
    </row>
    <row r="1673" spans="1:10" x14ac:dyDescent="0.25">
      <c r="A1673" s="15"/>
      <c r="B1673" s="1"/>
      <c r="C1673" s="6"/>
      <c r="D1673" s="7"/>
      <c r="E1673" s="8"/>
      <c r="F1673" s="11"/>
      <c r="G1673" s="5"/>
      <c r="H1673" s="5"/>
      <c r="I1673" s="5"/>
      <c r="J1673" s="12"/>
    </row>
    <row r="1674" spans="1:10" x14ac:dyDescent="0.25">
      <c r="A1674" s="15"/>
      <c r="B1674" s="1"/>
      <c r="C1674" s="6"/>
      <c r="D1674" s="7"/>
      <c r="E1674" s="8"/>
      <c r="F1674" s="11"/>
      <c r="G1674" s="14"/>
      <c r="H1674" s="14"/>
      <c r="I1674" s="14"/>
      <c r="J1674" s="12"/>
    </row>
    <row r="1675" spans="1:10" x14ac:dyDescent="0.25">
      <c r="A1675" s="15"/>
      <c r="B1675" s="1"/>
      <c r="C1675" s="6"/>
      <c r="D1675" s="7"/>
      <c r="E1675" s="8"/>
      <c r="F1675" s="10"/>
      <c r="G1675" s="10"/>
      <c r="H1675" s="5"/>
      <c r="I1675" s="5"/>
      <c r="J1675" s="12"/>
    </row>
    <row r="1676" spans="1:10" x14ac:dyDescent="0.25">
      <c r="A1676" s="15"/>
      <c r="B1676" s="1"/>
      <c r="C1676" s="6"/>
      <c r="D1676" s="7"/>
      <c r="E1676" s="8"/>
      <c r="F1676" s="10"/>
      <c r="G1676" s="10"/>
      <c r="H1676" s="5"/>
      <c r="I1676" s="5"/>
      <c r="J1676" s="12"/>
    </row>
    <row r="1677" spans="1:10" x14ac:dyDescent="0.25">
      <c r="A1677" s="15"/>
      <c r="B1677" s="1"/>
      <c r="C1677" s="6"/>
      <c r="D1677" s="7"/>
      <c r="E1677" s="8"/>
      <c r="F1677" s="11"/>
      <c r="G1677" s="14"/>
      <c r="H1677" s="14"/>
      <c r="I1677" s="14"/>
      <c r="J1677" s="12"/>
    </row>
    <row r="1678" spans="1:10" x14ac:dyDescent="0.25">
      <c r="A1678" s="15"/>
      <c r="B1678" s="1"/>
      <c r="C1678" s="6"/>
      <c r="D1678" s="7"/>
      <c r="E1678" s="8"/>
      <c r="F1678" s="11"/>
      <c r="G1678" s="14"/>
      <c r="H1678" s="14"/>
      <c r="I1678" s="14"/>
      <c r="J1678" s="12"/>
    </row>
    <row r="1679" spans="1:10" x14ac:dyDescent="0.25">
      <c r="A1679" s="15"/>
      <c r="B1679" s="1"/>
      <c r="C1679" s="6"/>
      <c r="D1679" s="7"/>
      <c r="E1679" s="8"/>
      <c r="F1679" s="10"/>
      <c r="G1679" s="10"/>
      <c r="H1679" s="5"/>
      <c r="I1679" s="5"/>
      <c r="J1679" s="12"/>
    </row>
    <row r="1680" spans="1:10" x14ac:dyDescent="0.25">
      <c r="A1680" s="15"/>
      <c r="B1680" s="1"/>
      <c r="C1680" s="6"/>
      <c r="D1680" s="7"/>
      <c r="E1680" s="8"/>
      <c r="F1680" s="11"/>
      <c r="G1680" s="5"/>
      <c r="H1680" s="5"/>
      <c r="I1680" s="5"/>
      <c r="J1680" s="12"/>
    </row>
    <row r="1681" spans="1:10" x14ac:dyDescent="0.25">
      <c r="A1681" s="15"/>
      <c r="B1681" s="1"/>
      <c r="C1681" s="6"/>
      <c r="D1681" s="7"/>
      <c r="E1681" s="8"/>
      <c r="F1681" s="10"/>
      <c r="G1681" s="10"/>
      <c r="H1681" s="5"/>
      <c r="I1681" s="5"/>
      <c r="J1681" s="12"/>
    </row>
    <row r="1682" spans="1:10" x14ac:dyDescent="0.25">
      <c r="A1682" s="15"/>
      <c r="B1682" s="1"/>
      <c r="C1682" s="6"/>
      <c r="D1682" s="7"/>
      <c r="E1682" s="8"/>
      <c r="F1682" s="11"/>
      <c r="G1682" s="5"/>
      <c r="H1682" s="5"/>
      <c r="I1682" s="5"/>
      <c r="J1682" s="12"/>
    </row>
    <row r="1683" spans="1:10" x14ac:dyDescent="0.25">
      <c r="A1683" s="15"/>
      <c r="B1683" s="1"/>
      <c r="C1683" s="6"/>
      <c r="D1683" s="7"/>
      <c r="E1683" s="8"/>
      <c r="F1683" s="11"/>
      <c r="G1683" s="5"/>
      <c r="H1683" s="5"/>
      <c r="I1683" s="5"/>
      <c r="J1683" s="12"/>
    </row>
    <row r="1684" spans="1:10" x14ac:dyDescent="0.25">
      <c r="A1684" s="15"/>
      <c r="B1684" s="1"/>
      <c r="C1684" s="6"/>
      <c r="D1684" s="7"/>
      <c r="E1684" s="8"/>
      <c r="F1684" s="11"/>
      <c r="G1684" s="5"/>
      <c r="H1684" s="5"/>
      <c r="I1684" s="5"/>
      <c r="J1684" s="12"/>
    </row>
    <row r="1685" spans="1:10" x14ac:dyDescent="0.25">
      <c r="A1685" s="15"/>
      <c r="B1685" s="1"/>
      <c r="C1685" s="6"/>
      <c r="D1685" s="7"/>
      <c r="E1685" s="8"/>
      <c r="F1685" s="11"/>
      <c r="G1685" s="5"/>
      <c r="H1685" s="5"/>
      <c r="I1685" s="5"/>
      <c r="J1685" s="12"/>
    </row>
    <row r="1686" spans="1:10" x14ac:dyDescent="0.25">
      <c r="A1686" s="15"/>
      <c r="B1686" s="1"/>
      <c r="C1686" s="6"/>
      <c r="D1686" s="7"/>
      <c r="E1686" s="8"/>
      <c r="F1686" s="11"/>
      <c r="G1686" s="5"/>
      <c r="H1686" s="5"/>
      <c r="I1686" s="5"/>
      <c r="J1686" s="12"/>
    </row>
    <row r="1687" spans="1:10" x14ac:dyDescent="0.25">
      <c r="A1687" s="15"/>
      <c r="B1687" s="1"/>
      <c r="C1687" s="6"/>
      <c r="D1687" s="7"/>
      <c r="E1687" s="8"/>
      <c r="F1687" s="10"/>
      <c r="G1687" s="10"/>
      <c r="H1687" s="5"/>
      <c r="I1687" s="5"/>
      <c r="J1687" s="12"/>
    </row>
    <row r="1688" spans="1:10" x14ac:dyDescent="0.25">
      <c r="A1688" s="15"/>
      <c r="B1688" s="1"/>
      <c r="C1688" s="6"/>
      <c r="D1688" s="7"/>
      <c r="E1688" s="8"/>
      <c r="F1688" s="10"/>
      <c r="G1688" s="10"/>
      <c r="H1688" s="5"/>
      <c r="I1688" s="5"/>
      <c r="J1688" s="12"/>
    </row>
    <row r="1689" spans="1:10" x14ac:dyDescent="0.25">
      <c r="A1689" s="15"/>
      <c r="B1689" s="1"/>
      <c r="C1689" s="6"/>
      <c r="D1689" s="7"/>
      <c r="E1689" s="8"/>
      <c r="F1689" s="10"/>
      <c r="G1689" s="10"/>
      <c r="H1689" s="5"/>
      <c r="I1689" s="5"/>
      <c r="J1689" s="12"/>
    </row>
    <row r="1690" spans="1:10" x14ac:dyDescent="0.25">
      <c r="A1690" s="15"/>
      <c r="B1690" s="1"/>
      <c r="C1690" s="6"/>
      <c r="D1690" s="7"/>
      <c r="E1690" s="8"/>
      <c r="F1690" s="10"/>
      <c r="G1690" s="10"/>
      <c r="H1690" s="5"/>
      <c r="I1690" s="5"/>
      <c r="J1690" s="12"/>
    </row>
    <row r="1691" spans="1:10" x14ac:dyDescent="0.25">
      <c r="A1691" s="15"/>
      <c r="B1691" s="1"/>
      <c r="C1691" s="6"/>
      <c r="D1691" s="3"/>
      <c r="E1691" s="4"/>
      <c r="F1691" s="5"/>
      <c r="G1691" s="5"/>
      <c r="H1691" s="5"/>
      <c r="I1691" s="5"/>
      <c r="J1691" s="12"/>
    </row>
    <row r="1692" spans="1:10" x14ac:dyDescent="0.25">
      <c r="A1692" s="15"/>
      <c r="B1692" s="1"/>
      <c r="C1692" s="6"/>
      <c r="D1692" s="7"/>
      <c r="E1692" s="8"/>
      <c r="F1692" s="11"/>
      <c r="G1692" s="5"/>
      <c r="H1692" s="5"/>
      <c r="I1692" s="5"/>
      <c r="J1692" s="12"/>
    </row>
    <row r="1693" spans="1:10" x14ac:dyDescent="0.25">
      <c r="A1693" s="15"/>
      <c r="B1693" s="1"/>
      <c r="C1693" s="6"/>
      <c r="D1693" s="7"/>
      <c r="E1693" s="8"/>
      <c r="F1693" s="10"/>
      <c r="G1693" s="10"/>
      <c r="H1693" s="5"/>
      <c r="I1693" s="5"/>
      <c r="J1693" s="12"/>
    </row>
    <row r="1694" spans="1:10" x14ac:dyDescent="0.25">
      <c r="A1694" s="15"/>
      <c r="B1694" s="1"/>
      <c r="C1694" s="6"/>
      <c r="D1694" s="3"/>
      <c r="E1694" s="4"/>
      <c r="F1694" s="10"/>
      <c r="G1694" s="10"/>
      <c r="H1694" s="5"/>
      <c r="I1694" s="5"/>
      <c r="J1694" s="12"/>
    </row>
    <row r="1695" spans="1:10" x14ac:dyDescent="0.25">
      <c r="A1695" s="15"/>
      <c r="B1695" s="1"/>
      <c r="C1695" s="6"/>
      <c r="D1695" s="7"/>
      <c r="E1695" s="8"/>
      <c r="F1695" s="11"/>
      <c r="G1695" s="14"/>
      <c r="H1695" s="14"/>
      <c r="I1695" s="14"/>
      <c r="J1695" s="12"/>
    </row>
    <row r="1696" spans="1:10" x14ac:dyDescent="0.25">
      <c r="A1696" s="15"/>
      <c r="B1696" s="1"/>
      <c r="C1696" s="6"/>
      <c r="D1696" s="3"/>
      <c r="E1696" s="4"/>
      <c r="F1696" s="5"/>
      <c r="G1696" s="5"/>
      <c r="H1696" s="5"/>
      <c r="I1696" s="5"/>
      <c r="J1696" s="12"/>
    </row>
    <row r="1697" spans="1:10" x14ac:dyDescent="0.25">
      <c r="A1697" s="15"/>
      <c r="B1697" s="1"/>
      <c r="C1697" s="6"/>
      <c r="D1697" s="7"/>
      <c r="E1697" s="8"/>
      <c r="F1697" s="11"/>
      <c r="G1697" s="5"/>
      <c r="H1697" s="5"/>
      <c r="I1697" s="5"/>
      <c r="J1697" s="12"/>
    </row>
    <row r="1698" spans="1:10" x14ac:dyDescent="0.25">
      <c r="A1698" s="15"/>
      <c r="B1698" s="1"/>
      <c r="C1698" s="6"/>
      <c r="D1698" s="7"/>
      <c r="E1698" s="8"/>
      <c r="F1698" s="10"/>
      <c r="G1698" s="10"/>
      <c r="H1698" s="5"/>
      <c r="I1698" s="5"/>
      <c r="J1698" s="12"/>
    </row>
    <row r="1699" spans="1:10" x14ac:dyDescent="0.25">
      <c r="A1699" s="15"/>
      <c r="B1699" s="1"/>
      <c r="C1699" s="6"/>
      <c r="D1699" s="7"/>
      <c r="E1699" s="8"/>
      <c r="F1699" s="11"/>
      <c r="G1699" s="5"/>
      <c r="H1699" s="5"/>
      <c r="I1699" s="5"/>
      <c r="J1699" s="12"/>
    </row>
    <row r="1700" spans="1:10" x14ac:dyDescent="0.25">
      <c r="A1700" s="15"/>
      <c r="B1700" s="1"/>
      <c r="C1700" s="6"/>
      <c r="D1700" s="3"/>
      <c r="E1700" s="4"/>
      <c r="F1700" s="5"/>
      <c r="G1700" s="5"/>
      <c r="H1700" s="5"/>
      <c r="I1700" s="5"/>
      <c r="J1700" s="12"/>
    </row>
    <row r="1701" spans="1:10" x14ac:dyDescent="0.25">
      <c r="A1701" s="15"/>
      <c r="B1701" s="1"/>
      <c r="C1701" s="6"/>
      <c r="D1701" s="7"/>
      <c r="E1701" s="8"/>
      <c r="F1701" s="11"/>
      <c r="G1701" s="10"/>
      <c r="H1701" s="5"/>
      <c r="I1701" s="5"/>
      <c r="J1701" s="12"/>
    </row>
    <row r="1702" spans="1:10" x14ac:dyDescent="0.25">
      <c r="A1702" s="15"/>
      <c r="B1702" s="1"/>
      <c r="C1702" s="6"/>
      <c r="D1702" s="7"/>
      <c r="E1702" s="8"/>
      <c r="F1702" s="11"/>
      <c r="G1702" s="14"/>
      <c r="H1702" s="14"/>
      <c r="I1702" s="14"/>
      <c r="J1702" s="12"/>
    </row>
    <row r="1703" spans="1:10" x14ac:dyDescent="0.25">
      <c r="A1703" s="15"/>
      <c r="B1703" s="1"/>
      <c r="C1703" s="6"/>
      <c r="D1703" s="7"/>
      <c r="E1703" s="8"/>
      <c r="F1703" s="10"/>
      <c r="G1703" s="10"/>
      <c r="H1703" s="5"/>
      <c r="I1703" s="5"/>
      <c r="J1703" s="12"/>
    </row>
    <row r="1704" spans="1:10" x14ac:dyDescent="0.25">
      <c r="A1704" s="15"/>
      <c r="B1704" s="1"/>
      <c r="C1704" s="6"/>
      <c r="D1704" s="7"/>
      <c r="E1704" s="8"/>
      <c r="F1704" s="10"/>
      <c r="G1704" s="10"/>
      <c r="H1704" s="5"/>
      <c r="I1704" s="5"/>
      <c r="J1704" s="12"/>
    </row>
    <row r="1705" spans="1:10" x14ac:dyDescent="0.25">
      <c r="A1705" s="15"/>
      <c r="B1705" s="1"/>
      <c r="C1705" s="6"/>
      <c r="D1705" s="7"/>
      <c r="E1705" s="8"/>
      <c r="F1705" s="11"/>
      <c r="G1705" s="14"/>
      <c r="H1705" s="14"/>
      <c r="I1705" s="14"/>
      <c r="J1705" s="12"/>
    </row>
    <row r="1706" spans="1:10" x14ac:dyDescent="0.25">
      <c r="A1706" s="15"/>
      <c r="B1706" s="1"/>
      <c r="C1706" s="6"/>
      <c r="D1706" s="7"/>
      <c r="E1706" s="8"/>
      <c r="F1706" s="11"/>
      <c r="G1706" s="10"/>
      <c r="H1706" s="5"/>
      <c r="I1706" s="5"/>
      <c r="J1706" s="12"/>
    </row>
    <row r="1707" spans="1:10" x14ac:dyDescent="0.25">
      <c r="A1707" s="15"/>
      <c r="B1707" s="1"/>
      <c r="C1707" s="6"/>
      <c r="D1707" s="7"/>
      <c r="E1707" s="8"/>
      <c r="F1707" s="11"/>
      <c r="G1707" s="14"/>
      <c r="H1707" s="14"/>
      <c r="I1707" s="5"/>
      <c r="J1707" s="12"/>
    </row>
    <row r="1708" spans="1:10" x14ac:dyDescent="0.25">
      <c r="A1708" s="15"/>
      <c r="B1708" s="1"/>
      <c r="C1708" s="6"/>
      <c r="D1708" s="7"/>
      <c r="E1708" s="8"/>
      <c r="F1708" s="10"/>
      <c r="G1708" s="10"/>
      <c r="H1708" s="5"/>
      <c r="I1708" s="5"/>
      <c r="J1708" s="12"/>
    </row>
    <row r="1709" spans="1:10" x14ac:dyDescent="0.25">
      <c r="A1709" s="15"/>
      <c r="B1709" s="1"/>
      <c r="C1709" s="6"/>
      <c r="D1709" s="7"/>
      <c r="E1709" s="8"/>
      <c r="F1709" s="11"/>
      <c r="G1709" s="14"/>
      <c r="H1709" s="14"/>
      <c r="I1709" s="14"/>
      <c r="J1709" s="12"/>
    </row>
    <row r="1710" spans="1:10" x14ac:dyDescent="0.25">
      <c r="A1710" s="15"/>
      <c r="B1710" s="1"/>
      <c r="C1710" s="6"/>
      <c r="D1710" s="7"/>
      <c r="E1710" s="8"/>
      <c r="F1710" s="11"/>
      <c r="G1710" s="14"/>
      <c r="H1710" s="14"/>
      <c r="I1710" s="14"/>
      <c r="J1710" s="12"/>
    </row>
    <row r="1711" spans="1:10" x14ac:dyDescent="0.25">
      <c r="A1711" s="15"/>
      <c r="B1711" s="1"/>
      <c r="C1711" s="6"/>
      <c r="D1711" s="7"/>
      <c r="E1711" s="8"/>
      <c r="F1711" s="11"/>
      <c r="G1711" s="14"/>
      <c r="H1711" s="14"/>
      <c r="I1711" s="14"/>
      <c r="J1711" s="12"/>
    </row>
    <row r="1712" spans="1:10" x14ac:dyDescent="0.25">
      <c r="A1712" s="15"/>
      <c r="B1712" s="1"/>
      <c r="C1712" s="6"/>
      <c r="D1712" s="7"/>
      <c r="E1712" s="8"/>
      <c r="F1712" s="11"/>
      <c r="G1712" s="14"/>
      <c r="H1712" s="14"/>
      <c r="I1712" s="14"/>
      <c r="J1712" s="12"/>
    </row>
    <row r="1713" spans="1:10" x14ac:dyDescent="0.25">
      <c r="A1713" s="2"/>
      <c r="B1713" s="1"/>
      <c r="C1713" s="6"/>
      <c r="D1713" s="7"/>
      <c r="E1713" s="8"/>
      <c r="F1713" s="11"/>
      <c r="G1713" s="14"/>
      <c r="H1713" s="14"/>
      <c r="I1713" s="14"/>
      <c r="J1713" s="12"/>
    </row>
    <row r="1714" spans="1:10" x14ac:dyDescent="0.25">
      <c r="A1714" s="2"/>
      <c r="B1714" s="1"/>
      <c r="C1714" s="6"/>
      <c r="D1714" s="7"/>
      <c r="E1714" s="8"/>
      <c r="F1714" s="11"/>
      <c r="G1714" s="14"/>
      <c r="H1714" s="14"/>
      <c r="I1714" s="14"/>
      <c r="J1714" s="12"/>
    </row>
    <row r="1715" spans="1:10" x14ac:dyDescent="0.25">
      <c r="A1715" s="2"/>
      <c r="B1715" s="1"/>
      <c r="C1715" s="6"/>
      <c r="D1715" s="7"/>
      <c r="E1715" s="8"/>
      <c r="F1715" s="11"/>
      <c r="G1715" s="14"/>
      <c r="H1715" s="14"/>
      <c r="I1715" s="14"/>
      <c r="J1715" s="12"/>
    </row>
    <row r="1716" spans="1:10" x14ac:dyDescent="0.25">
      <c r="A1716" s="2"/>
      <c r="B1716" s="1"/>
      <c r="C1716" s="6"/>
      <c r="D1716" s="7"/>
      <c r="E1716" s="8"/>
      <c r="F1716" s="11"/>
      <c r="G1716" s="14"/>
      <c r="H1716" s="14"/>
      <c r="I1716" s="14"/>
      <c r="J1716" s="12"/>
    </row>
    <row r="1717" spans="1:10" x14ac:dyDescent="0.25">
      <c r="A1717" s="2"/>
      <c r="B1717" s="1"/>
      <c r="C1717" s="6"/>
      <c r="D1717" s="3"/>
      <c r="E1717" s="4"/>
      <c r="F1717" s="5"/>
      <c r="G1717" s="5"/>
      <c r="H1717" s="5"/>
      <c r="I1717" s="5"/>
      <c r="J1717" s="12"/>
    </row>
    <row r="1718" spans="1:10" x14ac:dyDescent="0.25">
      <c r="A1718" s="2"/>
      <c r="B1718" s="1"/>
      <c r="C1718" s="6"/>
      <c r="D1718" s="7"/>
      <c r="E1718" s="8"/>
      <c r="F1718" s="11"/>
      <c r="G1718" s="14"/>
      <c r="H1718" s="14"/>
      <c r="I1718" s="14"/>
      <c r="J1718" s="12"/>
    </row>
    <row r="1719" spans="1:10" x14ac:dyDescent="0.25">
      <c r="A1719" s="2"/>
      <c r="B1719" s="1"/>
      <c r="C1719" s="6"/>
      <c r="D1719" s="7"/>
      <c r="E1719" s="8"/>
      <c r="F1719" s="11"/>
      <c r="G1719" s="14"/>
      <c r="H1719" s="14"/>
      <c r="I1719" s="14"/>
      <c r="J1719" s="12"/>
    </row>
    <row r="1720" spans="1:10" x14ac:dyDescent="0.25">
      <c r="A1720" s="2"/>
      <c r="B1720" s="1"/>
      <c r="C1720" s="6"/>
      <c r="D1720" s="7"/>
      <c r="E1720" s="8"/>
      <c r="F1720" s="11"/>
      <c r="G1720" s="14"/>
      <c r="H1720" s="14"/>
      <c r="I1720" s="14"/>
      <c r="J1720" s="12"/>
    </row>
    <row r="1721" spans="1:10" x14ac:dyDescent="0.25">
      <c r="A1721" s="2"/>
      <c r="B1721" s="1"/>
      <c r="C1721" s="6"/>
      <c r="D1721" s="7"/>
      <c r="E1721" s="8"/>
      <c r="F1721" s="11"/>
      <c r="G1721" s="14"/>
      <c r="H1721" s="14"/>
      <c r="I1721" s="14"/>
      <c r="J1721" s="12"/>
    </row>
    <row r="1722" spans="1:10" x14ac:dyDescent="0.25">
      <c r="A1722" s="2"/>
      <c r="B1722" s="1"/>
      <c r="C1722" s="6"/>
      <c r="D1722" s="7"/>
      <c r="E1722" s="8"/>
      <c r="F1722" s="11"/>
      <c r="G1722" s="14"/>
      <c r="H1722" s="14"/>
      <c r="I1722" s="14"/>
      <c r="J1722" s="12"/>
    </row>
    <row r="1723" spans="1:10" x14ac:dyDescent="0.25">
      <c r="A1723" s="2"/>
      <c r="B1723" s="1"/>
      <c r="C1723" s="6"/>
      <c r="D1723" s="7"/>
      <c r="E1723" s="8"/>
      <c r="F1723" s="11"/>
      <c r="G1723" s="5"/>
      <c r="H1723" s="5"/>
      <c r="I1723" s="5"/>
      <c r="J1723" s="12"/>
    </row>
    <row r="1724" spans="1:10" x14ac:dyDescent="0.25">
      <c r="A1724" s="2"/>
      <c r="B1724" s="1"/>
      <c r="C1724" s="6"/>
      <c r="D1724" s="7"/>
      <c r="E1724" s="8"/>
      <c r="F1724" s="11"/>
      <c r="G1724" s="14"/>
      <c r="H1724" s="14"/>
      <c r="I1724" s="14"/>
      <c r="J1724" s="12"/>
    </row>
    <row r="1725" spans="1:10" x14ac:dyDescent="0.25">
      <c r="A1725" s="2"/>
      <c r="B1725" s="1"/>
      <c r="C1725" s="6"/>
      <c r="D1725" s="7"/>
      <c r="E1725" s="8"/>
      <c r="F1725" s="11"/>
      <c r="G1725" s="14"/>
      <c r="H1725" s="14"/>
      <c r="I1725" s="14"/>
      <c r="J1725" s="12"/>
    </row>
    <row r="1726" spans="1:10" x14ac:dyDescent="0.25">
      <c r="A1726" s="2"/>
      <c r="B1726" s="1"/>
      <c r="C1726" s="6"/>
      <c r="D1726" s="7"/>
      <c r="E1726" s="8"/>
      <c r="F1726" s="11"/>
      <c r="G1726" s="5"/>
      <c r="H1726" s="5"/>
      <c r="I1726" s="5"/>
      <c r="J1726" s="12"/>
    </row>
    <row r="1727" spans="1:10" x14ac:dyDescent="0.25">
      <c r="A1727" s="2"/>
      <c r="B1727" s="1"/>
      <c r="C1727" s="6"/>
      <c r="D1727" s="7"/>
      <c r="E1727" s="8"/>
      <c r="F1727" s="11"/>
      <c r="G1727" s="14"/>
      <c r="H1727" s="14"/>
      <c r="I1727" s="14"/>
      <c r="J1727" s="12"/>
    </row>
    <row r="1728" spans="1:10" x14ac:dyDescent="0.25">
      <c r="A1728" s="2"/>
      <c r="B1728" s="1"/>
      <c r="C1728" s="6"/>
      <c r="D1728" s="7"/>
      <c r="E1728" s="8"/>
      <c r="F1728" s="11"/>
      <c r="G1728" s="14"/>
      <c r="H1728" s="14"/>
      <c r="I1728" s="14"/>
      <c r="J1728" s="12"/>
    </row>
    <row r="1729" spans="1:10" x14ac:dyDescent="0.25">
      <c r="A1729" s="2"/>
      <c r="B1729" s="1"/>
      <c r="C1729" s="6"/>
      <c r="D1729" s="7"/>
      <c r="E1729" s="8"/>
      <c r="F1729" s="11"/>
      <c r="G1729" s="14"/>
      <c r="H1729" s="5"/>
      <c r="I1729" s="5"/>
      <c r="J1729" s="12"/>
    </row>
    <row r="1730" spans="1:10" x14ac:dyDescent="0.25">
      <c r="A1730" s="2"/>
      <c r="B1730" s="1"/>
      <c r="C1730" s="6"/>
      <c r="D1730" s="7"/>
      <c r="E1730" s="8"/>
      <c r="F1730" s="14"/>
      <c r="G1730" s="14"/>
      <c r="H1730" s="5"/>
      <c r="I1730" s="5"/>
      <c r="J1730" s="12"/>
    </row>
    <row r="1731" spans="1:10" x14ac:dyDescent="0.25">
      <c r="A1731" s="2"/>
      <c r="B1731" s="1"/>
      <c r="C1731" s="6"/>
      <c r="D1731" s="7"/>
      <c r="E1731" s="8"/>
      <c r="F1731" s="11"/>
      <c r="G1731" s="14"/>
      <c r="H1731" s="14"/>
      <c r="I1731" s="14"/>
      <c r="J1731" s="12"/>
    </row>
    <row r="1732" spans="1:10" x14ac:dyDescent="0.25">
      <c r="A1732" s="2"/>
      <c r="B1732" s="1"/>
      <c r="C1732" s="6"/>
      <c r="D1732" s="7"/>
      <c r="E1732" s="8"/>
      <c r="F1732" s="11"/>
      <c r="G1732" s="14"/>
      <c r="H1732" s="14"/>
      <c r="I1732" s="14"/>
      <c r="J1732" s="12"/>
    </row>
    <row r="1733" spans="1:10" x14ac:dyDescent="0.25">
      <c r="A1733" s="2"/>
      <c r="B1733" s="1"/>
      <c r="C1733" s="6"/>
      <c r="D1733" s="7"/>
      <c r="E1733" s="8"/>
      <c r="F1733" s="11"/>
      <c r="G1733" s="14"/>
      <c r="H1733" s="14"/>
      <c r="I1733" s="14"/>
      <c r="J1733" s="12"/>
    </row>
    <row r="1734" spans="1:10" x14ac:dyDescent="0.25">
      <c r="A1734" s="2"/>
      <c r="B1734" s="1"/>
      <c r="C1734" s="6"/>
      <c r="D1734" s="7"/>
      <c r="E1734" s="8"/>
      <c r="F1734" s="11"/>
      <c r="G1734" s="14"/>
      <c r="H1734" s="14"/>
      <c r="I1734" s="14"/>
      <c r="J1734" s="12"/>
    </row>
    <row r="1735" spans="1:10" x14ac:dyDescent="0.25">
      <c r="A1735" s="2"/>
      <c r="B1735" s="1"/>
      <c r="C1735" s="6"/>
      <c r="D1735" s="7"/>
      <c r="E1735" s="8"/>
      <c r="F1735" s="11"/>
      <c r="G1735" s="14"/>
      <c r="H1735" s="14"/>
      <c r="I1735" s="14"/>
      <c r="J1735" s="12"/>
    </row>
    <row r="1736" spans="1:10" x14ac:dyDescent="0.25">
      <c r="A1736" s="2"/>
      <c r="B1736" s="1"/>
      <c r="C1736" s="6"/>
      <c r="D1736" s="7"/>
      <c r="E1736" s="8"/>
      <c r="F1736" s="11"/>
      <c r="G1736" s="14"/>
      <c r="H1736" s="14"/>
      <c r="I1736" s="14"/>
      <c r="J1736" s="12"/>
    </row>
    <row r="1737" spans="1:10" x14ac:dyDescent="0.25">
      <c r="A1737" s="2"/>
      <c r="B1737" s="1"/>
      <c r="C1737" s="6"/>
      <c r="D1737" s="7"/>
      <c r="E1737" s="8"/>
      <c r="F1737" s="16"/>
      <c r="G1737" s="17"/>
      <c r="H1737" s="14"/>
      <c r="I1737" s="14"/>
      <c r="J1737" s="12"/>
    </row>
    <row r="1738" spans="1:10" x14ac:dyDescent="0.25">
      <c r="A1738" s="2"/>
      <c r="B1738" s="1"/>
      <c r="C1738" s="6"/>
      <c r="D1738" s="7"/>
      <c r="E1738" s="8"/>
      <c r="F1738" s="11"/>
      <c r="G1738" s="14"/>
      <c r="H1738" s="14"/>
      <c r="I1738" s="14"/>
      <c r="J1738" s="12"/>
    </row>
    <row r="1739" spans="1:10" x14ac:dyDescent="0.25">
      <c r="A1739" s="2"/>
      <c r="B1739" s="1"/>
      <c r="C1739" s="6"/>
      <c r="D1739" s="7"/>
      <c r="E1739" s="8"/>
      <c r="F1739" s="11"/>
      <c r="G1739" s="14"/>
      <c r="H1739" s="14"/>
      <c r="I1739" s="14"/>
      <c r="J1739" s="12"/>
    </row>
    <row r="1740" spans="1:10" x14ac:dyDescent="0.25">
      <c r="A1740" s="2"/>
      <c r="B1740" s="1"/>
      <c r="C1740" s="6"/>
      <c r="D1740" s="7"/>
      <c r="E1740" s="8"/>
      <c r="F1740" s="11"/>
      <c r="G1740" s="14"/>
      <c r="H1740" s="14"/>
      <c r="I1740" s="14"/>
      <c r="J1740" s="12"/>
    </row>
    <row r="1741" spans="1:10" x14ac:dyDescent="0.25">
      <c r="A1741" s="2"/>
      <c r="B1741" s="1"/>
      <c r="C1741" s="6"/>
      <c r="D1741" s="7"/>
      <c r="E1741" s="8"/>
      <c r="F1741" s="11"/>
      <c r="G1741" s="14"/>
      <c r="H1741" s="14"/>
      <c r="I1741" s="14"/>
      <c r="J1741" s="12"/>
    </row>
    <row r="1742" spans="1:10" x14ac:dyDescent="0.25">
      <c r="A1742" s="2"/>
      <c r="B1742" s="1"/>
      <c r="C1742" s="6"/>
      <c r="D1742" s="7"/>
      <c r="E1742" s="8"/>
      <c r="F1742" s="11"/>
      <c r="G1742" s="14"/>
      <c r="H1742" s="14"/>
      <c r="I1742" s="5"/>
      <c r="J1742" s="12"/>
    </row>
    <row r="1743" spans="1:10" x14ac:dyDescent="0.25">
      <c r="A1743" s="2"/>
      <c r="B1743" s="1"/>
      <c r="C1743" s="6"/>
      <c r="D1743" s="7"/>
      <c r="E1743" s="8"/>
      <c r="F1743" s="11"/>
      <c r="G1743" s="14"/>
      <c r="H1743" s="14"/>
      <c r="I1743" s="14"/>
      <c r="J1743" s="12"/>
    </row>
    <row r="1744" spans="1:10" x14ac:dyDescent="0.25">
      <c r="A1744" s="2"/>
      <c r="B1744" s="1"/>
      <c r="C1744" s="6"/>
      <c r="D1744" s="7"/>
      <c r="E1744" s="8"/>
      <c r="F1744" s="11"/>
      <c r="G1744" s="14"/>
      <c r="H1744" s="14"/>
      <c r="I1744" s="14"/>
      <c r="J1744" s="12"/>
    </row>
    <row r="1745" spans="1:10" x14ac:dyDescent="0.25">
      <c r="A1745" s="2"/>
      <c r="B1745" s="1"/>
      <c r="C1745" s="6"/>
      <c r="D1745" s="7"/>
      <c r="E1745" s="8"/>
      <c r="F1745" s="11"/>
      <c r="G1745" s="5"/>
      <c r="H1745" s="5"/>
      <c r="I1745" s="5"/>
      <c r="J1745" s="12"/>
    </row>
    <row r="1746" spans="1:10" x14ac:dyDescent="0.25">
      <c r="A1746" s="2"/>
      <c r="B1746" s="1"/>
      <c r="C1746" s="6"/>
      <c r="D1746" s="7"/>
      <c r="E1746" s="8"/>
      <c r="F1746" s="11"/>
      <c r="G1746" s="14"/>
      <c r="H1746" s="14"/>
      <c r="I1746" s="14"/>
      <c r="J1746" s="12"/>
    </row>
    <row r="1747" spans="1:10" x14ac:dyDescent="0.25">
      <c r="A1747" s="2"/>
      <c r="B1747" s="1"/>
      <c r="C1747" s="6"/>
      <c r="D1747" s="7"/>
      <c r="E1747" s="8"/>
      <c r="F1747" s="11"/>
      <c r="G1747" s="14"/>
      <c r="H1747" s="14"/>
      <c r="I1747" s="14"/>
      <c r="J1747" s="12"/>
    </row>
    <row r="1748" spans="1:10" x14ac:dyDescent="0.25">
      <c r="A1748" s="2"/>
      <c r="B1748" s="1"/>
      <c r="C1748" s="6"/>
      <c r="D1748" s="7"/>
      <c r="E1748" s="8"/>
      <c r="F1748" s="11"/>
      <c r="G1748" s="14"/>
      <c r="H1748" s="14"/>
      <c r="I1748" s="14"/>
      <c r="J1748" s="12"/>
    </row>
    <row r="1749" spans="1:10" x14ac:dyDescent="0.25">
      <c r="A1749" s="2"/>
      <c r="B1749" s="1"/>
      <c r="C1749" s="6"/>
      <c r="D1749" s="7"/>
      <c r="E1749" s="8"/>
      <c r="F1749" s="11"/>
      <c r="G1749" s="14"/>
      <c r="H1749" s="14"/>
      <c r="I1749" s="14"/>
      <c r="J1749" s="12"/>
    </row>
    <row r="1750" spans="1:10" x14ac:dyDescent="0.25">
      <c r="A1750" s="2"/>
      <c r="B1750" s="1"/>
      <c r="C1750" s="6"/>
      <c r="D1750" s="7"/>
      <c r="E1750" s="8"/>
      <c r="F1750" s="11"/>
      <c r="G1750" s="14"/>
      <c r="H1750" s="14"/>
      <c r="I1750" s="14"/>
      <c r="J1750" s="12"/>
    </row>
    <row r="1751" spans="1:10" x14ac:dyDescent="0.25">
      <c r="A1751" s="2"/>
      <c r="B1751" s="1"/>
      <c r="C1751" s="6"/>
      <c r="D1751" s="7"/>
      <c r="E1751" s="8"/>
      <c r="F1751" s="11"/>
      <c r="G1751" s="14"/>
      <c r="H1751" s="14"/>
      <c r="I1751" s="14"/>
      <c r="J1751" s="12"/>
    </row>
    <row r="1752" spans="1:10" x14ac:dyDescent="0.25">
      <c r="A1752" s="2"/>
      <c r="B1752" s="1"/>
      <c r="C1752" s="6"/>
      <c r="D1752" s="7"/>
      <c r="E1752" s="8"/>
      <c r="F1752" s="11"/>
      <c r="G1752" s="14"/>
      <c r="H1752" s="14"/>
      <c r="I1752" s="14"/>
      <c r="J1752" s="12"/>
    </row>
    <row r="1753" spans="1:10" x14ac:dyDescent="0.25">
      <c r="A1753" s="2"/>
      <c r="B1753" s="1"/>
      <c r="C1753" s="6"/>
      <c r="D1753" s="7"/>
      <c r="E1753" s="8"/>
      <c r="F1753" s="11"/>
      <c r="G1753" s="14"/>
      <c r="H1753" s="14"/>
      <c r="I1753" s="14"/>
      <c r="J1753" s="12"/>
    </row>
    <row r="1754" spans="1:10" x14ac:dyDescent="0.25">
      <c r="A1754" s="2"/>
      <c r="B1754" s="1"/>
      <c r="C1754" s="6"/>
      <c r="D1754" s="7"/>
      <c r="E1754" s="8"/>
      <c r="F1754" s="11"/>
      <c r="G1754" s="14"/>
      <c r="H1754" s="14"/>
      <c r="I1754" s="14"/>
      <c r="J1754" s="12"/>
    </row>
    <row r="1755" spans="1:10" x14ac:dyDescent="0.25">
      <c r="A1755" s="2"/>
      <c r="B1755" s="1"/>
      <c r="C1755" s="6"/>
      <c r="D1755" s="7"/>
      <c r="E1755" s="8"/>
      <c r="F1755" s="11"/>
      <c r="G1755" s="14"/>
      <c r="H1755" s="14"/>
      <c r="I1755" s="14"/>
      <c r="J1755" s="12"/>
    </row>
    <row r="1756" spans="1:10" x14ac:dyDescent="0.25">
      <c r="A1756" s="2"/>
      <c r="B1756" s="1"/>
      <c r="C1756" s="6"/>
      <c r="D1756" s="7"/>
      <c r="E1756" s="8"/>
      <c r="F1756" s="11"/>
      <c r="G1756" s="14"/>
      <c r="H1756" s="14"/>
      <c r="I1756" s="14"/>
      <c r="J1756" s="12"/>
    </row>
    <row r="1757" spans="1:10" x14ac:dyDescent="0.25">
      <c r="A1757" s="2"/>
      <c r="B1757" s="1"/>
      <c r="C1757" s="6"/>
      <c r="D1757" s="7"/>
      <c r="E1757" s="8"/>
      <c r="F1757" s="11"/>
      <c r="G1757" s="14"/>
      <c r="H1757" s="14"/>
      <c r="I1757" s="14"/>
      <c r="J1757" s="12"/>
    </row>
    <row r="1758" spans="1:10" x14ac:dyDescent="0.25">
      <c r="A1758" s="2"/>
      <c r="B1758" s="1"/>
      <c r="C1758" s="6"/>
      <c r="D1758" s="7"/>
      <c r="E1758" s="8"/>
      <c r="F1758" s="11"/>
      <c r="G1758" s="14"/>
      <c r="H1758" s="14"/>
      <c r="I1758" s="14"/>
      <c r="J1758" s="12"/>
    </row>
    <row r="1759" spans="1:10" x14ac:dyDescent="0.25">
      <c r="A1759" s="2"/>
      <c r="B1759" s="1"/>
      <c r="C1759" s="6"/>
      <c r="D1759" s="7"/>
      <c r="E1759" s="8"/>
      <c r="F1759" s="11"/>
      <c r="G1759" s="14"/>
      <c r="H1759" s="14"/>
      <c r="I1759" s="14"/>
      <c r="J1759" s="12"/>
    </row>
    <row r="1760" spans="1:10" x14ac:dyDescent="0.25">
      <c r="A1760" s="2"/>
      <c r="B1760" s="1"/>
      <c r="C1760" s="6"/>
      <c r="D1760" s="7"/>
      <c r="E1760" s="8"/>
      <c r="F1760" s="11"/>
      <c r="G1760" s="14"/>
      <c r="H1760" s="14"/>
      <c r="I1760" s="14"/>
      <c r="J1760" s="12"/>
    </row>
    <row r="1761" spans="1:10" x14ac:dyDescent="0.25">
      <c r="A1761" s="2"/>
      <c r="B1761" s="1"/>
      <c r="C1761" s="6"/>
      <c r="D1761" s="7"/>
      <c r="E1761" s="8"/>
      <c r="F1761" s="11"/>
      <c r="G1761" s="14"/>
      <c r="H1761" s="14"/>
      <c r="I1761" s="14"/>
      <c r="J1761" s="12"/>
    </row>
    <row r="1762" spans="1:10" x14ac:dyDescent="0.25">
      <c r="A1762" s="2"/>
      <c r="B1762" s="1"/>
      <c r="C1762" s="6"/>
      <c r="D1762" s="7"/>
      <c r="E1762" s="8"/>
      <c r="F1762" s="11"/>
      <c r="G1762" s="14"/>
      <c r="H1762" s="14"/>
      <c r="I1762" s="14"/>
      <c r="J1762" s="12"/>
    </row>
    <row r="1763" spans="1:10" x14ac:dyDescent="0.25">
      <c r="A1763" s="2"/>
      <c r="B1763" s="1"/>
      <c r="C1763" s="6"/>
      <c r="D1763" s="7"/>
      <c r="E1763" s="8"/>
      <c r="F1763" s="11"/>
      <c r="G1763" s="14"/>
      <c r="H1763" s="14"/>
      <c r="I1763" s="14"/>
      <c r="J1763" s="12"/>
    </row>
    <row r="1764" spans="1:10" x14ac:dyDescent="0.25">
      <c r="A1764" s="2"/>
      <c r="B1764" s="1"/>
      <c r="C1764" s="6"/>
      <c r="D1764" s="7"/>
      <c r="E1764" s="8"/>
      <c r="F1764" s="11"/>
      <c r="G1764" s="14"/>
      <c r="H1764" s="14"/>
      <c r="I1764" s="14"/>
      <c r="J1764" s="12"/>
    </row>
    <row r="1765" spans="1:10" x14ac:dyDescent="0.25">
      <c r="A1765" s="2"/>
      <c r="B1765" s="1"/>
      <c r="C1765" s="6"/>
      <c r="D1765" s="7"/>
      <c r="E1765" s="8"/>
      <c r="F1765" s="11"/>
      <c r="G1765" s="14"/>
      <c r="H1765" s="14"/>
      <c r="I1765" s="14"/>
      <c r="J1765" s="12"/>
    </row>
    <row r="1766" spans="1:10" x14ac:dyDescent="0.25">
      <c r="A1766" s="2"/>
      <c r="B1766" s="1"/>
      <c r="C1766" s="6"/>
      <c r="D1766" s="7"/>
      <c r="E1766" s="8"/>
      <c r="F1766" s="11"/>
      <c r="G1766" s="14"/>
      <c r="H1766" s="14"/>
      <c r="I1766" s="14"/>
      <c r="J1766" s="12"/>
    </row>
    <row r="1767" spans="1:10" x14ac:dyDescent="0.25">
      <c r="A1767" s="2"/>
      <c r="B1767" s="1"/>
      <c r="C1767" s="6"/>
      <c r="D1767" s="7"/>
      <c r="E1767" s="8"/>
      <c r="F1767" s="11"/>
      <c r="G1767" s="14"/>
      <c r="H1767" s="14"/>
      <c r="I1767" s="14"/>
      <c r="J1767" s="12"/>
    </row>
    <row r="1768" spans="1:10" x14ac:dyDescent="0.25">
      <c r="A1768" s="2"/>
      <c r="B1768" s="1"/>
      <c r="C1768" s="6"/>
      <c r="D1768" s="7"/>
      <c r="E1768" s="8"/>
      <c r="F1768" s="11"/>
      <c r="G1768" s="14"/>
      <c r="H1768" s="14"/>
      <c r="I1768" s="14"/>
      <c r="J1768" s="12"/>
    </row>
    <row r="1769" spans="1:10" x14ac:dyDescent="0.25">
      <c r="A1769" s="2"/>
      <c r="B1769" s="1"/>
      <c r="C1769" s="6"/>
      <c r="D1769" s="7"/>
      <c r="E1769" s="8"/>
      <c r="F1769" s="10"/>
      <c r="G1769" s="10"/>
      <c r="H1769" s="5"/>
      <c r="I1769" s="5"/>
      <c r="J1769" s="12"/>
    </row>
    <row r="1770" spans="1:10" x14ac:dyDescent="0.25">
      <c r="A1770" s="2"/>
      <c r="B1770" s="1"/>
      <c r="C1770" s="6"/>
      <c r="D1770" s="7"/>
      <c r="E1770" s="8"/>
      <c r="F1770" s="11"/>
      <c r="G1770" s="14"/>
      <c r="H1770" s="14"/>
      <c r="I1770" s="14"/>
      <c r="J1770" s="12"/>
    </row>
    <row r="1771" spans="1:10" x14ac:dyDescent="0.25">
      <c r="A1771" s="2"/>
      <c r="B1771" s="1"/>
      <c r="C1771" s="6"/>
      <c r="D1771" s="7"/>
      <c r="E1771" s="8"/>
      <c r="F1771" s="11"/>
      <c r="G1771" s="14"/>
      <c r="H1771" s="14"/>
      <c r="I1771" s="14"/>
      <c r="J1771" s="12"/>
    </row>
    <row r="1772" spans="1:10" x14ac:dyDescent="0.25">
      <c r="A1772" s="2"/>
      <c r="B1772" s="1"/>
      <c r="C1772" s="6"/>
      <c r="D1772" s="7"/>
      <c r="E1772" s="8"/>
      <c r="F1772" s="11"/>
      <c r="G1772" s="14"/>
      <c r="H1772" s="14"/>
      <c r="I1772" s="14"/>
      <c r="J1772" s="12"/>
    </row>
    <row r="1773" spans="1:10" x14ac:dyDescent="0.25">
      <c r="A1773" s="2"/>
      <c r="B1773" s="1"/>
      <c r="C1773" s="6"/>
      <c r="D1773" s="7"/>
      <c r="E1773" s="8"/>
      <c r="F1773" s="11"/>
      <c r="G1773" s="14"/>
      <c r="H1773" s="14"/>
      <c r="I1773" s="14"/>
      <c r="J1773" s="12"/>
    </row>
    <row r="1774" spans="1:10" x14ac:dyDescent="0.25">
      <c r="A1774" s="2"/>
      <c r="B1774" s="1"/>
      <c r="C1774" s="6"/>
      <c r="D1774" s="7"/>
      <c r="E1774" s="8"/>
      <c r="F1774" s="11"/>
      <c r="G1774" s="14"/>
      <c r="H1774" s="14"/>
      <c r="I1774" s="5"/>
      <c r="J1774" s="12"/>
    </row>
    <row r="1775" spans="1:10" x14ac:dyDescent="0.25">
      <c r="A1775" s="2"/>
      <c r="B1775" s="1"/>
      <c r="C1775" s="6"/>
      <c r="D1775" s="7"/>
      <c r="E1775" s="8"/>
      <c r="F1775" s="11"/>
      <c r="G1775" s="14"/>
      <c r="H1775" s="14"/>
      <c r="I1775" s="14"/>
      <c r="J1775" s="12"/>
    </row>
    <row r="1776" spans="1:10" x14ac:dyDescent="0.25">
      <c r="A1776" s="2"/>
      <c r="B1776" s="1"/>
      <c r="C1776" s="6"/>
      <c r="D1776" s="7"/>
      <c r="E1776" s="8"/>
      <c r="F1776" s="11"/>
      <c r="G1776" s="14"/>
      <c r="H1776" s="14"/>
      <c r="I1776" s="14"/>
      <c r="J1776" s="12"/>
    </row>
    <row r="1777" spans="1:10" x14ac:dyDescent="0.25">
      <c r="A1777" s="2"/>
      <c r="B1777" s="1"/>
      <c r="C1777" s="6"/>
      <c r="D1777" s="7"/>
      <c r="E1777" s="8"/>
      <c r="F1777" s="11"/>
      <c r="G1777" s="14"/>
      <c r="H1777" s="14"/>
      <c r="I1777" s="14"/>
      <c r="J1777" s="12"/>
    </row>
    <row r="1778" spans="1:10" x14ac:dyDescent="0.25">
      <c r="A1778" s="2"/>
      <c r="B1778" s="1"/>
      <c r="C1778" s="6"/>
      <c r="D1778" s="7"/>
      <c r="E1778" s="8"/>
      <c r="F1778" s="11"/>
      <c r="G1778" s="14"/>
      <c r="H1778" s="14"/>
      <c r="I1778" s="14"/>
      <c r="J1778" s="12"/>
    </row>
    <row r="1779" spans="1:10" x14ac:dyDescent="0.25">
      <c r="A1779" s="2"/>
      <c r="B1779" s="1"/>
      <c r="C1779" s="6"/>
      <c r="D1779" s="7"/>
      <c r="E1779" s="8"/>
      <c r="F1779" s="11"/>
      <c r="G1779" s="14"/>
      <c r="H1779" s="14"/>
      <c r="I1779" s="14"/>
      <c r="J1779" s="12"/>
    </row>
    <row r="1780" spans="1:10" x14ac:dyDescent="0.25">
      <c r="A1780" s="2"/>
      <c r="B1780" s="1"/>
      <c r="C1780" s="6"/>
      <c r="D1780" s="7"/>
      <c r="E1780" s="8"/>
      <c r="F1780" s="11"/>
      <c r="G1780" s="14"/>
      <c r="H1780" s="14"/>
      <c r="I1780" s="14"/>
      <c r="J1780" s="12"/>
    </row>
    <row r="1781" spans="1:10" ht="16.5" thickBot="1" x14ac:dyDescent="0.3">
      <c r="A1781" s="18"/>
      <c r="B1781" s="19"/>
      <c r="C1781" s="20"/>
      <c r="D1781" s="21"/>
      <c r="E1781" s="22"/>
      <c r="F1781" s="23"/>
      <c r="G1781" s="24"/>
      <c r="H1781" s="24"/>
      <c r="I1781" s="24"/>
      <c r="J1781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A285-BA9A-48CF-AE40-ADFE140AEF7D}">
  <dimension ref="A1:AM502"/>
  <sheetViews>
    <sheetView topLeftCell="S250" workbookViewId="0">
      <selection activeCell="AN251" sqref="AN251"/>
    </sheetView>
  </sheetViews>
  <sheetFormatPr defaultRowHeight="15.75" x14ac:dyDescent="0.25"/>
  <cols>
    <col min="1" max="1" width="4.75" bestFit="1" customWidth="1"/>
    <col min="2" max="2" width="4.25" bestFit="1" customWidth="1"/>
    <col min="3" max="3" width="8.375" bestFit="1" customWidth="1"/>
    <col min="5" max="6" width="9.25" bestFit="1" customWidth="1"/>
    <col min="7" max="7" width="7.75" bestFit="1" customWidth="1"/>
    <col min="8" max="8" width="7.75" customWidth="1"/>
    <col min="9" max="9" width="9.625" bestFit="1" customWidth="1"/>
    <col min="10" max="10" width="10.25" customWidth="1"/>
    <col min="11" max="11" width="9.75" customWidth="1"/>
    <col min="12" max="12" width="8.375" bestFit="1" customWidth="1"/>
    <col min="13" max="13" width="9.375" bestFit="1" customWidth="1"/>
    <col min="14" max="14" width="9.5" customWidth="1"/>
    <col min="15" max="15" width="3.625" bestFit="1" customWidth="1"/>
    <col min="16" max="17" width="5.375" bestFit="1" customWidth="1"/>
    <col min="18" max="18" width="6.625" customWidth="1"/>
    <col min="19" max="19" width="5.375" bestFit="1" customWidth="1"/>
    <col min="20" max="20" width="7.25" bestFit="1" customWidth="1"/>
    <col min="21" max="22" width="5.375" bestFit="1" customWidth="1"/>
    <col min="23" max="24" width="4.5" bestFit="1" customWidth="1"/>
    <col min="25" max="25" width="5.375" bestFit="1" customWidth="1"/>
    <col min="26" max="26" width="3.75" bestFit="1" customWidth="1"/>
    <col min="27" max="27" width="12.125" bestFit="1" customWidth="1"/>
    <col min="28" max="28" width="9.875" customWidth="1"/>
  </cols>
  <sheetData>
    <row r="1" spans="1:39" s="50" customFormat="1" ht="45" x14ac:dyDescent="0.25">
      <c r="A1" s="77" t="s">
        <v>136</v>
      </c>
      <c r="B1" s="78" t="s">
        <v>1</v>
      </c>
      <c r="C1" s="79" t="s">
        <v>137</v>
      </c>
      <c r="D1" s="79" t="s">
        <v>138</v>
      </c>
      <c r="E1" s="79" t="s">
        <v>140</v>
      </c>
      <c r="F1" s="79" t="s">
        <v>198</v>
      </c>
      <c r="G1" s="79" t="s">
        <v>139</v>
      </c>
      <c r="H1" s="79" t="s">
        <v>141</v>
      </c>
      <c r="I1" s="79" t="s">
        <v>199</v>
      </c>
      <c r="J1" s="80" t="s">
        <v>200</v>
      </c>
      <c r="K1" s="81" t="s">
        <v>201</v>
      </c>
      <c r="L1" s="79" t="s">
        <v>171</v>
      </c>
      <c r="M1" s="79" t="s">
        <v>172</v>
      </c>
      <c r="N1" s="82" t="s">
        <v>142</v>
      </c>
      <c r="O1" s="78" t="s">
        <v>143</v>
      </c>
      <c r="P1" s="78" t="s">
        <v>173</v>
      </c>
      <c r="Q1" s="79" t="s">
        <v>161</v>
      </c>
      <c r="R1" s="79" t="s">
        <v>202</v>
      </c>
      <c r="S1" s="78" t="s">
        <v>144</v>
      </c>
      <c r="T1" s="78" t="s">
        <v>174</v>
      </c>
      <c r="U1" s="79" t="s">
        <v>146</v>
      </c>
      <c r="V1" s="79" t="s">
        <v>203</v>
      </c>
      <c r="W1" s="80" t="s">
        <v>162</v>
      </c>
      <c r="X1" s="78" t="s">
        <v>145</v>
      </c>
      <c r="Y1" s="78" t="s">
        <v>149</v>
      </c>
      <c r="Z1" s="78" t="s">
        <v>147</v>
      </c>
      <c r="AA1" s="83" t="s">
        <v>148</v>
      </c>
      <c r="AB1" s="50" t="s">
        <v>95</v>
      </c>
      <c r="AC1" s="79" t="s">
        <v>204</v>
      </c>
      <c r="AD1" s="79" t="s">
        <v>205</v>
      </c>
      <c r="AE1" s="79" t="s">
        <v>206</v>
      </c>
      <c r="AF1" s="79" t="s">
        <v>207</v>
      </c>
      <c r="AG1" s="79" t="s">
        <v>208</v>
      </c>
      <c r="AH1" s="79" t="s">
        <v>209</v>
      </c>
      <c r="AI1" s="79" t="s">
        <v>210</v>
      </c>
      <c r="AJ1" s="79" t="s">
        <v>211</v>
      </c>
      <c r="AK1" s="80" t="s">
        <v>212</v>
      </c>
      <c r="AL1" s="79" t="s">
        <v>213</v>
      </c>
      <c r="AM1" s="79" t="s">
        <v>214</v>
      </c>
    </row>
    <row r="2" spans="1:39" x14ac:dyDescent="0.25">
      <c r="A2" s="65" t="s">
        <v>10</v>
      </c>
      <c r="B2" s="61" t="s">
        <v>12</v>
      </c>
      <c r="C2" s="61">
        <v>4.88</v>
      </c>
      <c r="D2" s="61">
        <v>93.9</v>
      </c>
      <c r="E2" s="74">
        <v>0</v>
      </c>
      <c r="F2" s="74">
        <v>0</v>
      </c>
      <c r="G2" s="61">
        <v>9.09</v>
      </c>
      <c r="H2" s="61">
        <v>90.9</v>
      </c>
      <c r="I2" s="74">
        <v>0</v>
      </c>
      <c r="J2" s="74">
        <v>0</v>
      </c>
      <c r="K2" s="74">
        <v>0</v>
      </c>
      <c r="L2" s="61">
        <v>0</v>
      </c>
      <c r="M2" s="61">
        <v>0</v>
      </c>
      <c r="N2" s="66">
        <v>82</v>
      </c>
      <c r="O2" s="67">
        <f t="shared" ref="O2:O33" si="0">N2*C2/100</f>
        <v>4.0015999999999998</v>
      </c>
      <c r="P2" s="67">
        <f t="shared" ref="P2:P33" si="1">N2*D2/100</f>
        <v>76.998000000000005</v>
      </c>
      <c r="Q2" s="67">
        <f t="shared" ref="Q2:R2" si="2">E2*P2</f>
        <v>0</v>
      </c>
      <c r="R2" s="67">
        <f t="shared" si="2"/>
        <v>0</v>
      </c>
      <c r="S2" s="67">
        <f t="shared" ref="S2:S33" si="3">P2*G2/100</f>
        <v>6.9991182000000007</v>
      </c>
      <c r="T2" s="67">
        <f t="shared" ref="T2:T33" si="4">P2*H2/100</f>
        <v>69.991182000000009</v>
      </c>
      <c r="U2" s="67">
        <f t="shared" ref="U2:W2" si="5">I2*T2</f>
        <v>0</v>
      </c>
      <c r="V2" s="67">
        <f t="shared" si="5"/>
        <v>0</v>
      </c>
      <c r="W2" s="67">
        <f t="shared" si="5"/>
        <v>0</v>
      </c>
      <c r="X2" s="67">
        <f t="shared" ref="X2:X33" si="6">T2*L2/100</f>
        <v>0</v>
      </c>
      <c r="Y2" s="67">
        <f t="shared" ref="Y2:Y33" si="7">T2*M2/100</f>
        <v>0</v>
      </c>
      <c r="Z2" s="61" t="str">
        <f t="shared" ref="Z2:Z33" si="8">IF(N2&gt;10000,"XL",IF(N2&gt;1000,"L",IF(N2&gt;100,"M","S")))</f>
        <v>S</v>
      </c>
      <c r="AA2" s="68">
        <f t="shared" ref="AA2:AA65" si="9">LOG(N2,2)</f>
        <v>6.3575520046180847</v>
      </c>
      <c r="AB2" s="52" t="s">
        <v>170</v>
      </c>
      <c r="AC2">
        <f>(O2/N2)*100</f>
        <v>4.88</v>
      </c>
      <c r="AD2">
        <f>(P2/N2)*100</f>
        <v>93.9</v>
      </c>
      <c r="AE2">
        <f>(Q2/N2)*100</f>
        <v>0</v>
      </c>
      <c r="AF2">
        <f>(R2/N2)*100</f>
        <v>0</v>
      </c>
      <c r="AG2">
        <f>(S2/N2)*100</f>
        <v>8.5355100000000004</v>
      </c>
      <c r="AH2">
        <f>(T2/N2)*100</f>
        <v>85.355100000000007</v>
      </c>
      <c r="AI2">
        <f>(U2/N2)*100</f>
        <v>0</v>
      </c>
      <c r="AJ2">
        <f>(V2/N2)*100</f>
        <v>0</v>
      </c>
      <c r="AK2">
        <f>(W2/N2)*100</f>
        <v>0</v>
      </c>
      <c r="AL2">
        <f>(X2/N2)*100</f>
        <v>0</v>
      </c>
      <c r="AM2">
        <f>(Y2/N2)*100</f>
        <v>0</v>
      </c>
    </row>
    <row r="3" spans="1:39" x14ac:dyDescent="0.25">
      <c r="A3" s="65" t="s">
        <v>10</v>
      </c>
      <c r="B3" s="61" t="s">
        <v>175</v>
      </c>
      <c r="C3" s="61">
        <v>1.47</v>
      </c>
      <c r="D3" s="61">
        <v>97.1</v>
      </c>
      <c r="E3" s="74">
        <v>0</v>
      </c>
      <c r="F3" s="74">
        <v>0</v>
      </c>
      <c r="G3" s="61">
        <v>7.58</v>
      </c>
      <c r="H3" s="61">
        <v>92.4</v>
      </c>
      <c r="I3" s="74">
        <v>0</v>
      </c>
      <c r="J3" s="74">
        <v>0</v>
      </c>
      <c r="K3" s="74">
        <v>0</v>
      </c>
      <c r="L3" s="61">
        <v>8.1999999999999993</v>
      </c>
      <c r="M3" s="61">
        <v>0</v>
      </c>
      <c r="N3" s="66">
        <v>68</v>
      </c>
      <c r="O3" s="67">
        <f t="shared" si="0"/>
        <v>0.99959999999999993</v>
      </c>
      <c r="P3" s="67">
        <f t="shared" si="1"/>
        <v>66.027999999999992</v>
      </c>
      <c r="Q3" s="67">
        <f t="shared" ref="Q3:R3" si="10">E3*P3</f>
        <v>0</v>
      </c>
      <c r="R3" s="67">
        <f t="shared" si="10"/>
        <v>0</v>
      </c>
      <c r="S3" s="67">
        <f t="shared" si="3"/>
        <v>5.004922399999999</v>
      </c>
      <c r="T3" s="67">
        <f t="shared" si="4"/>
        <v>61.009871999999994</v>
      </c>
      <c r="U3" s="67">
        <f t="shared" ref="U3:W3" si="11">I3*T3</f>
        <v>0</v>
      </c>
      <c r="V3" s="67">
        <f t="shared" si="11"/>
        <v>0</v>
      </c>
      <c r="W3" s="67">
        <f t="shared" si="11"/>
        <v>0</v>
      </c>
      <c r="X3" s="67">
        <f t="shared" si="6"/>
        <v>5.0028095039999991</v>
      </c>
      <c r="Y3" s="67">
        <f t="shared" si="7"/>
        <v>0</v>
      </c>
      <c r="Z3" s="61" t="str">
        <f t="shared" si="8"/>
        <v>S</v>
      </c>
      <c r="AA3" s="68">
        <f t="shared" si="9"/>
        <v>6.08746284125034</v>
      </c>
      <c r="AB3" s="52" t="s">
        <v>170</v>
      </c>
      <c r="AC3">
        <f t="shared" ref="AC3:AC66" si="12">(O3/N3)*100</f>
        <v>1.47</v>
      </c>
      <c r="AD3">
        <f t="shared" ref="AD3:AD66" si="13">(P3/N3)*100</f>
        <v>97.09999999999998</v>
      </c>
      <c r="AE3">
        <f t="shared" ref="AE3:AE66" si="14">(Q3/N3)*100</f>
        <v>0</v>
      </c>
      <c r="AF3">
        <f t="shared" ref="AF3:AF66" si="15">(R3/N3)*100</f>
        <v>0</v>
      </c>
      <c r="AG3">
        <f t="shared" ref="AG3:AG66" si="16">(S3/N3)*100</f>
        <v>7.3601799999999979</v>
      </c>
      <c r="AH3">
        <f t="shared" ref="AH3:AH66" si="17">(T3/N3)*100</f>
        <v>89.720399999999984</v>
      </c>
      <c r="AI3">
        <f t="shared" ref="AI3:AI66" si="18">(U3/N3)*100</f>
        <v>0</v>
      </c>
      <c r="AJ3">
        <f t="shared" ref="AJ3:AJ66" si="19">(V3/N3)*100</f>
        <v>0</v>
      </c>
      <c r="AK3">
        <f t="shared" ref="AK3:AK66" si="20">(W3/N3)*100</f>
        <v>0</v>
      </c>
      <c r="AL3">
        <f t="shared" ref="AL3:AL66" si="21">(X3/N3)*100</f>
        <v>7.3570727999999992</v>
      </c>
      <c r="AM3">
        <f t="shared" ref="AM3:AM66" si="22">(Y3/N3)*100</f>
        <v>0</v>
      </c>
    </row>
    <row r="4" spans="1:39" x14ac:dyDescent="0.25">
      <c r="A4" s="65" t="s">
        <v>10</v>
      </c>
      <c r="B4" s="61" t="s">
        <v>108</v>
      </c>
      <c r="C4" s="61">
        <v>1.92</v>
      </c>
      <c r="D4" s="61">
        <v>97.1</v>
      </c>
      <c r="E4" s="74">
        <v>0</v>
      </c>
      <c r="F4" s="74">
        <v>0</v>
      </c>
      <c r="G4" s="61">
        <v>9.9</v>
      </c>
      <c r="H4" s="61">
        <v>90.1</v>
      </c>
      <c r="I4" s="74">
        <v>0</v>
      </c>
      <c r="J4" s="74">
        <v>0</v>
      </c>
      <c r="K4" s="74">
        <v>0</v>
      </c>
      <c r="L4" s="61">
        <v>6.59</v>
      </c>
      <c r="M4" s="61">
        <v>0</v>
      </c>
      <c r="N4" s="66">
        <v>104</v>
      </c>
      <c r="O4" s="67">
        <f t="shared" si="0"/>
        <v>1.9968000000000001</v>
      </c>
      <c r="P4" s="67">
        <f t="shared" si="1"/>
        <v>100.98399999999999</v>
      </c>
      <c r="Q4" s="67">
        <f t="shared" ref="Q4:R4" si="23">E4*P4</f>
        <v>0</v>
      </c>
      <c r="R4" s="67">
        <f t="shared" si="23"/>
        <v>0</v>
      </c>
      <c r="S4" s="67">
        <f t="shared" si="3"/>
        <v>9.9974159999999994</v>
      </c>
      <c r="T4" s="67">
        <f t="shared" si="4"/>
        <v>90.986583999999979</v>
      </c>
      <c r="U4" s="67">
        <f t="shared" ref="U4:W4" si="24">I4*T4</f>
        <v>0</v>
      </c>
      <c r="V4" s="67">
        <f t="shared" si="24"/>
        <v>0</v>
      </c>
      <c r="W4" s="67">
        <f t="shared" si="24"/>
        <v>0</v>
      </c>
      <c r="X4" s="67">
        <f t="shared" si="6"/>
        <v>5.9960158855999985</v>
      </c>
      <c r="Y4" s="67">
        <f t="shared" si="7"/>
        <v>0</v>
      </c>
      <c r="Z4" s="61" t="str">
        <f t="shared" si="8"/>
        <v>M</v>
      </c>
      <c r="AA4" s="68">
        <f t="shared" si="9"/>
        <v>6.7004397181410917</v>
      </c>
      <c r="AB4" s="52" t="s">
        <v>170</v>
      </c>
      <c r="AC4">
        <f t="shared" si="12"/>
        <v>1.9200000000000002</v>
      </c>
      <c r="AD4">
        <f t="shared" si="13"/>
        <v>97.1</v>
      </c>
      <c r="AE4">
        <f t="shared" si="14"/>
        <v>0</v>
      </c>
      <c r="AF4">
        <f t="shared" si="15"/>
        <v>0</v>
      </c>
      <c r="AG4">
        <f t="shared" si="16"/>
        <v>9.6128999999999998</v>
      </c>
      <c r="AH4">
        <f t="shared" si="17"/>
        <v>87.487099999999984</v>
      </c>
      <c r="AI4">
        <f t="shared" si="18"/>
        <v>0</v>
      </c>
      <c r="AJ4">
        <f t="shared" si="19"/>
        <v>0</v>
      </c>
      <c r="AK4">
        <f t="shared" si="20"/>
        <v>0</v>
      </c>
      <c r="AL4">
        <f t="shared" si="21"/>
        <v>5.7653998899999985</v>
      </c>
      <c r="AM4">
        <f t="shared" si="22"/>
        <v>0</v>
      </c>
    </row>
    <row r="5" spans="1:39" x14ac:dyDescent="0.25">
      <c r="A5" s="65" t="s">
        <v>10</v>
      </c>
      <c r="B5" s="61" t="s">
        <v>88</v>
      </c>
      <c r="C5" s="61">
        <v>1.18</v>
      </c>
      <c r="D5" s="61">
        <v>98.8</v>
      </c>
      <c r="E5" s="74">
        <v>0</v>
      </c>
      <c r="F5" s="74">
        <v>0</v>
      </c>
      <c r="G5" s="61">
        <v>7.14</v>
      </c>
      <c r="H5" s="61">
        <v>92.9</v>
      </c>
      <c r="I5" s="74">
        <v>0</v>
      </c>
      <c r="J5" s="74">
        <v>0</v>
      </c>
      <c r="K5" s="74">
        <v>0</v>
      </c>
      <c r="L5" s="61">
        <v>3.85</v>
      </c>
      <c r="M5" s="61">
        <v>0</v>
      </c>
      <c r="N5" s="66">
        <v>85</v>
      </c>
      <c r="O5" s="67">
        <f t="shared" si="0"/>
        <v>1.0029999999999999</v>
      </c>
      <c r="P5" s="67">
        <f t="shared" si="1"/>
        <v>83.98</v>
      </c>
      <c r="Q5" s="67">
        <f t="shared" ref="Q5:R5" si="25">E5*P5</f>
        <v>0</v>
      </c>
      <c r="R5" s="67">
        <f t="shared" si="25"/>
        <v>0</v>
      </c>
      <c r="S5" s="67">
        <f t="shared" si="3"/>
        <v>5.9961720000000005</v>
      </c>
      <c r="T5" s="67">
        <f t="shared" si="4"/>
        <v>78.017420000000016</v>
      </c>
      <c r="U5" s="67">
        <f t="shared" ref="U5:W5" si="26">I5*T5</f>
        <v>0</v>
      </c>
      <c r="V5" s="67">
        <f t="shared" si="26"/>
        <v>0</v>
      </c>
      <c r="W5" s="67">
        <f t="shared" si="26"/>
        <v>0</v>
      </c>
      <c r="X5" s="67">
        <f t="shared" si="6"/>
        <v>3.0036706700000009</v>
      </c>
      <c r="Y5" s="67">
        <f t="shared" si="7"/>
        <v>0</v>
      </c>
      <c r="Z5" s="61" t="str">
        <f t="shared" si="8"/>
        <v>S</v>
      </c>
      <c r="AA5" s="68">
        <f t="shared" si="9"/>
        <v>6.4093909361377026</v>
      </c>
      <c r="AB5" s="52" t="s">
        <v>170</v>
      </c>
      <c r="AC5">
        <f t="shared" si="12"/>
        <v>1.1799999999999997</v>
      </c>
      <c r="AD5">
        <f t="shared" si="13"/>
        <v>98.800000000000011</v>
      </c>
      <c r="AE5">
        <f t="shared" si="14"/>
        <v>0</v>
      </c>
      <c r="AF5">
        <f t="shared" si="15"/>
        <v>0</v>
      </c>
      <c r="AG5">
        <f t="shared" si="16"/>
        <v>7.0543199999999997</v>
      </c>
      <c r="AH5">
        <f t="shared" si="17"/>
        <v>91.785200000000017</v>
      </c>
      <c r="AI5">
        <f t="shared" si="18"/>
        <v>0</v>
      </c>
      <c r="AJ5">
        <f t="shared" si="19"/>
        <v>0</v>
      </c>
      <c r="AK5">
        <f t="shared" si="20"/>
        <v>0</v>
      </c>
      <c r="AL5">
        <f t="shared" si="21"/>
        <v>3.5337302000000008</v>
      </c>
      <c r="AM5">
        <f t="shared" si="22"/>
        <v>0</v>
      </c>
    </row>
    <row r="6" spans="1:39" x14ac:dyDescent="0.25">
      <c r="A6" s="65" t="s">
        <v>10</v>
      </c>
      <c r="B6" s="61" t="s">
        <v>109</v>
      </c>
      <c r="C6" s="61">
        <v>2.08</v>
      </c>
      <c r="D6" s="61">
        <v>97.9</v>
      </c>
      <c r="E6" s="74">
        <v>0</v>
      </c>
      <c r="F6" s="74">
        <v>0</v>
      </c>
      <c r="G6" s="61">
        <v>20.2</v>
      </c>
      <c r="H6" s="61">
        <v>78.7</v>
      </c>
      <c r="I6" s="74">
        <v>0</v>
      </c>
      <c r="J6" s="74">
        <v>0</v>
      </c>
      <c r="K6" s="74">
        <v>0</v>
      </c>
      <c r="L6" s="61">
        <v>1.35</v>
      </c>
      <c r="M6" s="61">
        <v>0</v>
      </c>
      <c r="N6" s="66">
        <v>96</v>
      </c>
      <c r="O6" s="67">
        <f t="shared" si="0"/>
        <v>1.9968000000000001</v>
      </c>
      <c r="P6" s="67">
        <f t="shared" si="1"/>
        <v>93.984000000000009</v>
      </c>
      <c r="Q6" s="67">
        <f t="shared" ref="Q6:R6" si="27">E6*P6</f>
        <v>0</v>
      </c>
      <c r="R6" s="67">
        <f t="shared" si="27"/>
        <v>0</v>
      </c>
      <c r="S6" s="67">
        <f t="shared" si="3"/>
        <v>18.984768000000003</v>
      </c>
      <c r="T6" s="67">
        <f t="shared" si="4"/>
        <v>73.965408000000011</v>
      </c>
      <c r="U6" s="67">
        <f t="shared" ref="U6:W6" si="28">I6*T6</f>
        <v>0</v>
      </c>
      <c r="V6" s="67">
        <f t="shared" si="28"/>
        <v>0</v>
      </c>
      <c r="W6" s="67">
        <f t="shared" si="28"/>
        <v>0</v>
      </c>
      <c r="X6" s="67">
        <f t="shared" si="6"/>
        <v>0.99853300800000033</v>
      </c>
      <c r="Y6" s="67">
        <f t="shared" si="7"/>
        <v>0</v>
      </c>
      <c r="Z6" s="61" t="str">
        <f t="shared" si="8"/>
        <v>S</v>
      </c>
      <c r="AA6" s="68">
        <f t="shared" si="9"/>
        <v>6.5849625007211561</v>
      </c>
      <c r="AB6" s="52" t="s">
        <v>170</v>
      </c>
      <c r="AC6">
        <f t="shared" si="12"/>
        <v>2.08</v>
      </c>
      <c r="AD6">
        <f t="shared" si="13"/>
        <v>97.9</v>
      </c>
      <c r="AE6">
        <f t="shared" si="14"/>
        <v>0</v>
      </c>
      <c r="AF6">
        <f t="shared" si="15"/>
        <v>0</v>
      </c>
      <c r="AG6">
        <f t="shared" si="16"/>
        <v>19.7758</v>
      </c>
      <c r="AH6">
        <f t="shared" si="17"/>
        <v>77.047300000000007</v>
      </c>
      <c r="AI6">
        <f t="shared" si="18"/>
        <v>0</v>
      </c>
      <c r="AJ6">
        <f t="shared" si="19"/>
        <v>0</v>
      </c>
      <c r="AK6">
        <f t="shared" si="20"/>
        <v>0</v>
      </c>
      <c r="AL6">
        <f t="shared" si="21"/>
        <v>1.0401385500000004</v>
      </c>
      <c r="AM6">
        <f t="shared" si="22"/>
        <v>0</v>
      </c>
    </row>
    <row r="7" spans="1:39" x14ac:dyDescent="0.25">
      <c r="A7" s="65" t="s">
        <v>10</v>
      </c>
      <c r="B7" s="61" t="s">
        <v>47</v>
      </c>
      <c r="C7" s="61">
        <v>0.59</v>
      </c>
      <c r="D7" s="61">
        <v>99.2</v>
      </c>
      <c r="E7" s="74">
        <v>0</v>
      </c>
      <c r="F7" s="74">
        <v>0</v>
      </c>
      <c r="G7" s="61">
        <v>2.13</v>
      </c>
      <c r="H7" s="61">
        <v>97.9</v>
      </c>
      <c r="I7" s="74">
        <v>0</v>
      </c>
      <c r="J7" s="74">
        <v>0</v>
      </c>
      <c r="K7" s="74">
        <v>0</v>
      </c>
      <c r="L7" s="61">
        <v>7</v>
      </c>
      <c r="M7" s="61">
        <v>6.88</v>
      </c>
      <c r="N7" s="66">
        <v>853</v>
      </c>
      <c r="O7" s="67">
        <f t="shared" si="0"/>
        <v>5.0327000000000002</v>
      </c>
      <c r="P7" s="67">
        <f t="shared" si="1"/>
        <v>846.17600000000004</v>
      </c>
      <c r="Q7" s="67">
        <f t="shared" ref="Q7:R7" si="29">E7*P7</f>
        <v>0</v>
      </c>
      <c r="R7" s="67">
        <f t="shared" si="29"/>
        <v>0</v>
      </c>
      <c r="S7" s="67">
        <f t="shared" si="3"/>
        <v>18.0235488</v>
      </c>
      <c r="T7" s="67">
        <f t="shared" si="4"/>
        <v>828.40630400000009</v>
      </c>
      <c r="U7" s="67">
        <f t="shared" ref="U7:W7" si="30">I7*T7</f>
        <v>0</v>
      </c>
      <c r="V7" s="67">
        <f t="shared" si="30"/>
        <v>0</v>
      </c>
      <c r="W7" s="67">
        <f t="shared" si="30"/>
        <v>0</v>
      </c>
      <c r="X7" s="67">
        <f t="shared" si="6"/>
        <v>57.988441280000004</v>
      </c>
      <c r="Y7" s="67">
        <f t="shared" si="7"/>
        <v>56.994353715200006</v>
      </c>
      <c r="Z7" s="61" t="str">
        <f t="shared" si="8"/>
        <v>M</v>
      </c>
      <c r="AA7" s="68">
        <f t="shared" si="9"/>
        <v>9.7364019313182908</v>
      </c>
      <c r="AB7" s="52" t="s">
        <v>170</v>
      </c>
      <c r="AC7">
        <f t="shared" si="12"/>
        <v>0.59</v>
      </c>
      <c r="AD7">
        <f t="shared" si="13"/>
        <v>99.200000000000017</v>
      </c>
      <c r="AE7">
        <f t="shared" si="14"/>
        <v>0</v>
      </c>
      <c r="AF7">
        <f t="shared" si="15"/>
        <v>0</v>
      </c>
      <c r="AG7">
        <f t="shared" si="16"/>
        <v>2.1129600000000002</v>
      </c>
      <c r="AH7">
        <f t="shared" si="17"/>
        <v>97.116800000000012</v>
      </c>
      <c r="AI7">
        <f t="shared" si="18"/>
        <v>0</v>
      </c>
      <c r="AJ7">
        <f t="shared" si="19"/>
        <v>0</v>
      </c>
      <c r="AK7">
        <f t="shared" si="20"/>
        <v>0</v>
      </c>
      <c r="AL7">
        <f t="shared" si="21"/>
        <v>6.7981759999999998</v>
      </c>
      <c r="AM7">
        <f t="shared" si="22"/>
        <v>6.6816358400000011</v>
      </c>
    </row>
    <row r="8" spans="1:39" x14ac:dyDescent="0.25">
      <c r="A8" s="65" t="s">
        <v>10</v>
      </c>
      <c r="B8" s="61" t="s">
        <v>49</v>
      </c>
      <c r="C8" s="61">
        <v>1.52</v>
      </c>
      <c r="D8" s="61">
        <v>98.5</v>
      </c>
      <c r="E8" s="74">
        <v>0</v>
      </c>
      <c r="F8" s="74">
        <v>0</v>
      </c>
      <c r="G8" s="61">
        <v>3.08</v>
      </c>
      <c r="H8" s="61">
        <v>96.9</v>
      </c>
      <c r="I8" s="74">
        <v>0</v>
      </c>
      <c r="J8" s="74">
        <v>0</v>
      </c>
      <c r="K8" s="74">
        <v>0</v>
      </c>
      <c r="L8" s="61">
        <v>61.4</v>
      </c>
      <c r="M8" s="61">
        <v>2.12</v>
      </c>
      <c r="N8" s="66">
        <v>198</v>
      </c>
      <c r="O8" s="67">
        <f t="shared" si="0"/>
        <v>3.0095999999999998</v>
      </c>
      <c r="P8" s="67">
        <f t="shared" si="1"/>
        <v>195.03</v>
      </c>
      <c r="Q8" s="67">
        <f t="shared" ref="Q8:R8" si="31">E8*P8</f>
        <v>0</v>
      </c>
      <c r="R8" s="67">
        <f t="shared" si="31"/>
        <v>0</v>
      </c>
      <c r="S8" s="67">
        <f t="shared" si="3"/>
        <v>6.0069240000000006</v>
      </c>
      <c r="T8" s="67">
        <f t="shared" si="4"/>
        <v>188.98407000000003</v>
      </c>
      <c r="U8" s="67">
        <f t="shared" ref="U8:W8" si="32">I8*T8</f>
        <v>0</v>
      </c>
      <c r="V8" s="67">
        <f t="shared" si="32"/>
        <v>0</v>
      </c>
      <c r="W8" s="67">
        <f t="shared" si="32"/>
        <v>0</v>
      </c>
      <c r="X8" s="67">
        <f t="shared" si="6"/>
        <v>116.03621898000002</v>
      </c>
      <c r="Y8" s="67">
        <f t="shared" si="7"/>
        <v>4.0064622840000013</v>
      </c>
      <c r="Z8" s="61" t="str">
        <f t="shared" si="8"/>
        <v>M</v>
      </c>
      <c r="AA8" s="68">
        <f t="shared" si="9"/>
        <v>7.6293566200796095</v>
      </c>
      <c r="AB8" s="52" t="s">
        <v>170</v>
      </c>
      <c r="AC8">
        <f t="shared" si="12"/>
        <v>1.52</v>
      </c>
      <c r="AD8">
        <f t="shared" si="13"/>
        <v>98.5</v>
      </c>
      <c r="AE8">
        <f t="shared" si="14"/>
        <v>0</v>
      </c>
      <c r="AF8">
        <f t="shared" si="15"/>
        <v>0</v>
      </c>
      <c r="AG8">
        <f t="shared" si="16"/>
        <v>3.0338000000000003</v>
      </c>
      <c r="AH8">
        <f t="shared" si="17"/>
        <v>95.446500000000015</v>
      </c>
      <c r="AI8">
        <f t="shared" si="18"/>
        <v>0</v>
      </c>
      <c r="AJ8">
        <f t="shared" si="19"/>
        <v>0</v>
      </c>
      <c r="AK8">
        <f t="shared" si="20"/>
        <v>0</v>
      </c>
      <c r="AL8">
        <f t="shared" si="21"/>
        <v>58.604151000000002</v>
      </c>
      <c r="AM8">
        <f t="shared" si="22"/>
        <v>2.0234658000000008</v>
      </c>
    </row>
    <row r="9" spans="1:39" x14ac:dyDescent="0.25">
      <c r="A9" s="65" t="s">
        <v>10</v>
      </c>
      <c r="B9" s="61" t="s">
        <v>125</v>
      </c>
      <c r="C9" s="61">
        <v>2.04</v>
      </c>
      <c r="D9" s="61">
        <v>97.7</v>
      </c>
      <c r="E9" s="74">
        <v>0</v>
      </c>
      <c r="F9" s="74">
        <v>0</v>
      </c>
      <c r="G9" s="61">
        <v>4.1900000000000004</v>
      </c>
      <c r="H9" s="61">
        <v>94.2</v>
      </c>
      <c r="I9" s="74">
        <v>0</v>
      </c>
      <c r="J9" s="74">
        <v>0</v>
      </c>
      <c r="K9" s="74">
        <v>0</v>
      </c>
      <c r="L9" s="61">
        <v>40.6</v>
      </c>
      <c r="M9" s="61">
        <v>50</v>
      </c>
      <c r="N9" s="66">
        <v>685</v>
      </c>
      <c r="O9" s="67">
        <f t="shared" si="0"/>
        <v>13.974</v>
      </c>
      <c r="P9" s="67">
        <f t="shared" si="1"/>
        <v>669.245</v>
      </c>
      <c r="Q9" s="67">
        <f t="shared" ref="Q9:R9" si="33">E9*P9</f>
        <v>0</v>
      </c>
      <c r="R9" s="67">
        <f t="shared" si="33"/>
        <v>0</v>
      </c>
      <c r="S9" s="67">
        <f t="shared" si="3"/>
        <v>28.041365500000001</v>
      </c>
      <c r="T9" s="67">
        <f t="shared" si="4"/>
        <v>630.42879000000005</v>
      </c>
      <c r="U9" s="67">
        <f t="shared" ref="U9:W9" si="34">I9*T9</f>
        <v>0</v>
      </c>
      <c r="V9" s="67">
        <f t="shared" si="34"/>
        <v>0</v>
      </c>
      <c r="W9" s="67">
        <f t="shared" si="34"/>
        <v>0</v>
      </c>
      <c r="X9" s="67">
        <f t="shared" si="6"/>
        <v>255.95408874000003</v>
      </c>
      <c r="Y9" s="67">
        <f t="shared" si="7"/>
        <v>315.21439500000002</v>
      </c>
      <c r="Z9" s="61" t="str">
        <f t="shared" si="8"/>
        <v>M</v>
      </c>
      <c r="AA9" s="68">
        <f t="shared" si="9"/>
        <v>9.419960177847889</v>
      </c>
      <c r="AB9" s="52" t="s">
        <v>170</v>
      </c>
      <c r="AC9">
        <f t="shared" si="12"/>
        <v>2.04</v>
      </c>
      <c r="AD9">
        <f t="shared" si="13"/>
        <v>97.7</v>
      </c>
      <c r="AE9">
        <f t="shared" si="14"/>
        <v>0</v>
      </c>
      <c r="AF9">
        <f t="shared" si="15"/>
        <v>0</v>
      </c>
      <c r="AG9">
        <f t="shared" si="16"/>
        <v>4.0936300000000001</v>
      </c>
      <c r="AH9">
        <f t="shared" si="17"/>
        <v>92.033400000000015</v>
      </c>
      <c r="AI9">
        <f t="shared" si="18"/>
        <v>0</v>
      </c>
      <c r="AJ9">
        <f t="shared" si="19"/>
        <v>0</v>
      </c>
      <c r="AK9">
        <f t="shared" si="20"/>
        <v>0</v>
      </c>
      <c r="AL9">
        <f t="shared" si="21"/>
        <v>37.3655604</v>
      </c>
      <c r="AM9">
        <f t="shared" si="22"/>
        <v>46.016700000000007</v>
      </c>
    </row>
    <row r="10" spans="1:39" x14ac:dyDescent="0.25">
      <c r="A10" s="65" t="s">
        <v>10</v>
      </c>
      <c r="B10" s="61" t="s">
        <v>176</v>
      </c>
      <c r="C10" s="61">
        <v>1.7</v>
      </c>
      <c r="D10" s="61">
        <v>98</v>
      </c>
      <c r="E10" s="74">
        <v>0</v>
      </c>
      <c r="F10" s="74">
        <v>0</v>
      </c>
      <c r="G10" s="61">
        <v>2.17</v>
      </c>
      <c r="H10" s="61">
        <v>97.2</v>
      </c>
      <c r="I10" s="74">
        <v>0</v>
      </c>
      <c r="J10" s="74">
        <v>0</v>
      </c>
      <c r="K10" s="74">
        <v>0</v>
      </c>
      <c r="L10" s="61">
        <v>51</v>
      </c>
      <c r="M10" s="61">
        <v>38.9</v>
      </c>
      <c r="N10" s="66">
        <v>2116</v>
      </c>
      <c r="O10" s="67">
        <f t="shared" si="0"/>
        <v>35.972000000000001</v>
      </c>
      <c r="P10" s="67">
        <f t="shared" si="1"/>
        <v>2073.6799999999998</v>
      </c>
      <c r="Q10" s="67">
        <f t="shared" ref="Q10:R10" si="35">E10*P10</f>
        <v>0</v>
      </c>
      <c r="R10" s="67">
        <f t="shared" si="35"/>
        <v>0</v>
      </c>
      <c r="S10" s="67">
        <f t="shared" si="3"/>
        <v>44.998855999999996</v>
      </c>
      <c r="T10" s="67">
        <f t="shared" si="4"/>
        <v>2015.6169600000001</v>
      </c>
      <c r="U10" s="67">
        <f t="shared" ref="U10:W10" si="36">I10*T10</f>
        <v>0</v>
      </c>
      <c r="V10" s="67">
        <f t="shared" si="36"/>
        <v>0</v>
      </c>
      <c r="W10" s="67">
        <f t="shared" si="36"/>
        <v>0</v>
      </c>
      <c r="X10" s="67">
        <f t="shared" si="6"/>
        <v>1027.9646496</v>
      </c>
      <c r="Y10" s="67">
        <f t="shared" si="7"/>
        <v>784.07499744000006</v>
      </c>
      <c r="Z10" s="61" t="str">
        <f t="shared" si="8"/>
        <v>L</v>
      </c>
      <c r="AA10" s="68">
        <f t="shared" si="9"/>
        <v>11.047123912114026</v>
      </c>
      <c r="AB10" s="52" t="s">
        <v>170</v>
      </c>
      <c r="AC10">
        <f t="shared" si="12"/>
        <v>1.7000000000000002</v>
      </c>
      <c r="AD10">
        <f t="shared" si="13"/>
        <v>97.999999999999986</v>
      </c>
      <c r="AE10">
        <f t="shared" si="14"/>
        <v>0</v>
      </c>
      <c r="AF10">
        <f t="shared" si="15"/>
        <v>0</v>
      </c>
      <c r="AG10">
        <f t="shared" si="16"/>
        <v>2.1265999999999998</v>
      </c>
      <c r="AH10">
        <f t="shared" si="17"/>
        <v>95.256</v>
      </c>
      <c r="AI10">
        <f t="shared" si="18"/>
        <v>0</v>
      </c>
      <c r="AJ10">
        <f t="shared" si="19"/>
        <v>0</v>
      </c>
      <c r="AK10">
        <f t="shared" si="20"/>
        <v>0</v>
      </c>
      <c r="AL10">
        <f t="shared" si="21"/>
        <v>48.580559999999998</v>
      </c>
      <c r="AM10">
        <f t="shared" si="22"/>
        <v>37.054583999999998</v>
      </c>
    </row>
    <row r="11" spans="1:39" x14ac:dyDescent="0.25">
      <c r="A11" s="65" t="s">
        <v>10</v>
      </c>
      <c r="B11" s="61" t="s">
        <v>166</v>
      </c>
      <c r="C11" s="61">
        <v>23.2</v>
      </c>
      <c r="D11" s="61">
        <v>75.5</v>
      </c>
      <c r="E11" s="74">
        <v>0</v>
      </c>
      <c r="F11" s="74">
        <v>0</v>
      </c>
      <c r="G11" s="61">
        <v>4.7</v>
      </c>
      <c r="H11" s="61">
        <v>94.7</v>
      </c>
      <c r="I11" s="74">
        <v>0</v>
      </c>
      <c r="J11" s="74">
        <v>0</v>
      </c>
      <c r="K11" s="74">
        <v>0</v>
      </c>
      <c r="L11" s="61">
        <v>50</v>
      </c>
      <c r="M11" s="61">
        <v>3.83</v>
      </c>
      <c r="N11" s="66">
        <v>2114</v>
      </c>
      <c r="O11" s="67">
        <f t="shared" si="0"/>
        <v>490.44799999999998</v>
      </c>
      <c r="P11" s="67">
        <f t="shared" si="1"/>
        <v>1596.07</v>
      </c>
      <c r="Q11" s="67">
        <f t="shared" ref="Q11:R11" si="37">E11*P11</f>
        <v>0</v>
      </c>
      <c r="R11" s="67">
        <f t="shared" si="37"/>
        <v>0</v>
      </c>
      <c r="S11" s="67">
        <f t="shared" si="3"/>
        <v>75.015289999999993</v>
      </c>
      <c r="T11" s="67">
        <f t="shared" si="4"/>
        <v>1511.47829</v>
      </c>
      <c r="U11" s="67">
        <f t="shared" ref="U11:W11" si="38">I11*T11</f>
        <v>0</v>
      </c>
      <c r="V11" s="67">
        <f t="shared" si="38"/>
        <v>0</v>
      </c>
      <c r="W11" s="67">
        <f t="shared" si="38"/>
        <v>0</v>
      </c>
      <c r="X11" s="67">
        <f t="shared" si="6"/>
        <v>755.73914500000001</v>
      </c>
      <c r="Y11" s="67">
        <f t="shared" si="7"/>
        <v>57.889618507000002</v>
      </c>
      <c r="Z11" s="61" t="str">
        <f t="shared" si="8"/>
        <v>L</v>
      </c>
      <c r="AA11" s="68">
        <f t="shared" si="9"/>
        <v>11.045759661382684</v>
      </c>
      <c r="AB11" s="52" t="s">
        <v>170</v>
      </c>
      <c r="AC11">
        <f t="shared" si="12"/>
        <v>23.2</v>
      </c>
      <c r="AD11">
        <f t="shared" si="13"/>
        <v>75.5</v>
      </c>
      <c r="AE11">
        <f t="shared" si="14"/>
        <v>0</v>
      </c>
      <c r="AF11">
        <f t="shared" si="15"/>
        <v>0</v>
      </c>
      <c r="AG11">
        <f t="shared" si="16"/>
        <v>3.5484999999999998</v>
      </c>
      <c r="AH11">
        <f t="shared" si="17"/>
        <v>71.498499999999993</v>
      </c>
      <c r="AI11">
        <f t="shared" si="18"/>
        <v>0</v>
      </c>
      <c r="AJ11">
        <f t="shared" si="19"/>
        <v>0</v>
      </c>
      <c r="AK11">
        <f t="shared" si="20"/>
        <v>0</v>
      </c>
      <c r="AL11">
        <f t="shared" si="21"/>
        <v>35.749249999999996</v>
      </c>
      <c r="AM11">
        <f t="shared" si="22"/>
        <v>2.7383925499999999</v>
      </c>
    </row>
    <row r="12" spans="1:39" x14ac:dyDescent="0.25">
      <c r="A12" s="65" t="s">
        <v>10</v>
      </c>
      <c r="B12" s="61" t="s">
        <v>111</v>
      </c>
      <c r="C12" s="61">
        <v>6.3E-2</v>
      </c>
      <c r="D12" s="61">
        <v>99.7</v>
      </c>
      <c r="E12" s="74">
        <v>0</v>
      </c>
      <c r="F12" s="74">
        <v>0</v>
      </c>
      <c r="G12" s="61">
        <v>0.28000000000000003</v>
      </c>
      <c r="H12" s="61">
        <v>99.7</v>
      </c>
      <c r="I12" s="74">
        <v>0</v>
      </c>
      <c r="J12" s="74">
        <v>0</v>
      </c>
      <c r="K12" s="74">
        <v>0</v>
      </c>
      <c r="L12" s="61">
        <v>17.399999999999999</v>
      </c>
      <c r="M12" s="61">
        <v>19.7</v>
      </c>
      <c r="N12" s="66">
        <v>3184</v>
      </c>
      <c r="O12" s="67">
        <f t="shared" si="0"/>
        <v>2.0059200000000001</v>
      </c>
      <c r="P12" s="67">
        <f t="shared" si="1"/>
        <v>3174.4479999999999</v>
      </c>
      <c r="Q12" s="67">
        <f t="shared" ref="Q12:R12" si="39">E12*P12</f>
        <v>0</v>
      </c>
      <c r="R12" s="67">
        <f t="shared" si="39"/>
        <v>0</v>
      </c>
      <c r="S12" s="67">
        <f t="shared" si="3"/>
        <v>8.8884544000000005</v>
      </c>
      <c r="T12" s="67">
        <f t="shared" si="4"/>
        <v>3164.9246560000001</v>
      </c>
      <c r="U12" s="67">
        <f t="shared" ref="U12:W12" si="40">I12*T12</f>
        <v>0</v>
      </c>
      <c r="V12" s="67">
        <f t="shared" si="40"/>
        <v>0</v>
      </c>
      <c r="W12" s="67">
        <f t="shared" si="40"/>
        <v>0</v>
      </c>
      <c r="X12" s="67">
        <f t="shared" si="6"/>
        <v>550.69689014400001</v>
      </c>
      <c r="Y12" s="67">
        <f t="shared" si="7"/>
        <v>623.490157232</v>
      </c>
      <c r="Z12" s="61" t="str">
        <f t="shared" si="8"/>
        <v>L</v>
      </c>
      <c r="AA12" s="68">
        <f t="shared" si="9"/>
        <v>11.63662462054365</v>
      </c>
      <c r="AB12" s="52" t="s">
        <v>170</v>
      </c>
      <c r="AC12">
        <f t="shared" si="12"/>
        <v>6.3E-2</v>
      </c>
      <c r="AD12">
        <f t="shared" si="13"/>
        <v>99.7</v>
      </c>
      <c r="AE12">
        <f t="shared" si="14"/>
        <v>0</v>
      </c>
      <c r="AF12">
        <f t="shared" si="15"/>
        <v>0</v>
      </c>
      <c r="AG12">
        <f t="shared" si="16"/>
        <v>0.27916000000000002</v>
      </c>
      <c r="AH12">
        <f t="shared" si="17"/>
        <v>99.400900000000007</v>
      </c>
      <c r="AI12">
        <f t="shared" si="18"/>
        <v>0</v>
      </c>
      <c r="AJ12">
        <f t="shared" si="19"/>
        <v>0</v>
      </c>
      <c r="AK12">
        <f t="shared" si="20"/>
        <v>0</v>
      </c>
      <c r="AL12">
        <f t="shared" si="21"/>
        <v>17.295756600000001</v>
      </c>
      <c r="AM12">
        <f t="shared" si="22"/>
        <v>19.581977300000002</v>
      </c>
    </row>
    <row r="13" spans="1:39" x14ac:dyDescent="0.25">
      <c r="A13" s="65" t="s">
        <v>10</v>
      </c>
      <c r="B13" s="61" t="s">
        <v>22</v>
      </c>
      <c r="C13" s="61">
        <v>0.14000000000000001</v>
      </c>
      <c r="D13" s="61">
        <v>95.6</v>
      </c>
      <c r="E13" s="74">
        <v>0</v>
      </c>
      <c r="F13" s="74">
        <v>0</v>
      </c>
      <c r="G13" s="61">
        <v>1</v>
      </c>
      <c r="H13" s="61">
        <v>98.8</v>
      </c>
      <c r="I13" s="74">
        <v>0</v>
      </c>
      <c r="J13" s="74">
        <v>0</v>
      </c>
      <c r="K13" s="74">
        <v>0</v>
      </c>
      <c r="L13" s="61">
        <v>37.6</v>
      </c>
      <c r="M13" s="61">
        <v>55.6</v>
      </c>
      <c r="N13" s="66">
        <v>2097</v>
      </c>
      <c r="O13" s="67">
        <f t="shared" si="0"/>
        <v>2.9358000000000004</v>
      </c>
      <c r="P13" s="67">
        <f t="shared" si="1"/>
        <v>2004.7319999999997</v>
      </c>
      <c r="Q13" s="67">
        <f t="shared" ref="Q13:R13" si="41">E13*P13</f>
        <v>0</v>
      </c>
      <c r="R13" s="67">
        <f t="shared" si="41"/>
        <v>0</v>
      </c>
      <c r="S13" s="67">
        <f t="shared" si="3"/>
        <v>20.047319999999999</v>
      </c>
      <c r="T13" s="67">
        <f t="shared" si="4"/>
        <v>1980.6752159999999</v>
      </c>
      <c r="U13" s="67">
        <f t="shared" ref="U13:W13" si="42">I13*T13</f>
        <v>0</v>
      </c>
      <c r="V13" s="67">
        <f t="shared" si="42"/>
        <v>0</v>
      </c>
      <c r="W13" s="67">
        <f t="shared" si="42"/>
        <v>0</v>
      </c>
      <c r="X13" s="67">
        <f t="shared" si="6"/>
        <v>744.73388121599999</v>
      </c>
      <c r="Y13" s="67">
        <f t="shared" si="7"/>
        <v>1101.2554200960001</v>
      </c>
      <c r="Z13" s="61" t="str">
        <f t="shared" si="8"/>
        <v>L</v>
      </c>
      <c r="AA13" s="68">
        <f t="shared" si="9"/>
        <v>11.034111146096594</v>
      </c>
      <c r="AB13" s="52" t="s">
        <v>170</v>
      </c>
      <c r="AC13">
        <f t="shared" si="12"/>
        <v>0.14000000000000001</v>
      </c>
      <c r="AD13">
        <f t="shared" si="13"/>
        <v>95.59999999999998</v>
      </c>
      <c r="AE13">
        <f t="shared" si="14"/>
        <v>0</v>
      </c>
      <c r="AF13">
        <f t="shared" si="15"/>
        <v>0</v>
      </c>
      <c r="AG13">
        <f t="shared" si="16"/>
        <v>0.95599999999999996</v>
      </c>
      <c r="AH13">
        <f t="shared" si="17"/>
        <v>94.452799999999996</v>
      </c>
      <c r="AI13">
        <f t="shared" si="18"/>
        <v>0</v>
      </c>
      <c r="AJ13">
        <f t="shared" si="19"/>
        <v>0</v>
      </c>
      <c r="AK13">
        <f t="shared" si="20"/>
        <v>0</v>
      </c>
      <c r="AL13">
        <f t="shared" si="21"/>
        <v>35.514252800000001</v>
      </c>
      <c r="AM13">
        <f t="shared" si="22"/>
        <v>52.515756800000005</v>
      </c>
    </row>
    <row r="14" spans="1:39" x14ac:dyDescent="0.25">
      <c r="A14" s="65" t="s">
        <v>10</v>
      </c>
      <c r="B14" s="61" t="s">
        <v>112</v>
      </c>
      <c r="C14" s="61">
        <v>7.08</v>
      </c>
      <c r="D14" s="61">
        <v>90.3</v>
      </c>
      <c r="E14" s="74">
        <v>0</v>
      </c>
      <c r="F14" s="74">
        <v>0</v>
      </c>
      <c r="G14" s="61">
        <v>1.05</v>
      </c>
      <c r="H14" s="61">
        <v>98.9</v>
      </c>
      <c r="I14" s="74">
        <v>0</v>
      </c>
      <c r="J14" s="74">
        <v>0</v>
      </c>
      <c r="K14" s="74">
        <v>0</v>
      </c>
      <c r="L14" s="61">
        <v>50.5</v>
      </c>
      <c r="M14" s="61">
        <v>37.799999999999997</v>
      </c>
      <c r="N14" s="66">
        <v>1272</v>
      </c>
      <c r="O14" s="67">
        <f t="shared" si="0"/>
        <v>90.057600000000008</v>
      </c>
      <c r="P14" s="67">
        <f t="shared" si="1"/>
        <v>1148.616</v>
      </c>
      <c r="Q14" s="67">
        <f t="shared" ref="Q14:R14" si="43">E14*P14</f>
        <v>0</v>
      </c>
      <c r="R14" s="67">
        <f t="shared" si="43"/>
        <v>0</v>
      </c>
      <c r="S14" s="67">
        <f t="shared" si="3"/>
        <v>12.060468</v>
      </c>
      <c r="T14" s="67">
        <f t="shared" si="4"/>
        <v>1135.9812240000001</v>
      </c>
      <c r="U14" s="67">
        <f t="shared" ref="U14:W14" si="44">I14*T14</f>
        <v>0</v>
      </c>
      <c r="V14" s="67">
        <f t="shared" si="44"/>
        <v>0</v>
      </c>
      <c r="W14" s="67">
        <f t="shared" si="44"/>
        <v>0</v>
      </c>
      <c r="X14" s="67">
        <f t="shared" si="6"/>
        <v>573.67051812</v>
      </c>
      <c r="Y14" s="67">
        <f t="shared" si="7"/>
        <v>429.40090267200003</v>
      </c>
      <c r="Z14" s="61" t="str">
        <f t="shared" si="8"/>
        <v>L</v>
      </c>
      <c r="AA14" s="68">
        <f t="shared" si="9"/>
        <v>10.312882955284357</v>
      </c>
      <c r="AB14" s="52" t="s">
        <v>170</v>
      </c>
      <c r="AC14">
        <f t="shared" si="12"/>
        <v>7.08</v>
      </c>
      <c r="AD14">
        <f t="shared" si="13"/>
        <v>90.3</v>
      </c>
      <c r="AE14">
        <f t="shared" si="14"/>
        <v>0</v>
      </c>
      <c r="AF14">
        <f t="shared" si="15"/>
        <v>0</v>
      </c>
      <c r="AG14">
        <f t="shared" si="16"/>
        <v>0.94815000000000005</v>
      </c>
      <c r="AH14">
        <f t="shared" si="17"/>
        <v>89.306700000000006</v>
      </c>
      <c r="AI14">
        <f t="shared" si="18"/>
        <v>0</v>
      </c>
      <c r="AJ14">
        <f t="shared" si="19"/>
        <v>0</v>
      </c>
      <c r="AK14">
        <f t="shared" si="20"/>
        <v>0</v>
      </c>
      <c r="AL14">
        <f t="shared" si="21"/>
        <v>45.099883499999997</v>
      </c>
      <c r="AM14">
        <f t="shared" si="22"/>
        <v>33.757932600000004</v>
      </c>
    </row>
    <row r="15" spans="1:39" x14ac:dyDescent="0.25">
      <c r="A15" s="65" t="s">
        <v>10</v>
      </c>
      <c r="B15" s="61" t="s">
        <v>129</v>
      </c>
      <c r="C15" s="61">
        <v>0.2</v>
      </c>
      <c r="D15" s="61">
        <v>95.1</v>
      </c>
      <c r="E15" s="74">
        <v>0</v>
      </c>
      <c r="F15" s="74">
        <v>0</v>
      </c>
      <c r="G15" s="61">
        <v>0.57999999999999996</v>
      </c>
      <c r="H15" s="61">
        <v>99.3</v>
      </c>
      <c r="I15" s="74">
        <v>0</v>
      </c>
      <c r="J15" s="74">
        <v>0</v>
      </c>
      <c r="K15" s="74">
        <v>0</v>
      </c>
      <c r="L15" s="61">
        <v>32.1</v>
      </c>
      <c r="M15" s="61">
        <v>61.6</v>
      </c>
      <c r="N15" s="66">
        <v>4537</v>
      </c>
      <c r="O15" s="67">
        <f t="shared" si="0"/>
        <v>9.0740000000000016</v>
      </c>
      <c r="P15" s="67">
        <f t="shared" si="1"/>
        <v>4314.6869999999999</v>
      </c>
      <c r="Q15" s="67">
        <f t="shared" ref="Q15:R15" si="45">E15*P15</f>
        <v>0</v>
      </c>
      <c r="R15" s="67">
        <f t="shared" si="45"/>
        <v>0</v>
      </c>
      <c r="S15" s="67">
        <f t="shared" si="3"/>
        <v>25.025184599999999</v>
      </c>
      <c r="T15" s="67">
        <f t="shared" si="4"/>
        <v>4284.4841909999996</v>
      </c>
      <c r="U15" s="67">
        <f t="shared" ref="U15:W15" si="46">I15*T15</f>
        <v>0</v>
      </c>
      <c r="V15" s="67">
        <f t="shared" si="46"/>
        <v>0</v>
      </c>
      <c r="W15" s="67">
        <f t="shared" si="46"/>
        <v>0</v>
      </c>
      <c r="X15" s="67">
        <f t="shared" si="6"/>
        <v>1375.3194253109998</v>
      </c>
      <c r="Y15" s="67">
        <f t="shared" si="7"/>
        <v>2639.2422616560002</v>
      </c>
      <c r="Z15" s="61" t="str">
        <f t="shared" si="8"/>
        <v>L</v>
      </c>
      <c r="AA15" s="68">
        <f t="shared" si="9"/>
        <v>12.147522944350744</v>
      </c>
      <c r="AB15" s="52" t="s">
        <v>170</v>
      </c>
      <c r="AC15">
        <f t="shared" si="12"/>
        <v>0.20000000000000004</v>
      </c>
      <c r="AD15">
        <f t="shared" si="13"/>
        <v>95.1</v>
      </c>
      <c r="AE15">
        <f t="shared" si="14"/>
        <v>0</v>
      </c>
      <c r="AF15">
        <f t="shared" si="15"/>
        <v>0</v>
      </c>
      <c r="AG15">
        <f t="shared" si="16"/>
        <v>0.55157999999999996</v>
      </c>
      <c r="AH15">
        <f t="shared" si="17"/>
        <v>94.434299999999993</v>
      </c>
      <c r="AI15">
        <f t="shared" si="18"/>
        <v>0</v>
      </c>
      <c r="AJ15">
        <f t="shared" si="19"/>
        <v>0</v>
      </c>
      <c r="AK15">
        <f t="shared" si="20"/>
        <v>0</v>
      </c>
      <c r="AL15">
        <f t="shared" si="21"/>
        <v>30.313410299999994</v>
      </c>
      <c r="AM15">
        <f t="shared" si="22"/>
        <v>58.171528800000004</v>
      </c>
    </row>
    <row r="16" spans="1:39" x14ac:dyDescent="0.25">
      <c r="A16" s="65" t="s">
        <v>10</v>
      </c>
      <c r="B16" s="61" t="s">
        <v>25</v>
      </c>
      <c r="C16" s="61">
        <v>0.52</v>
      </c>
      <c r="D16" s="61">
        <v>90</v>
      </c>
      <c r="E16" s="74">
        <v>0</v>
      </c>
      <c r="F16" s="74">
        <v>0</v>
      </c>
      <c r="G16" s="61">
        <v>0.8</v>
      </c>
      <c r="H16" s="61">
        <v>99.2</v>
      </c>
      <c r="I16" s="74">
        <v>0</v>
      </c>
      <c r="J16" s="74">
        <v>0</v>
      </c>
      <c r="K16" s="74">
        <v>0</v>
      </c>
      <c r="L16" s="61">
        <v>70.2</v>
      </c>
      <c r="M16" s="61">
        <v>21.6</v>
      </c>
      <c r="N16" s="66">
        <v>3051</v>
      </c>
      <c r="O16" s="67">
        <f t="shared" si="0"/>
        <v>15.8652</v>
      </c>
      <c r="P16" s="67">
        <f t="shared" si="1"/>
        <v>2745.9</v>
      </c>
      <c r="Q16" s="67">
        <f t="shared" ref="Q16:R16" si="47">E16*P16</f>
        <v>0</v>
      </c>
      <c r="R16" s="67">
        <f t="shared" si="47"/>
        <v>0</v>
      </c>
      <c r="S16" s="67">
        <f t="shared" si="3"/>
        <v>21.967200000000002</v>
      </c>
      <c r="T16" s="67">
        <f t="shared" si="4"/>
        <v>2723.9328000000005</v>
      </c>
      <c r="U16" s="67">
        <f t="shared" ref="U16:W16" si="48">I16*T16</f>
        <v>0</v>
      </c>
      <c r="V16" s="67">
        <f t="shared" si="48"/>
        <v>0</v>
      </c>
      <c r="W16" s="67">
        <f t="shared" si="48"/>
        <v>0</v>
      </c>
      <c r="X16" s="67">
        <f t="shared" si="6"/>
        <v>1912.2008256000004</v>
      </c>
      <c r="Y16" s="67">
        <f t="shared" si="7"/>
        <v>588.36948480000012</v>
      </c>
      <c r="Z16" s="61" t="str">
        <f t="shared" si="8"/>
        <v>L</v>
      </c>
      <c r="AA16" s="68">
        <f t="shared" si="9"/>
        <v>11.575066464578658</v>
      </c>
      <c r="AB16" s="52" t="s">
        <v>170</v>
      </c>
      <c r="AC16">
        <f t="shared" si="12"/>
        <v>0.52</v>
      </c>
      <c r="AD16">
        <f t="shared" si="13"/>
        <v>90</v>
      </c>
      <c r="AE16">
        <f t="shared" si="14"/>
        <v>0</v>
      </c>
      <c r="AF16">
        <f t="shared" si="15"/>
        <v>0</v>
      </c>
      <c r="AG16">
        <f t="shared" si="16"/>
        <v>0.72000000000000008</v>
      </c>
      <c r="AH16">
        <f t="shared" si="17"/>
        <v>89.280000000000015</v>
      </c>
      <c r="AI16">
        <f t="shared" si="18"/>
        <v>0</v>
      </c>
      <c r="AJ16">
        <f t="shared" si="19"/>
        <v>0</v>
      </c>
      <c r="AK16">
        <f t="shared" si="20"/>
        <v>0</v>
      </c>
      <c r="AL16">
        <f t="shared" si="21"/>
        <v>62.674560000000014</v>
      </c>
      <c r="AM16">
        <f t="shared" si="22"/>
        <v>19.284480000000002</v>
      </c>
    </row>
    <row r="17" spans="1:39" x14ac:dyDescent="0.25">
      <c r="A17" s="65" t="s">
        <v>10</v>
      </c>
      <c r="B17" s="61" t="s">
        <v>26</v>
      </c>
      <c r="C17" s="61">
        <v>1.69</v>
      </c>
      <c r="D17" s="61">
        <v>91.5</v>
      </c>
      <c r="E17" s="74">
        <v>0</v>
      </c>
      <c r="F17" s="74">
        <v>0</v>
      </c>
      <c r="G17" s="61">
        <v>1.48</v>
      </c>
      <c r="H17" s="61">
        <v>98.1</v>
      </c>
      <c r="I17" s="74">
        <v>0</v>
      </c>
      <c r="J17" s="74">
        <v>0</v>
      </c>
      <c r="K17" s="74">
        <v>0</v>
      </c>
      <c r="L17" s="61">
        <v>63.4</v>
      </c>
      <c r="M17" s="61">
        <v>12.5</v>
      </c>
      <c r="N17" s="66">
        <v>295</v>
      </c>
      <c r="O17" s="67">
        <f t="shared" si="0"/>
        <v>4.9855</v>
      </c>
      <c r="P17" s="67">
        <f t="shared" si="1"/>
        <v>269.92500000000001</v>
      </c>
      <c r="Q17" s="67">
        <f t="shared" ref="Q17:R17" si="49">E17*P17</f>
        <v>0</v>
      </c>
      <c r="R17" s="67">
        <f t="shared" si="49"/>
        <v>0</v>
      </c>
      <c r="S17" s="67">
        <f t="shared" si="3"/>
        <v>3.9948900000000003</v>
      </c>
      <c r="T17" s="67">
        <f t="shared" si="4"/>
        <v>264.796425</v>
      </c>
      <c r="U17" s="67">
        <f t="shared" ref="U17:W17" si="50">I17*T17</f>
        <v>0</v>
      </c>
      <c r="V17" s="67">
        <f t="shared" si="50"/>
        <v>0</v>
      </c>
      <c r="W17" s="67">
        <f t="shared" si="50"/>
        <v>0</v>
      </c>
      <c r="X17" s="67">
        <f t="shared" si="6"/>
        <v>167.88093345000001</v>
      </c>
      <c r="Y17" s="67">
        <f t="shared" si="7"/>
        <v>33.099553125</v>
      </c>
      <c r="Z17" s="61" t="str">
        <f t="shared" si="8"/>
        <v>M</v>
      </c>
      <c r="AA17" s="68">
        <f t="shared" si="9"/>
        <v>8.2045711442492042</v>
      </c>
      <c r="AB17" s="52" t="s">
        <v>170</v>
      </c>
      <c r="AC17">
        <f t="shared" si="12"/>
        <v>1.6900000000000002</v>
      </c>
      <c r="AD17">
        <f t="shared" si="13"/>
        <v>91.5</v>
      </c>
      <c r="AE17">
        <f t="shared" si="14"/>
        <v>0</v>
      </c>
      <c r="AF17">
        <f t="shared" si="15"/>
        <v>0</v>
      </c>
      <c r="AG17">
        <f t="shared" si="16"/>
        <v>1.3542000000000001</v>
      </c>
      <c r="AH17">
        <f t="shared" si="17"/>
        <v>89.761500000000012</v>
      </c>
      <c r="AI17">
        <f t="shared" si="18"/>
        <v>0</v>
      </c>
      <c r="AJ17">
        <f t="shared" si="19"/>
        <v>0</v>
      </c>
      <c r="AK17">
        <f t="shared" si="20"/>
        <v>0</v>
      </c>
      <c r="AL17">
        <f t="shared" si="21"/>
        <v>56.908791000000001</v>
      </c>
      <c r="AM17">
        <f t="shared" si="22"/>
        <v>11.220187500000002</v>
      </c>
    </row>
    <row r="18" spans="1:39" x14ac:dyDescent="0.25">
      <c r="A18" s="65" t="s">
        <v>10</v>
      </c>
      <c r="B18" s="61" t="s">
        <v>116</v>
      </c>
      <c r="C18" s="61">
        <v>0.5</v>
      </c>
      <c r="D18" s="61">
        <v>93.3</v>
      </c>
      <c r="E18" s="74">
        <v>0</v>
      </c>
      <c r="F18" s="74">
        <v>0</v>
      </c>
      <c r="G18" s="61">
        <v>1.8</v>
      </c>
      <c r="H18" s="61">
        <v>98.2</v>
      </c>
      <c r="I18" s="74">
        <v>0</v>
      </c>
      <c r="J18" s="74">
        <v>0</v>
      </c>
      <c r="K18" s="74">
        <v>0</v>
      </c>
      <c r="L18" s="61">
        <v>62.5</v>
      </c>
      <c r="M18" s="61">
        <v>22</v>
      </c>
      <c r="N18" s="66">
        <v>596</v>
      </c>
      <c r="O18" s="67">
        <f t="shared" si="0"/>
        <v>2.98</v>
      </c>
      <c r="P18" s="67">
        <f t="shared" si="1"/>
        <v>556.06799999999998</v>
      </c>
      <c r="Q18" s="67">
        <f t="shared" ref="Q18:R18" si="51">E18*P18</f>
        <v>0</v>
      </c>
      <c r="R18" s="67">
        <f t="shared" si="51"/>
        <v>0</v>
      </c>
      <c r="S18" s="67">
        <f t="shared" si="3"/>
        <v>10.009224</v>
      </c>
      <c r="T18" s="67">
        <f t="shared" si="4"/>
        <v>546.05877599999997</v>
      </c>
      <c r="U18" s="67">
        <f t="shared" ref="U18:W18" si="52">I18*T18</f>
        <v>0</v>
      </c>
      <c r="V18" s="67">
        <f t="shared" si="52"/>
        <v>0</v>
      </c>
      <c r="W18" s="67">
        <f t="shared" si="52"/>
        <v>0</v>
      </c>
      <c r="X18" s="67">
        <f t="shared" si="6"/>
        <v>341.28673499999996</v>
      </c>
      <c r="Y18" s="67">
        <f t="shared" si="7"/>
        <v>120.13293071999999</v>
      </c>
      <c r="Z18" s="61" t="str">
        <f t="shared" si="8"/>
        <v>M</v>
      </c>
      <c r="AA18" s="68">
        <f t="shared" si="9"/>
        <v>9.2191685204621621</v>
      </c>
      <c r="AB18" s="52" t="s">
        <v>170</v>
      </c>
      <c r="AC18">
        <f t="shared" si="12"/>
        <v>0.5</v>
      </c>
      <c r="AD18">
        <f t="shared" si="13"/>
        <v>93.3</v>
      </c>
      <c r="AE18">
        <f t="shared" si="14"/>
        <v>0</v>
      </c>
      <c r="AF18">
        <f t="shared" si="15"/>
        <v>0</v>
      </c>
      <c r="AG18">
        <f t="shared" si="16"/>
        <v>1.6794</v>
      </c>
      <c r="AH18">
        <f t="shared" si="17"/>
        <v>91.620599999999996</v>
      </c>
      <c r="AI18">
        <f t="shared" si="18"/>
        <v>0</v>
      </c>
      <c r="AJ18">
        <f t="shared" si="19"/>
        <v>0</v>
      </c>
      <c r="AK18">
        <f t="shared" si="20"/>
        <v>0</v>
      </c>
      <c r="AL18">
        <f t="shared" si="21"/>
        <v>57.262874999999994</v>
      </c>
      <c r="AM18">
        <f t="shared" si="22"/>
        <v>20.156531999999999</v>
      </c>
    </row>
    <row r="19" spans="1:39" x14ac:dyDescent="0.25">
      <c r="A19" s="65" t="s">
        <v>10</v>
      </c>
      <c r="B19" s="61" t="s">
        <v>130</v>
      </c>
      <c r="C19" s="61">
        <v>0.25</v>
      </c>
      <c r="D19" s="61">
        <v>99.7</v>
      </c>
      <c r="E19" s="74">
        <v>0</v>
      </c>
      <c r="F19" s="74">
        <v>0</v>
      </c>
      <c r="G19" s="61">
        <v>0.22</v>
      </c>
      <c r="H19" s="61">
        <v>99.7</v>
      </c>
      <c r="I19" s="74">
        <v>0</v>
      </c>
      <c r="J19" s="74">
        <v>0</v>
      </c>
      <c r="K19" s="74">
        <v>0</v>
      </c>
      <c r="L19" s="61">
        <v>13.5</v>
      </c>
      <c r="M19" s="61">
        <v>82.6</v>
      </c>
      <c r="N19" s="66">
        <v>8281</v>
      </c>
      <c r="O19" s="67">
        <f t="shared" si="0"/>
        <v>20.702500000000001</v>
      </c>
      <c r="P19" s="67">
        <f t="shared" si="1"/>
        <v>8256.1570000000011</v>
      </c>
      <c r="Q19" s="67">
        <f t="shared" ref="Q19:R19" si="53">E19*P19</f>
        <v>0</v>
      </c>
      <c r="R19" s="67">
        <f t="shared" si="53"/>
        <v>0</v>
      </c>
      <c r="S19" s="67">
        <f t="shared" si="3"/>
        <v>18.163545400000004</v>
      </c>
      <c r="T19" s="67">
        <f t="shared" si="4"/>
        <v>8231.3885290000017</v>
      </c>
      <c r="U19" s="67">
        <f t="shared" ref="U19:W19" si="54">I19*T19</f>
        <v>0</v>
      </c>
      <c r="V19" s="67">
        <f t="shared" si="54"/>
        <v>0</v>
      </c>
      <c r="W19" s="67">
        <f t="shared" si="54"/>
        <v>0</v>
      </c>
      <c r="X19" s="67">
        <f t="shared" si="6"/>
        <v>1111.2374514150004</v>
      </c>
      <c r="Y19" s="67">
        <f t="shared" si="7"/>
        <v>6799.126924954001</v>
      </c>
      <c r="Z19" s="61" t="str">
        <f t="shared" si="8"/>
        <v>L</v>
      </c>
      <c r="AA19" s="68">
        <f t="shared" si="9"/>
        <v>13.015589280397393</v>
      </c>
      <c r="AB19" s="52" t="s">
        <v>170</v>
      </c>
      <c r="AC19">
        <f t="shared" si="12"/>
        <v>0.25</v>
      </c>
      <c r="AD19">
        <f t="shared" si="13"/>
        <v>99.700000000000017</v>
      </c>
      <c r="AE19">
        <f t="shared" si="14"/>
        <v>0</v>
      </c>
      <c r="AF19">
        <f t="shared" si="15"/>
        <v>0</v>
      </c>
      <c r="AG19">
        <f t="shared" si="16"/>
        <v>0.21934000000000003</v>
      </c>
      <c r="AH19">
        <f t="shared" si="17"/>
        <v>99.400900000000021</v>
      </c>
      <c r="AI19">
        <f t="shared" si="18"/>
        <v>0</v>
      </c>
      <c r="AJ19">
        <f t="shared" si="19"/>
        <v>0</v>
      </c>
      <c r="AK19">
        <f t="shared" si="20"/>
        <v>0</v>
      </c>
      <c r="AL19">
        <f t="shared" si="21"/>
        <v>13.419121500000003</v>
      </c>
      <c r="AM19">
        <f t="shared" si="22"/>
        <v>82.105143400000017</v>
      </c>
    </row>
    <row r="20" spans="1:39" x14ac:dyDescent="0.25">
      <c r="A20" s="65" t="s">
        <v>10</v>
      </c>
      <c r="B20" s="61" t="s">
        <v>177</v>
      </c>
      <c r="C20" s="61">
        <v>0.15</v>
      </c>
      <c r="D20" s="61">
        <v>99.7</v>
      </c>
      <c r="E20" s="74">
        <v>0</v>
      </c>
      <c r="F20" s="74">
        <v>0</v>
      </c>
      <c r="G20" s="61">
        <v>0.35</v>
      </c>
      <c r="H20" s="61">
        <v>99.5</v>
      </c>
      <c r="I20" s="74">
        <v>0</v>
      </c>
      <c r="J20" s="74">
        <v>0</v>
      </c>
      <c r="K20" s="74">
        <v>0</v>
      </c>
      <c r="L20" s="61">
        <v>10</v>
      </c>
      <c r="M20" s="61">
        <v>84.7</v>
      </c>
      <c r="N20" s="66">
        <v>3968</v>
      </c>
      <c r="O20" s="67">
        <f t="shared" si="0"/>
        <v>5.9519999999999991</v>
      </c>
      <c r="P20" s="67">
        <f t="shared" si="1"/>
        <v>3956.0960000000005</v>
      </c>
      <c r="Q20" s="67">
        <f t="shared" ref="Q20:R20" si="55">E20*P20</f>
        <v>0</v>
      </c>
      <c r="R20" s="67">
        <f t="shared" si="55"/>
        <v>0</v>
      </c>
      <c r="S20" s="67">
        <f t="shared" si="3"/>
        <v>13.846336000000001</v>
      </c>
      <c r="T20" s="67">
        <f t="shared" si="4"/>
        <v>3936.3155200000001</v>
      </c>
      <c r="U20" s="67">
        <f t="shared" ref="U20:W20" si="56">I20*T20</f>
        <v>0</v>
      </c>
      <c r="V20" s="67">
        <f t="shared" si="56"/>
        <v>0</v>
      </c>
      <c r="W20" s="67">
        <f t="shared" si="56"/>
        <v>0</v>
      </c>
      <c r="X20" s="67">
        <f t="shared" si="6"/>
        <v>393.631552</v>
      </c>
      <c r="Y20" s="67">
        <f t="shared" si="7"/>
        <v>3334.0592454400003</v>
      </c>
      <c r="Z20" s="61" t="str">
        <f t="shared" si="8"/>
        <v>L</v>
      </c>
      <c r="AA20" s="68">
        <f t="shared" si="9"/>
        <v>11.954196310386875</v>
      </c>
      <c r="AB20" s="52" t="s">
        <v>170</v>
      </c>
      <c r="AC20">
        <f t="shared" si="12"/>
        <v>0.15</v>
      </c>
      <c r="AD20">
        <f t="shared" si="13"/>
        <v>99.700000000000017</v>
      </c>
      <c r="AE20">
        <f t="shared" si="14"/>
        <v>0</v>
      </c>
      <c r="AF20">
        <f t="shared" si="15"/>
        <v>0</v>
      </c>
      <c r="AG20">
        <f t="shared" si="16"/>
        <v>0.34895000000000004</v>
      </c>
      <c r="AH20">
        <f t="shared" si="17"/>
        <v>99.201499999999996</v>
      </c>
      <c r="AI20">
        <f t="shared" si="18"/>
        <v>0</v>
      </c>
      <c r="AJ20">
        <f t="shared" si="19"/>
        <v>0</v>
      </c>
      <c r="AK20">
        <f t="shared" si="20"/>
        <v>0</v>
      </c>
      <c r="AL20">
        <f t="shared" si="21"/>
        <v>9.9201499999999996</v>
      </c>
      <c r="AM20">
        <f t="shared" si="22"/>
        <v>84.023670500000009</v>
      </c>
    </row>
    <row r="21" spans="1:39" x14ac:dyDescent="0.25">
      <c r="A21" s="65" t="s">
        <v>10</v>
      </c>
      <c r="B21" s="61" t="s">
        <v>157</v>
      </c>
      <c r="C21" s="61">
        <v>1.06</v>
      </c>
      <c r="D21" s="61">
        <v>96.3</v>
      </c>
      <c r="E21" s="74">
        <v>0</v>
      </c>
      <c r="F21" s="74">
        <v>0</v>
      </c>
      <c r="G21" s="61">
        <v>0.99</v>
      </c>
      <c r="H21" s="61">
        <v>99</v>
      </c>
      <c r="I21" s="74">
        <v>0</v>
      </c>
      <c r="J21" s="74">
        <v>0</v>
      </c>
      <c r="K21" s="74">
        <v>0</v>
      </c>
      <c r="L21" s="61">
        <v>87.5</v>
      </c>
      <c r="M21" s="61">
        <v>4.46</v>
      </c>
      <c r="N21" s="66">
        <v>940</v>
      </c>
      <c r="O21" s="67">
        <f t="shared" si="0"/>
        <v>9.9640000000000004</v>
      </c>
      <c r="P21" s="67">
        <f t="shared" si="1"/>
        <v>905.22</v>
      </c>
      <c r="Q21" s="67">
        <f t="shared" ref="Q21:R21" si="57">E21*P21</f>
        <v>0</v>
      </c>
      <c r="R21" s="67">
        <f t="shared" si="57"/>
        <v>0</v>
      </c>
      <c r="S21" s="67">
        <f t="shared" si="3"/>
        <v>8.9616780000000009</v>
      </c>
      <c r="T21" s="67">
        <f t="shared" si="4"/>
        <v>896.16779999999994</v>
      </c>
      <c r="U21" s="67">
        <f t="shared" ref="U21:W21" si="58">I21*T21</f>
        <v>0</v>
      </c>
      <c r="V21" s="67">
        <f t="shared" si="58"/>
        <v>0</v>
      </c>
      <c r="W21" s="67">
        <f t="shared" si="58"/>
        <v>0</v>
      </c>
      <c r="X21" s="67">
        <f t="shared" si="6"/>
        <v>784.14682499999992</v>
      </c>
      <c r="Y21" s="67">
        <f t="shared" si="7"/>
        <v>39.969083879999999</v>
      </c>
      <c r="Z21" s="61" t="str">
        <f t="shared" si="8"/>
        <v>M</v>
      </c>
      <c r="AA21" s="68">
        <f t="shared" si="9"/>
        <v>9.8765169465650011</v>
      </c>
      <c r="AB21" s="52" t="s">
        <v>170</v>
      </c>
      <c r="AC21">
        <f t="shared" si="12"/>
        <v>1.06</v>
      </c>
      <c r="AD21">
        <f t="shared" si="13"/>
        <v>96.300000000000011</v>
      </c>
      <c r="AE21">
        <f t="shared" si="14"/>
        <v>0</v>
      </c>
      <c r="AF21">
        <f t="shared" si="15"/>
        <v>0</v>
      </c>
      <c r="AG21">
        <f t="shared" si="16"/>
        <v>0.95337000000000005</v>
      </c>
      <c r="AH21">
        <f t="shared" si="17"/>
        <v>95.336999999999989</v>
      </c>
      <c r="AI21">
        <f t="shared" si="18"/>
        <v>0</v>
      </c>
      <c r="AJ21">
        <f t="shared" si="19"/>
        <v>0</v>
      </c>
      <c r="AK21">
        <f t="shared" si="20"/>
        <v>0</v>
      </c>
      <c r="AL21">
        <f t="shared" si="21"/>
        <v>83.41987499999999</v>
      </c>
      <c r="AM21">
        <f t="shared" si="22"/>
        <v>4.2520302000000001</v>
      </c>
    </row>
    <row r="22" spans="1:39" x14ac:dyDescent="0.25">
      <c r="A22" s="65" t="s">
        <v>10</v>
      </c>
      <c r="B22" s="61" t="s">
        <v>117</v>
      </c>
      <c r="C22" s="61">
        <v>0.16</v>
      </c>
      <c r="D22" s="61">
        <v>96.4</v>
      </c>
      <c r="E22" s="74">
        <v>0</v>
      </c>
      <c r="F22" s="74">
        <v>0</v>
      </c>
      <c r="G22" s="61">
        <v>0.89</v>
      </c>
      <c r="H22" s="61">
        <v>99</v>
      </c>
      <c r="I22" s="74">
        <v>0</v>
      </c>
      <c r="J22" s="74">
        <v>0</v>
      </c>
      <c r="K22" s="74">
        <v>0</v>
      </c>
      <c r="L22" s="61">
        <v>31.2</v>
      </c>
      <c r="M22" s="61">
        <v>60.5</v>
      </c>
      <c r="N22" s="66">
        <v>2561</v>
      </c>
      <c r="O22" s="67">
        <f t="shared" si="0"/>
        <v>4.0975999999999999</v>
      </c>
      <c r="P22" s="67">
        <f t="shared" si="1"/>
        <v>2468.8040000000001</v>
      </c>
      <c r="Q22" s="67">
        <f t="shared" ref="Q22:R22" si="59">E22*P22</f>
        <v>0</v>
      </c>
      <c r="R22" s="67">
        <f t="shared" si="59"/>
        <v>0</v>
      </c>
      <c r="S22" s="67">
        <f t="shared" si="3"/>
        <v>21.9723556</v>
      </c>
      <c r="T22" s="67">
        <f t="shared" si="4"/>
        <v>2444.1159600000001</v>
      </c>
      <c r="U22" s="67">
        <f t="shared" ref="U22:W22" si="60">I22*T22</f>
        <v>0</v>
      </c>
      <c r="V22" s="67">
        <f t="shared" si="60"/>
        <v>0</v>
      </c>
      <c r="W22" s="67">
        <f t="shared" si="60"/>
        <v>0</v>
      </c>
      <c r="X22" s="67">
        <f t="shared" si="6"/>
        <v>762.56417952000004</v>
      </c>
      <c r="Y22" s="67">
        <f t="shared" si="7"/>
        <v>1478.6901558</v>
      </c>
      <c r="Z22" s="61" t="str">
        <f t="shared" si="8"/>
        <v>L</v>
      </c>
      <c r="AA22" s="68">
        <f t="shared" si="9"/>
        <v>11.32249153759747</v>
      </c>
      <c r="AB22" s="52" t="s">
        <v>170</v>
      </c>
      <c r="AC22">
        <f t="shared" si="12"/>
        <v>0.15999999999999998</v>
      </c>
      <c r="AD22">
        <f t="shared" si="13"/>
        <v>96.4</v>
      </c>
      <c r="AE22">
        <f t="shared" si="14"/>
        <v>0</v>
      </c>
      <c r="AF22">
        <f t="shared" si="15"/>
        <v>0</v>
      </c>
      <c r="AG22">
        <f t="shared" si="16"/>
        <v>0.85795999999999994</v>
      </c>
      <c r="AH22">
        <f t="shared" si="17"/>
        <v>95.435999999999993</v>
      </c>
      <c r="AI22">
        <f t="shared" si="18"/>
        <v>0</v>
      </c>
      <c r="AJ22">
        <f t="shared" si="19"/>
        <v>0</v>
      </c>
      <c r="AK22">
        <f t="shared" si="20"/>
        <v>0</v>
      </c>
      <c r="AL22">
        <f t="shared" si="21"/>
        <v>29.776032000000001</v>
      </c>
      <c r="AM22">
        <f t="shared" si="22"/>
        <v>57.738779999999998</v>
      </c>
    </row>
    <row r="23" spans="1:39" x14ac:dyDescent="0.25">
      <c r="A23" s="65" t="s">
        <v>10</v>
      </c>
      <c r="B23" s="61" t="s">
        <v>131</v>
      </c>
      <c r="C23" s="61">
        <v>0.11</v>
      </c>
      <c r="D23" s="61">
        <v>99.9</v>
      </c>
      <c r="E23" s="74">
        <v>0</v>
      </c>
      <c r="F23" s="74">
        <v>0</v>
      </c>
      <c r="G23" s="61">
        <v>0.21</v>
      </c>
      <c r="H23" s="61">
        <v>99.7</v>
      </c>
      <c r="I23" s="74">
        <v>0</v>
      </c>
      <c r="J23" s="74">
        <v>0</v>
      </c>
      <c r="K23" s="74">
        <v>0</v>
      </c>
      <c r="L23" s="61">
        <v>48.1</v>
      </c>
      <c r="M23" s="61">
        <v>44.7</v>
      </c>
      <c r="N23" s="66">
        <v>7479</v>
      </c>
      <c r="O23" s="67">
        <f t="shared" si="0"/>
        <v>8.2269000000000005</v>
      </c>
      <c r="P23" s="67">
        <f t="shared" si="1"/>
        <v>7471.5210000000006</v>
      </c>
      <c r="Q23" s="67">
        <f t="shared" ref="Q23:R23" si="61">E23*P23</f>
        <v>0</v>
      </c>
      <c r="R23" s="67">
        <f t="shared" si="61"/>
        <v>0</v>
      </c>
      <c r="S23" s="67">
        <f t="shared" si="3"/>
        <v>15.690194100000001</v>
      </c>
      <c r="T23" s="67">
        <f t="shared" si="4"/>
        <v>7449.1064370000013</v>
      </c>
      <c r="U23" s="67">
        <f t="shared" ref="U23:W23" si="62">I23*T23</f>
        <v>0</v>
      </c>
      <c r="V23" s="67">
        <f t="shared" si="62"/>
        <v>0</v>
      </c>
      <c r="W23" s="67">
        <f t="shared" si="62"/>
        <v>0</v>
      </c>
      <c r="X23" s="67">
        <f t="shared" si="6"/>
        <v>3583.020196197001</v>
      </c>
      <c r="Y23" s="67">
        <f t="shared" si="7"/>
        <v>3329.7505773390008</v>
      </c>
      <c r="Z23" s="61" t="str">
        <f t="shared" si="8"/>
        <v>L</v>
      </c>
      <c r="AA23" s="68">
        <f t="shared" si="9"/>
        <v>12.868629668212655</v>
      </c>
      <c r="AB23" s="52" t="s">
        <v>170</v>
      </c>
      <c r="AC23">
        <f t="shared" si="12"/>
        <v>0.11</v>
      </c>
      <c r="AD23">
        <f t="shared" si="13"/>
        <v>99.9</v>
      </c>
      <c r="AE23">
        <f t="shared" si="14"/>
        <v>0</v>
      </c>
      <c r="AF23">
        <f t="shared" si="15"/>
        <v>0</v>
      </c>
      <c r="AG23">
        <f t="shared" si="16"/>
        <v>0.20979000000000003</v>
      </c>
      <c r="AH23">
        <f t="shared" si="17"/>
        <v>99.600300000000018</v>
      </c>
      <c r="AI23">
        <f t="shared" si="18"/>
        <v>0</v>
      </c>
      <c r="AJ23">
        <f t="shared" si="19"/>
        <v>0</v>
      </c>
      <c r="AK23">
        <f t="shared" si="20"/>
        <v>0</v>
      </c>
      <c r="AL23">
        <f t="shared" si="21"/>
        <v>47.907744300000019</v>
      </c>
      <c r="AM23">
        <f t="shared" si="22"/>
        <v>44.521334100000011</v>
      </c>
    </row>
    <row r="24" spans="1:39" x14ac:dyDescent="0.25">
      <c r="A24" s="65" t="s">
        <v>10</v>
      </c>
      <c r="B24" s="61" t="s">
        <v>132</v>
      </c>
      <c r="C24" s="61">
        <v>8.6999999999999994E-2</v>
      </c>
      <c r="D24" s="61">
        <v>99</v>
      </c>
      <c r="E24" s="74">
        <v>0</v>
      </c>
      <c r="F24" s="74">
        <v>0</v>
      </c>
      <c r="G24" s="61">
        <v>0.15</v>
      </c>
      <c r="H24" s="61">
        <v>99.8</v>
      </c>
      <c r="I24" s="74">
        <v>0</v>
      </c>
      <c r="J24" s="74">
        <v>0</v>
      </c>
      <c r="K24" s="74">
        <v>0</v>
      </c>
      <c r="L24" s="61">
        <v>29.3</v>
      </c>
      <c r="M24" s="61">
        <v>63.3</v>
      </c>
      <c r="N24" s="66">
        <v>13761</v>
      </c>
      <c r="O24" s="67">
        <f t="shared" si="0"/>
        <v>11.972069999999999</v>
      </c>
      <c r="P24" s="67">
        <f t="shared" si="1"/>
        <v>13623.39</v>
      </c>
      <c r="Q24" s="67">
        <f t="shared" ref="Q24:R24" si="63">E24*P24</f>
        <v>0</v>
      </c>
      <c r="R24" s="67">
        <f t="shared" si="63"/>
        <v>0</v>
      </c>
      <c r="S24" s="67">
        <f t="shared" si="3"/>
        <v>20.435085000000001</v>
      </c>
      <c r="T24" s="67">
        <f t="shared" si="4"/>
        <v>13596.14322</v>
      </c>
      <c r="U24" s="67">
        <f t="shared" ref="U24:W24" si="64">I24*T24</f>
        <v>0</v>
      </c>
      <c r="V24" s="67">
        <f t="shared" si="64"/>
        <v>0</v>
      </c>
      <c r="W24" s="67">
        <f t="shared" si="64"/>
        <v>0</v>
      </c>
      <c r="X24" s="67">
        <f t="shared" si="6"/>
        <v>3983.66996346</v>
      </c>
      <c r="Y24" s="67">
        <f t="shared" si="7"/>
        <v>8606.3586582600001</v>
      </c>
      <c r="Z24" s="61" t="str">
        <f t="shared" si="8"/>
        <v>XL</v>
      </c>
      <c r="AA24" s="68">
        <f t="shared" si="9"/>
        <v>13.748297692803119</v>
      </c>
      <c r="AB24" s="52" t="s">
        <v>170</v>
      </c>
      <c r="AC24">
        <f t="shared" si="12"/>
        <v>8.6999999999999994E-2</v>
      </c>
      <c r="AD24">
        <f t="shared" si="13"/>
        <v>99</v>
      </c>
      <c r="AE24">
        <f t="shared" si="14"/>
        <v>0</v>
      </c>
      <c r="AF24">
        <f t="shared" si="15"/>
        <v>0</v>
      </c>
      <c r="AG24">
        <f t="shared" si="16"/>
        <v>0.14849999999999999</v>
      </c>
      <c r="AH24">
        <f t="shared" si="17"/>
        <v>98.802000000000007</v>
      </c>
      <c r="AI24">
        <f t="shared" si="18"/>
        <v>0</v>
      </c>
      <c r="AJ24">
        <f t="shared" si="19"/>
        <v>0</v>
      </c>
      <c r="AK24">
        <f t="shared" si="20"/>
        <v>0</v>
      </c>
      <c r="AL24">
        <f t="shared" si="21"/>
        <v>28.948985999999998</v>
      </c>
      <c r="AM24">
        <f t="shared" si="22"/>
        <v>62.541665999999992</v>
      </c>
    </row>
    <row r="25" spans="1:39" x14ac:dyDescent="0.25">
      <c r="A25" s="65" t="s">
        <v>10</v>
      </c>
      <c r="B25" s="61" t="s">
        <v>133</v>
      </c>
      <c r="C25" s="61">
        <v>0.35</v>
      </c>
      <c r="D25" s="61">
        <v>95.8</v>
      </c>
      <c r="E25" s="74">
        <v>0</v>
      </c>
      <c r="F25" s="74">
        <v>0</v>
      </c>
      <c r="G25" s="61">
        <v>2.21</v>
      </c>
      <c r="H25" s="61">
        <v>97.8</v>
      </c>
      <c r="I25" s="74">
        <v>0</v>
      </c>
      <c r="J25" s="74">
        <v>0</v>
      </c>
      <c r="K25" s="74">
        <v>0</v>
      </c>
      <c r="L25" s="61">
        <v>67.2</v>
      </c>
      <c r="M25" s="61">
        <v>11.3</v>
      </c>
      <c r="N25" s="66">
        <v>283</v>
      </c>
      <c r="O25" s="67">
        <f t="shared" si="0"/>
        <v>0.99049999999999994</v>
      </c>
      <c r="P25" s="67">
        <f t="shared" si="1"/>
        <v>271.11399999999998</v>
      </c>
      <c r="Q25" s="67">
        <f t="shared" ref="Q25:R25" si="65">E25*P25</f>
        <v>0</v>
      </c>
      <c r="R25" s="67">
        <f t="shared" si="65"/>
        <v>0</v>
      </c>
      <c r="S25" s="67">
        <f t="shared" si="3"/>
        <v>5.9916193999999994</v>
      </c>
      <c r="T25" s="67">
        <f t="shared" si="4"/>
        <v>265.14949199999995</v>
      </c>
      <c r="U25" s="67">
        <f t="shared" ref="U25:W25" si="66">I25*T25</f>
        <v>0</v>
      </c>
      <c r="V25" s="67">
        <f t="shared" si="66"/>
        <v>0</v>
      </c>
      <c r="W25" s="67">
        <f t="shared" si="66"/>
        <v>0</v>
      </c>
      <c r="X25" s="67">
        <f t="shared" si="6"/>
        <v>178.18045862399998</v>
      </c>
      <c r="Y25" s="67">
        <f t="shared" si="7"/>
        <v>29.961892595999998</v>
      </c>
      <c r="Z25" s="61" t="str">
        <f t="shared" si="8"/>
        <v>M</v>
      </c>
      <c r="AA25" s="68">
        <f t="shared" si="9"/>
        <v>8.1446582428318823</v>
      </c>
      <c r="AB25" s="52" t="s">
        <v>170</v>
      </c>
      <c r="AC25">
        <f t="shared" si="12"/>
        <v>0.35</v>
      </c>
      <c r="AD25">
        <f t="shared" si="13"/>
        <v>95.8</v>
      </c>
      <c r="AE25">
        <f t="shared" si="14"/>
        <v>0</v>
      </c>
      <c r="AF25">
        <f t="shared" si="15"/>
        <v>0</v>
      </c>
      <c r="AG25">
        <f t="shared" si="16"/>
        <v>2.1171799999999998</v>
      </c>
      <c r="AH25">
        <f t="shared" si="17"/>
        <v>93.692399999999992</v>
      </c>
      <c r="AI25">
        <f t="shared" si="18"/>
        <v>0</v>
      </c>
      <c r="AJ25">
        <f t="shared" si="19"/>
        <v>0</v>
      </c>
      <c r="AK25">
        <f t="shared" si="20"/>
        <v>0</v>
      </c>
      <c r="AL25">
        <f t="shared" si="21"/>
        <v>62.961292799999988</v>
      </c>
      <c r="AM25">
        <f t="shared" si="22"/>
        <v>10.587241199999999</v>
      </c>
    </row>
    <row r="26" spans="1:39" x14ac:dyDescent="0.25">
      <c r="A26" s="65" t="s">
        <v>10</v>
      </c>
      <c r="B26" s="61" t="s">
        <v>60</v>
      </c>
      <c r="C26" s="61">
        <v>3.96</v>
      </c>
      <c r="D26" s="61">
        <v>95</v>
      </c>
      <c r="E26" s="74">
        <v>0</v>
      </c>
      <c r="F26" s="74">
        <v>0</v>
      </c>
      <c r="G26" s="61">
        <v>10.4</v>
      </c>
      <c r="H26" s="61">
        <v>89.6</v>
      </c>
      <c r="I26" s="74">
        <v>0</v>
      </c>
      <c r="J26" s="74">
        <v>0</v>
      </c>
      <c r="K26" s="74">
        <v>0</v>
      </c>
      <c r="L26" s="61">
        <v>17.399999999999999</v>
      </c>
      <c r="M26" s="61">
        <v>0</v>
      </c>
      <c r="N26" s="66">
        <v>101</v>
      </c>
      <c r="O26" s="67">
        <f t="shared" si="0"/>
        <v>3.9995999999999996</v>
      </c>
      <c r="P26" s="67">
        <f t="shared" si="1"/>
        <v>95.95</v>
      </c>
      <c r="Q26" s="67">
        <f t="shared" ref="Q26:R26" si="67">E26*P26</f>
        <v>0</v>
      </c>
      <c r="R26" s="67">
        <f t="shared" si="67"/>
        <v>0</v>
      </c>
      <c r="S26" s="67">
        <f t="shared" si="3"/>
        <v>9.9788000000000014</v>
      </c>
      <c r="T26" s="67">
        <f t="shared" si="4"/>
        <v>85.971199999999996</v>
      </c>
      <c r="U26" s="67">
        <f t="shared" ref="U26:W26" si="68">I26*T26</f>
        <v>0</v>
      </c>
      <c r="V26" s="67">
        <f t="shared" si="68"/>
        <v>0</v>
      </c>
      <c r="W26" s="67">
        <f t="shared" si="68"/>
        <v>0</v>
      </c>
      <c r="X26" s="67">
        <f t="shared" si="6"/>
        <v>14.958988799999997</v>
      </c>
      <c r="Y26" s="67">
        <f t="shared" si="7"/>
        <v>0</v>
      </c>
      <c r="Z26" s="61" t="str">
        <f t="shared" si="8"/>
        <v>M</v>
      </c>
      <c r="AA26" s="68">
        <f t="shared" si="9"/>
        <v>6.6582114827517955</v>
      </c>
      <c r="AB26" s="52" t="s">
        <v>170</v>
      </c>
      <c r="AC26">
        <f t="shared" si="12"/>
        <v>3.9599999999999995</v>
      </c>
      <c r="AD26">
        <f t="shared" si="13"/>
        <v>95</v>
      </c>
      <c r="AE26">
        <f t="shared" si="14"/>
        <v>0</v>
      </c>
      <c r="AF26">
        <f t="shared" si="15"/>
        <v>0</v>
      </c>
      <c r="AG26">
        <f t="shared" si="16"/>
        <v>9.8800000000000008</v>
      </c>
      <c r="AH26">
        <f t="shared" si="17"/>
        <v>85.11999999999999</v>
      </c>
      <c r="AI26">
        <f t="shared" si="18"/>
        <v>0</v>
      </c>
      <c r="AJ26">
        <f t="shared" si="19"/>
        <v>0</v>
      </c>
      <c r="AK26">
        <f t="shared" si="20"/>
        <v>0</v>
      </c>
      <c r="AL26">
        <f t="shared" si="21"/>
        <v>14.810879999999996</v>
      </c>
      <c r="AM26">
        <f t="shared" si="22"/>
        <v>0</v>
      </c>
    </row>
    <row r="27" spans="1:39" x14ac:dyDescent="0.25">
      <c r="A27" s="65" t="s">
        <v>10</v>
      </c>
      <c r="B27" s="61" t="s">
        <v>119</v>
      </c>
      <c r="C27" s="61">
        <v>0.34</v>
      </c>
      <c r="D27" s="61">
        <v>97.2</v>
      </c>
      <c r="E27" s="74">
        <v>0</v>
      </c>
      <c r="F27" s="74">
        <v>0</v>
      </c>
      <c r="G27" s="61">
        <v>0.7</v>
      </c>
      <c r="H27" s="61">
        <v>99.1</v>
      </c>
      <c r="I27" s="74">
        <v>0</v>
      </c>
      <c r="J27" s="74">
        <v>0</v>
      </c>
      <c r="K27" s="74">
        <v>0</v>
      </c>
      <c r="L27" s="61">
        <v>80.599999999999994</v>
      </c>
      <c r="M27" s="61">
        <v>9.89</v>
      </c>
      <c r="N27" s="66">
        <v>882</v>
      </c>
      <c r="O27" s="67">
        <f t="shared" si="0"/>
        <v>2.9988000000000001</v>
      </c>
      <c r="P27" s="67">
        <f t="shared" si="1"/>
        <v>857.30400000000009</v>
      </c>
      <c r="Q27" s="67">
        <f t="shared" ref="Q27:R27" si="69">E27*P27</f>
        <v>0</v>
      </c>
      <c r="R27" s="67">
        <f t="shared" si="69"/>
        <v>0</v>
      </c>
      <c r="S27" s="67">
        <f t="shared" si="3"/>
        <v>6.0011279999999996</v>
      </c>
      <c r="T27" s="67">
        <f t="shared" si="4"/>
        <v>849.58826400000009</v>
      </c>
      <c r="U27" s="67">
        <f t="shared" ref="U27:W27" si="70">I27*T27</f>
        <v>0</v>
      </c>
      <c r="V27" s="67">
        <f t="shared" si="70"/>
        <v>0</v>
      </c>
      <c r="W27" s="67">
        <f t="shared" si="70"/>
        <v>0</v>
      </c>
      <c r="X27" s="67">
        <f t="shared" si="6"/>
        <v>684.76814078400002</v>
      </c>
      <c r="Y27" s="67">
        <f t="shared" si="7"/>
        <v>84.024279309600004</v>
      </c>
      <c r="Z27" s="61" t="str">
        <f t="shared" si="8"/>
        <v>M</v>
      </c>
      <c r="AA27" s="68">
        <f t="shared" si="9"/>
        <v>9.7846348455575214</v>
      </c>
      <c r="AB27" s="52" t="s">
        <v>170</v>
      </c>
      <c r="AC27">
        <f t="shared" si="12"/>
        <v>0.34</v>
      </c>
      <c r="AD27">
        <f t="shared" si="13"/>
        <v>97.2</v>
      </c>
      <c r="AE27">
        <f t="shared" si="14"/>
        <v>0</v>
      </c>
      <c r="AF27">
        <f t="shared" si="15"/>
        <v>0</v>
      </c>
      <c r="AG27">
        <f t="shared" si="16"/>
        <v>0.68039999999999989</v>
      </c>
      <c r="AH27">
        <f t="shared" si="17"/>
        <v>96.325200000000009</v>
      </c>
      <c r="AI27">
        <f t="shared" si="18"/>
        <v>0</v>
      </c>
      <c r="AJ27">
        <f t="shared" si="19"/>
        <v>0</v>
      </c>
      <c r="AK27">
        <f t="shared" si="20"/>
        <v>0</v>
      </c>
      <c r="AL27">
        <f t="shared" si="21"/>
        <v>77.638111199999997</v>
      </c>
      <c r="AM27">
        <f t="shared" si="22"/>
        <v>9.5265622800000003</v>
      </c>
    </row>
    <row r="28" spans="1:39" x14ac:dyDescent="0.25">
      <c r="A28" s="65" t="s">
        <v>10</v>
      </c>
      <c r="B28" s="61" t="s">
        <v>61</v>
      </c>
      <c r="C28" s="61">
        <v>0.56000000000000005</v>
      </c>
      <c r="D28" s="61">
        <v>99.2</v>
      </c>
      <c r="E28" s="74">
        <v>0</v>
      </c>
      <c r="F28" s="74">
        <v>0</v>
      </c>
      <c r="G28" s="61">
        <v>0.7</v>
      </c>
      <c r="H28" s="61">
        <v>99.1</v>
      </c>
      <c r="I28" s="74">
        <v>0</v>
      </c>
      <c r="J28" s="74">
        <v>0</v>
      </c>
      <c r="K28" s="74">
        <v>0</v>
      </c>
      <c r="L28" s="61">
        <v>40.200000000000003</v>
      </c>
      <c r="M28" s="61">
        <v>51.4</v>
      </c>
      <c r="N28" s="66">
        <v>3012</v>
      </c>
      <c r="O28" s="67">
        <f t="shared" si="0"/>
        <v>16.867200000000004</v>
      </c>
      <c r="P28" s="67">
        <f t="shared" si="1"/>
        <v>2987.9040000000005</v>
      </c>
      <c r="Q28" s="67">
        <f t="shared" ref="Q28:R28" si="71">E28*P28</f>
        <v>0</v>
      </c>
      <c r="R28" s="67">
        <f t="shared" si="71"/>
        <v>0</v>
      </c>
      <c r="S28" s="67">
        <f t="shared" si="3"/>
        <v>20.915328000000002</v>
      </c>
      <c r="T28" s="67">
        <f t="shared" si="4"/>
        <v>2961.0128640000003</v>
      </c>
      <c r="U28" s="67">
        <f t="shared" ref="U28:W28" si="72">I28*T28</f>
        <v>0</v>
      </c>
      <c r="V28" s="67">
        <f t="shared" si="72"/>
        <v>0</v>
      </c>
      <c r="W28" s="67">
        <f t="shared" si="72"/>
        <v>0</v>
      </c>
      <c r="X28" s="67">
        <f t="shared" si="6"/>
        <v>1190.3271713280003</v>
      </c>
      <c r="Y28" s="67">
        <f t="shared" si="7"/>
        <v>1521.9606120960002</v>
      </c>
      <c r="Z28" s="61" t="str">
        <f t="shared" si="8"/>
        <v>L</v>
      </c>
      <c r="AA28" s="68">
        <f t="shared" si="9"/>
        <v>11.556506054671928</v>
      </c>
      <c r="AB28" s="52" t="s">
        <v>170</v>
      </c>
      <c r="AC28">
        <f t="shared" si="12"/>
        <v>0.56000000000000016</v>
      </c>
      <c r="AD28">
        <f t="shared" si="13"/>
        <v>99.200000000000017</v>
      </c>
      <c r="AE28">
        <f t="shared" si="14"/>
        <v>0</v>
      </c>
      <c r="AF28">
        <f t="shared" si="15"/>
        <v>0</v>
      </c>
      <c r="AG28">
        <f t="shared" si="16"/>
        <v>0.69440000000000002</v>
      </c>
      <c r="AH28">
        <f t="shared" si="17"/>
        <v>98.307200000000009</v>
      </c>
      <c r="AI28">
        <f t="shared" si="18"/>
        <v>0</v>
      </c>
      <c r="AJ28">
        <f t="shared" si="19"/>
        <v>0</v>
      </c>
      <c r="AK28">
        <f t="shared" si="20"/>
        <v>0</v>
      </c>
      <c r="AL28">
        <f t="shared" si="21"/>
        <v>39.519494400000013</v>
      </c>
      <c r="AM28">
        <f t="shared" si="22"/>
        <v>50.529900800000007</v>
      </c>
    </row>
    <row r="29" spans="1:39" x14ac:dyDescent="0.25">
      <c r="A29" s="65" t="s">
        <v>10</v>
      </c>
      <c r="B29" s="61" t="s">
        <v>102</v>
      </c>
      <c r="C29" s="61">
        <v>0.75</v>
      </c>
      <c r="D29" s="61">
        <v>98.1</v>
      </c>
      <c r="E29" s="74">
        <v>0</v>
      </c>
      <c r="F29" s="74">
        <v>0</v>
      </c>
      <c r="G29" s="61">
        <v>1.07</v>
      </c>
      <c r="H29" s="61">
        <v>98.3</v>
      </c>
      <c r="I29" s="74">
        <v>0</v>
      </c>
      <c r="J29" s="74">
        <v>0</v>
      </c>
      <c r="K29" s="74">
        <v>0</v>
      </c>
      <c r="L29" s="61">
        <v>60</v>
      </c>
      <c r="M29" s="61">
        <v>32.799999999999997</v>
      </c>
      <c r="N29" s="66">
        <v>1996</v>
      </c>
      <c r="O29" s="67">
        <f t="shared" si="0"/>
        <v>14.97</v>
      </c>
      <c r="P29" s="67">
        <f t="shared" si="1"/>
        <v>1958.0759999999998</v>
      </c>
      <c r="Q29" s="67">
        <f t="shared" ref="Q29:R29" si="73">E29*P29</f>
        <v>0</v>
      </c>
      <c r="R29" s="67">
        <f t="shared" si="73"/>
        <v>0</v>
      </c>
      <c r="S29" s="67">
        <f t="shared" si="3"/>
        <v>20.951413199999998</v>
      </c>
      <c r="T29" s="67">
        <f t="shared" si="4"/>
        <v>1924.7887079999998</v>
      </c>
      <c r="U29" s="67">
        <f t="shared" ref="U29:W29" si="74">I29*T29</f>
        <v>0</v>
      </c>
      <c r="V29" s="67">
        <f t="shared" si="74"/>
        <v>0</v>
      </c>
      <c r="W29" s="67">
        <f t="shared" si="74"/>
        <v>0</v>
      </c>
      <c r="X29" s="67">
        <f t="shared" si="6"/>
        <v>1154.8732247999999</v>
      </c>
      <c r="Y29" s="67">
        <f t="shared" si="7"/>
        <v>631.33069622399989</v>
      </c>
      <c r="Z29" s="61" t="str">
        <f t="shared" si="8"/>
        <v>L</v>
      </c>
      <c r="AA29" s="68">
        <f t="shared" si="9"/>
        <v>10.962896005337262</v>
      </c>
      <c r="AB29" s="52" t="s">
        <v>170</v>
      </c>
      <c r="AC29">
        <f t="shared" si="12"/>
        <v>0.75000000000000011</v>
      </c>
      <c r="AD29">
        <f t="shared" si="13"/>
        <v>98.1</v>
      </c>
      <c r="AE29">
        <f t="shared" si="14"/>
        <v>0</v>
      </c>
      <c r="AF29">
        <f t="shared" si="15"/>
        <v>0</v>
      </c>
      <c r="AG29">
        <f t="shared" si="16"/>
        <v>1.0496699999999999</v>
      </c>
      <c r="AH29">
        <f t="shared" si="17"/>
        <v>96.432299999999998</v>
      </c>
      <c r="AI29">
        <f t="shared" si="18"/>
        <v>0</v>
      </c>
      <c r="AJ29">
        <f t="shared" si="19"/>
        <v>0</v>
      </c>
      <c r="AK29">
        <f t="shared" si="20"/>
        <v>0</v>
      </c>
      <c r="AL29">
        <f t="shared" si="21"/>
        <v>57.859379999999994</v>
      </c>
      <c r="AM29">
        <f t="shared" si="22"/>
        <v>31.629794399999994</v>
      </c>
    </row>
    <row r="30" spans="1:39" x14ac:dyDescent="0.25">
      <c r="A30" s="65" t="s">
        <v>10</v>
      </c>
      <c r="B30" s="61" t="s">
        <v>104</v>
      </c>
      <c r="C30" s="61">
        <v>8.1000000000000003E-2</v>
      </c>
      <c r="D30" s="61">
        <v>98.5</v>
      </c>
      <c r="E30" s="74">
        <v>0</v>
      </c>
      <c r="F30" s="74">
        <v>0</v>
      </c>
      <c r="G30" s="61">
        <v>0.22</v>
      </c>
      <c r="H30" s="61">
        <v>99.8</v>
      </c>
      <c r="I30" s="74">
        <v>0</v>
      </c>
      <c r="J30" s="74">
        <v>0</v>
      </c>
      <c r="K30" s="74">
        <v>0</v>
      </c>
      <c r="L30" s="61">
        <v>52.3</v>
      </c>
      <c r="M30" s="61">
        <v>39.700000000000003</v>
      </c>
      <c r="N30" s="66">
        <v>9891</v>
      </c>
      <c r="O30" s="67">
        <f t="shared" si="0"/>
        <v>8.0117100000000008</v>
      </c>
      <c r="P30" s="67">
        <f t="shared" si="1"/>
        <v>9742.6350000000002</v>
      </c>
      <c r="Q30" s="67">
        <f t="shared" ref="Q30:R30" si="75">E30*P30</f>
        <v>0</v>
      </c>
      <c r="R30" s="67">
        <f t="shared" si="75"/>
        <v>0</v>
      </c>
      <c r="S30" s="67">
        <f t="shared" si="3"/>
        <v>21.433796999999998</v>
      </c>
      <c r="T30" s="67">
        <f t="shared" si="4"/>
        <v>9723.1497299999992</v>
      </c>
      <c r="U30" s="67">
        <f t="shared" ref="U30:W30" si="76">I30*T30</f>
        <v>0</v>
      </c>
      <c r="V30" s="67">
        <f t="shared" si="76"/>
        <v>0</v>
      </c>
      <c r="W30" s="67">
        <f t="shared" si="76"/>
        <v>0</v>
      </c>
      <c r="X30" s="67">
        <f t="shared" si="6"/>
        <v>5085.2073087899989</v>
      </c>
      <c r="Y30" s="67">
        <f t="shared" si="7"/>
        <v>3860.0904428099998</v>
      </c>
      <c r="Z30" s="61" t="str">
        <f t="shared" si="8"/>
        <v>L</v>
      </c>
      <c r="AA30" s="68">
        <f t="shared" si="9"/>
        <v>13.271900672391544</v>
      </c>
      <c r="AB30" s="52" t="s">
        <v>170</v>
      </c>
      <c r="AC30">
        <f t="shared" si="12"/>
        <v>8.1000000000000003E-2</v>
      </c>
      <c r="AD30">
        <f t="shared" si="13"/>
        <v>98.5</v>
      </c>
      <c r="AE30">
        <f t="shared" si="14"/>
        <v>0</v>
      </c>
      <c r="AF30">
        <f t="shared" si="15"/>
        <v>0</v>
      </c>
      <c r="AG30">
        <f t="shared" si="16"/>
        <v>0.21669999999999998</v>
      </c>
      <c r="AH30">
        <f t="shared" si="17"/>
        <v>98.302999999999997</v>
      </c>
      <c r="AI30">
        <f t="shared" si="18"/>
        <v>0</v>
      </c>
      <c r="AJ30">
        <f t="shared" si="19"/>
        <v>0</v>
      </c>
      <c r="AK30">
        <f t="shared" si="20"/>
        <v>0</v>
      </c>
      <c r="AL30">
        <f t="shared" si="21"/>
        <v>51.412468999999994</v>
      </c>
      <c r="AM30">
        <f t="shared" si="22"/>
        <v>39.026290999999993</v>
      </c>
    </row>
    <row r="31" spans="1:39" x14ac:dyDescent="0.25">
      <c r="A31" s="65" t="s">
        <v>10</v>
      </c>
      <c r="B31" s="61" t="s">
        <v>121</v>
      </c>
      <c r="C31" s="61">
        <v>26.9</v>
      </c>
      <c r="D31" s="61">
        <v>71.5</v>
      </c>
      <c r="E31" s="74">
        <v>0</v>
      </c>
      <c r="F31" s="74">
        <v>0</v>
      </c>
      <c r="G31" s="61">
        <v>3.76</v>
      </c>
      <c r="H31" s="61">
        <v>95.5</v>
      </c>
      <c r="I31" s="74">
        <v>0</v>
      </c>
      <c r="J31" s="74">
        <v>0</v>
      </c>
      <c r="K31" s="74">
        <v>0</v>
      </c>
      <c r="L31" s="61">
        <v>60.6</v>
      </c>
      <c r="M31" s="61">
        <v>0</v>
      </c>
      <c r="N31" s="66">
        <v>186</v>
      </c>
      <c r="O31" s="67">
        <f t="shared" si="0"/>
        <v>50.033999999999999</v>
      </c>
      <c r="P31" s="67">
        <f t="shared" si="1"/>
        <v>132.99</v>
      </c>
      <c r="Q31" s="67">
        <f t="shared" ref="Q31:R31" si="77">E31*P31</f>
        <v>0</v>
      </c>
      <c r="R31" s="67">
        <f t="shared" si="77"/>
        <v>0</v>
      </c>
      <c r="S31" s="67">
        <f t="shared" si="3"/>
        <v>5.0004239999999998</v>
      </c>
      <c r="T31" s="67">
        <f t="shared" si="4"/>
        <v>127.00545</v>
      </c>
      <c r="U31" s="67">
        <f t="shared" ref="U31:W31" si="78">I31*T31</f>
        <v>0</v>
      </c>
      <c r="V31" s="67">
        <f t="shared" si="78"/>
        <v>0</v>
      </c>
      <c r="W31" s="67">
        <f t="shared" si="78"/>
        <v>0</v>
      </c>
      <c r="X31" s="67">
        <f t="shared" si="6"/>
        <v>76.965302699999995</v>
      </c>
      <c r="Y31" s="67">
        <f t="shared" si="7"/>
        <v>0</v>
      </c>
      <c r="Z31" s="61" t="str">
        <f t="shared" si="8"/>
        <v>M</v>
      </c>
      <c r="AA31" s="68">
        <f t="shared" si="9"/>
        <v>7.5391588111080319</v>
      </c>
      <c r="AB31" s="52" t="s">
        <v>170</v>
      </c>
      <c r="AC31">
        <f t="shared" si="12"/>
        <v>26.900000000000002</v>
      </c>
      <c r="AD31">
        <f t="shared" si="13"/>
        <v>71.500000000000014</v>
      </c>
      <c r="AE31">
        <f t="shared" si="14"/>
        <v>0</v>
      </c>
      <c r="AF31">
        <f t="shared" si="15"/>
        <v>0</v>
      </c>
      <c r="AG31">
        <f t="shared" si="16"/>
        <v>2.6883999999999997</v>
      </c>
      <c r="AH31">
        <f t="shared" si="17"/>
        <v>68.282499999999999</v>
      </c>
      <c r="AI31">
        <f t="shared" si="18"/>
        <v>0</v>
      </c>
      <c r="AJ31">
        <f t="shared" si="19"/>
        <v>0</v>
      </c>
      <c r="AK31">
        <f t="shared" si="20"/>
        <v>0</v>
      </c>
      <c r="AL31">
        <f t="shared" si="21"/>
        <v>41.379194999999996</v>
      </c>
      <c r="AM31">
        <f t="shared" si="22"/>
        <v>0</v>
      </c>
    </row>
    <row r="32" spans="1:39" x14ac:dyDescent="0.25">
      <c r="A32" s="65" t="s">
        <v>10</v>
      </c>
      <c r="B32" s="61" t="s">
        <v>159</v>
      </c>
      <c r="C32" s="61">
        <v>0.56000000000000005</v>
      </c>
      <c r="D32" s="61">
        <v>98.9</v>
      </c>
      <c r="E32" s="74">
        <v>0</v>
      </c>
      <c r="F32" s="74">
        <v>0</v>
      </c>
      <c r="G32" s="61">
        <v>1.5</v>
      </c>
      <c r="H32" s="61">
        <v>98.1</v>
      </c>
      <c r="I32" s="74">
        <v>0</v>
      </c>
      <c r="J32" s="74">
        <v>0</v>
      </c>
      <c r="K32" s="74">
        <v>0</v>
      </c>
      <c r="L32" s="61">
        <v>56</v>
      </c>
      <c r="M32" s="61">
        <v>31.9</v>
      </c>
      <c r="N32" s="66">
        <v>1078</v>
      </c>
      <c r="O32" s="67">
        <f t="shared" si="0"/>
        <v>6.0368000000000004</v>
      </c>
      <c r="P32" s="67">
        <f t="shared" si="1"/>
        <v>1066.1420000000001</v>
      </c>
      <c r="Q32" s="67">
        <f t="shared" ref="Q32:R32" si="79">E32*P32</f>
        <v>0</v>
      </c>
      <c r="R32" s="67">
        <f t="shared" si="79"/>
        <v>0</v>
      </c>
      <c r="S32" s="67">
        <f t="shared" si="3"/>
        <v>15.992130000000001</v>
      </c>
      <c r="T32" s="67">
        <f t="shared" si="4"/>
        <v>1045.8853019999999</v>
      </c>
      <c r="U32" s="67">
        <f t="shared" ref="U32:W32" si="80">I32*T32</f>
        <v>0</v>
      </c>
      <c r="V32" s="67">
        <f t="shared" si="80"/>
        <v>0</v>
      </c>
      <c r="W32" s="67">
        <f t="shared" si="80"/>
        <v>0</v>
      </c>
      <c r="X32" s="67">
        <f t="shared" si="6"/>
        <v>585.69576912000002</v>
      </c>
      <c r="Y32" s="67">
        <f t="shared" si="7"/>
        <v>333.63741133799994</v>
      </c>
      <c r="Z32" s="61" t="str">
        <f t="shared" si="8"/>
        <v>L</v>
      </c>
      <c r="AA32" s="68">
        <f t="shared" si="9"/>
        <v>10.074141462752506</v>
      </c>
      <c r="AB32" s="52" t="s">
        <v>170</v>
      </c>
      <c r="AC32">
        <f t="shared" si="12"/>
        <v>0.55999999999999994</v>
      </c>
      <c r="AD32">
        <f t="shared" si="13"/>
        <v>98.9</v>
      </c>
      <c r="AE32">
        <f t="shared" si="14"/>
        <v>0</v>
      </c>
      <c r="AF32">
        <f t="shared" si="15"/>
        <v>0</v>
      </c>
      <c r="AG32">
        <f t="shared" si="16"/>
        <v>1.4835</v>
      </c>
      <c r="AH32">
        <f t="shared" si="17"/>
        <v>97.020899999999983</v>
      </c>
      <c r="AI32">
        <f t="shared" si="18"/>
        <v>0</v>
      </c>
      <c r="AJ32">
        <f t="shared" si="19"/>
        <v>0</v>
      </c>
      <c r="AK32">
        <f t="shared" si="20"/>
        <v>0</v>
      </c>
      <c r="AL32">
        <f t="shared" si="21"/>
        <v>54.331704000000002</v>
      </c>
      <c r="AM32">
        <f t="shared" si="22"/>
        <v>30.949667099999996</v>
      </c>
    </row>
    <row r="33" spans="1:39" x14ac:dyDescent="0.25">
      <c r="A33" s="65" t="s">
        <v>10</v>
      </c>
      <c r="B33" s="61" t="s">
        <v>105</v>
      </c>
      <c r="C33" s="61">
        <v>0.34</v>
      </c>
      <c r="D33" s="61">
        <v>99.6</v>
      </c>
      <c r="E33" s="74">
        <v>0</v>
      </c>
      <c r="F33" s="74">
        <v>0</v>
      </c>
      <c r="G33" s="61">
        <v>0.94</v>
      </c>
      <c r="H33" s="61">
        <v>99</v>
      </c>
      <c r="I33" s="74">
        <v>0</v>
      </c>
      <c r="J33" s="74">
        <v>0</v>
      </c>
      <c r="K33" s="74">
        <v>0</v>
      </c>
      <c r="L33" s="61">
        <v>62</v>
      </c>
      <c r="M33" s="61">
        <v>0.69</v>
      </c>
      <c r="N33" s="66">
        <v>1171</v>
      </c>
      <c r="O33" s="67">
        <f t="shared" si="0"/>
        <v>3.9814000000000003</v>
      </c>
      <c r="P33" s="67">
        <f t="shared" si="1"/>
        <v>1166.3159999999998</v>
      </c>
      <c r="Q33" s="67">
        <f t="shared" ref="Q33:R33" si="81">E33*P33</f>
        <v>0</v>
      </c>
      <c r="R33" s="67">
        <f t="shared" si="81"/>
        <v>0</v>
      </c>
      <c r="S33" s="67">
        <f t="shared" si="3"/>
        <v>10.963370399999997</v>
      </c>
      <c r="T33" s="67">
        <f t="shared" si="4"/>
        <v>1154.6528399999997</v>
      </c>
      <c r="U33" s="67">
        <f t="shared" ref="U33:W33" si="82">I33*T33</f>
        <v>0</v>
      </c>
      <c r="V33" s="67">
        <f t="shared" si="82"/>
        <v>0</v>
      </c>
      <c r="W33" s="67">
        <f t="shared" si="82"/>
        <v>0</v>
      </c>
      <c r="X33" s="67">
        <f t="shared" si="6"/>
        <v>715.88476079999975</v>
      </c>
      <c r="Y33" s="67">
        <f t="shared" si="7"/>
        <v>7.9671045959999978</v>
      </c>
      <c r="Z33" s="61" t="str">
        <f t="shared" si="8"/>
        <v>L</v>
      </c>
      <c r="AA33" s="68">
        <f t="shared" si="9"/>
        <v>10.193525360501216</v>
      </c>
      <c r="AB33" s="52" t="s">
        <v>170</v>
      </c>
      <c r="AC33">
        <f t="shared" si="12"/>
        <v>0.34</v>
      </c>
      <c r="AD33">
        <f t="shared" si="13"/>
        <v>99.6</v>
      </c>
      <c r="AE33">
        <f t="shared" si="14"/>
        <v>0</v>
      </c>
      <c r="AF33">
        <f t="shared" si="15"/>
        <v>0</v>
      </c>
      <c r="AG33">
        <f t="shared" si="16"/>
        <v>0.93623999999999985</v>
      </c>
      <c r="AH33">
        <f t="shared" si="17"/>
        <v>98.603999999999985</v>
      </c>
      <c r="AI33">
        <f t="shared" si="18"/>
        <v>0</v>
      </c>
      <c r="AJ33">
        <f t="shared" si="19"/>
        <v>0</v>
      </c>
      <c r="AK33">
        <f t="shared" si="20"/>
        <v>0</v>
      </c>
      <c r="AL33">
        <f t="shared" si="21"/>
        <v>61.134479999999982</v>
      </c>
      <c r="AM33">
        <f t="shared" si="22"/>
        <v>0.68036759999999985</v>
      </c>
    </row>
    <row r="34" spans="1:39" x14ac:dyDescent="0.25">
      <c r="A34" s="65" t="s">
        <v>10</v>
      </c>
      <c r="B34" s="61" t="s">
        <v>178</v>
      </c>
      <c r="C34" s="61">
        <v>1.5</v>
      </c>
      <c r="D34" s="61">
        <v>97.7</v>
      </c>
      <c r="E34" s="74">
        <v>0</v>
      </c>
      <c r="F34" s="74">
        <v>0</v>
      </c>
      <c r="G34" s="61">
        <v>2.0499999999999998</v>
      </c>
      <c r="H34" s="61">
        <v>97.4</v>
      </c>
      <c r="I34" s="74">
        <v>0</v>
      </c>
      <c r="J34" s="74">
        <v>0</v>
      </c>
      <c r="K34" s="74">
        <v>0</v>
      </c>
      <c r="L34" s="61">
        <v>8.9499999999999993</v>
      </c>
      <c r="M34" s="61">
        <v>0.79</v>
      </c>
      <c r="N34" s="66">
        <v>399</v>
      </c>
      <c r="O34" s="67">
        <f t="shared" ref="O34:O65" si="83">N34*C34/100</f>
        <v>5.9850000000000003</v>
      </c>
      <c r="P34" s="67">
        <f t="shared" ref="P34:P65" si="84">N34*D34/100</f>
        <v>389.82300000000004</v>
      </c>
      <c r="Q34" s="67">
        <f t="shared" ref="Q34:R34" si="85">E34*P34</f>
        <v>0</v>
      </c>
      <c r="R34" s="67">
        <f t="shared" si="85"/>
        <v>0</v>
      </c>
      <c r="S34" s="67">
        <f t="shared" ref="S34:S65" si="86">P34*G34/100</f>
        <v>7.9913715000000005</v>
      </c>
      <c r="T34" s="67">
        <f t="shared" ref="T34:T65" si="87">P34*H34/100</f>
        <v>379.68760200000003</v>
      </c>
      <c r="U34" s="67">
        <f t="shared" ref="U34:W34" si="88">I34*T34</f>
        <v>0</v>
      </c>
      <c r="V34" s="67">
        <f t="shared" si="88"/>
        <v>0</v>
      </c>
      <c r="W34" s="67">
        <f t="shared" si="88"/>
        <v>0</v>
      </c>
      <c r="X34" s="67">
        <f t="shared" ref="X34:X65" si="89">T34*L34/100</f>
        <v>33.982040378999997</v>
      </c>
      <c r="Y34" s="67">
        <f t="shared" ref="Y34:Y65" si="90">T34*M34/100</f>
        <v>2.9995320558000005</v>
      </c>
      <c r="Z34" s="61" t="str">
        <f t="shared" ref="Z34:Z65" si="91">IF(N34&gt;10000,"XL",IF(N34&gt;1000,"L",IF(N34&gt;100,"M","S")))</f>
        <v>M</v>
      </c>
      <c r="AA34" s="68">
        <f t="shared" si="9"/>
        <v>8.6402449362223468</v>
      </c>
      <c r="AB34" s="52" t="s">
        <v>170</v>
      </c>
      <c r="AC34">
        <f t="shared" si="12"/>
        <v>1.5000000000000002</v>
      </c>
      <c r="AD34">
        <f t="shared" si="13"/>
        <v>97.7</v>
      </c>
      <c r="AE34">
        <f t="shared" si="14"/>
        <v>0</v>
      </c>
      <c r="AF34">
        <f t="shared" si="15"/>
        <v>0</v>
      </c>
      <c r="AG34">
        <f t="shared" si="16"/>
        <v>2.00285</v>
      </c>
      <c r="AH34">
        <f t="shared" si="17"/>
        <v>95.159800000000004</v>
      </c>
      <c r="AI34">
        <f t="shared" si="18"/>
        <v>0</v>
      </c>
      <c r="AJ34">
        <f t="shared" si="19"/>
        <v>0</v>
      </c>
      <c r="AK34">
        <f t="shared" si="20"/>
        <v>0</v>
      </c>
      <c r="AL34">
        <f t="shared" si="21"/>
        <v>8.5168020999999996</v>
      </c>
      <c r="AM34">
        <f t="shared" si="22"/>
        <v>0.75176242000000015</v>
      </c>
    </row>
    <row r="35" spans="1:39" x14ac:dyDescent="0.25">
      <c r="A35" s="65" t="s">
        <v>10</v>
      </c>
      <c r="B35" s="61" t="s">
        <v>87</v>
      </c>
      <c r="C35" s="61">
        <v>47.8</v>
      </c>
      <c r="D35" s="61">
        <v>51.1</v>
      </c>
      <c r="E35" s="74">
        <v>0</v>
      </c>
      <c r="F35" s="74">
        <v>0</v>
      </c>
      <c r="G35" s="61">
        <v>3.65</v>
      </c>
      <c r="H35" s="61">
        <v>95.6</v>
      </c>
      <c r="I35" s="74">
        <v>0</v>
      </c>
      <c r="J35" s="74">
        <v>0</v>
      </c>
      <c r="K35" s="74">
        <v>0</v>
      </c>
      <c r="L35" s="61">
        <v>32.1</v>
      </c>
      <c r="M35" s="61">
        <v>6.11</v>
      </c>
      <c r="N35" s="66">
        <v>268</v>
      </c>
      <c r="O35" s="67">
        <f t="shared" si="83"/>
        <v>128.10399999999998</v>
      </c>
      <c r="P35" s="67">
        <f t="shared" si="84"/>
        <v>136.94800000000001</v>
      </c>
      <c r="Q35" s="67">
        <f t="shared" ref="Q35:R35" si="92">E35*P35</f>
        <v>0</v>
      </c>
      <c r="R35" s="67">
        <f t="shared" si="92"/>
        <v>0</v>
      </c>
      <c r="S35" s="67">
        <f t="shared" si="86"/>
        <v>4.998602</v>
      </c>
      <c r="T35" s="67">
        <f t="shared" si="87"/>
        <v>130.92228800000001</v>
      </c>
      <c r="U35" s="67">
        <f t="shared" ref="U35:W35" si="93">I35*T35</f>
        <v>0</v>
      </c>
      <c r="V35" s="67">
        <f t="shared" si="93"/>
        <v>0</v>
      </c>
      <c r="W35" s="67">
        <f t="shared" si="93"/>
        <v>0</v>
      </c>
      <c r="X35" s="67">
        <f t="shared" si="89"/>
        <v>42.026054448000004</v>
      </c>
      <c r="Y35" s="67">
        <f t="shared" si="90"/>
        <v>7.9993517968000019</v>
      </c>
      <c r="Z35" s="61" t="str">
        <f t="shared" si="91"/>
        <v>M</v>
      </c>
      <c r="AA35" s="68">
        <f t="shared" si="9"/>
        <v>8.0660891904577721</v>
      </c>
      <c r="AB35" s="52" t="s">
        <v>170</v>
      </c>
      <c r="AC35">
        <f t="shared" si="12"/>
        <v>47.79999999999999</v>
      </c>
      <c r="AD35">
        <f t="shared" si="13"/>
        <v>51.1</v>
      </c>
      <c r="AE35">
        <f t="shared" si="14"/>
        <v>0</v>
      </c>
      <c r="AF35">
        <f t="shared" si="15"/>
        <v>0</v>
      </c>
      <c r="AG35">
        <f t="shared" si="16"/>
        <v>1.8651500000000001</v>
      </c>
      <c r="AH35">
        <f t="shared" si="17"/>
        <v>48.851599999999998</v>
      </c>
      <c r="AI35">
        <f t="shared" si="18"/>
        <v>0</v>
      </c>
      <c r="AJ35">
        <f t="shared" si="19"/>
        <v>0</v>
      </c>
      <c r="AK35">
        <f t="shared" si="20"/>
        <v>0</v>
      </c>
      <c r="AL35">
        <f t="shared" si="21"/>
        <v>15.681363600000001</v>
      </c>
      <c r="AM35">
        <f t="shared" si="22"/>
        <v>2.9848327600000006</v>
      </c>
    </row>
    <row r="36" spans="1:39" x14ac:dyDescent="0.25">
      <c r="A36" s="65" t="s">
        <v>10</v>
      </c>
      <c r="B36" s="61" t="s">
        <v>106</v>
      </c>
      <c r="C36" s="61">
        <v>8.4000000000000005E-2</v>
      </c>
      <c r="D36" s="61">
        <v>99.8</v>
      </c>
      <c r="E36" s="74">
        <v>0</v>
      </c>
      <c r="F36" s="74">
        <v>0</v>
      </c>
      <c r="G36" s="61">
        <v>0.16</v>
      </c>
      <c r="H36" s="61">
        <v>99.8</v>
      </c>
      <c r="I36" s="74">
        <v>0</v>
      </c>
      <c r="J36" s="74">
        <v>0</v>
      </c>
      <c r="K36" s="74">
        <v>0</v>
      </c>
      <c r="L36" s="61">
        <v>28.5</v>
      </c>
      <c r="M36" s="61">
        <v>64.8</v>
      </c>
      <c r="N36" s="66">
        <v>27248</v>
      </c>
      <c r="O36" s="67">
        <f t="shared" si="83"/>
        <v>22.888320000000004</v>
      </c>
      <c r="P36" s="67">
        <f t="shared" si="84"/>
        <v>27193.504000000001</v>
      </c>
      <c r="Q36" s="67">
        <f t="shared" ref="Q36:R36" si="94">E36*P36</f>
        <v>0</v>
      </c>
      <c r="R36" s="67">
        <f t="shared" si="94"/>
        <v>0</v>
      </c>
      <c r="S36" s="67">
        <f t="shared" si="86"/>
        <v>43.509606400000003</v>
      </c>
      <c r="T36" s="67">
        <f t="shared" si="87"/>
        <v>27139.116992000003</v>
      </c>
      <c r="U36" s="67">
        <f t="shared" ref="U36:W36" si="95">I36*T36</f>
        <v>0</v>
      </c>
      <c r="V36" s="67">
        <f t="shared" si="95"/>
        <v>0</v>
      </c>
      <c r="W36" s="67">
        <f t="shared" si="95"/>
        <v>0</v>
      </c>
      <c r="X36" s="67">
        <f t="shared" si="89"/>
        <v>7734.648342720001</v>
      </c>
      <c r="Y36" s="67">
        <f t="shared" si="90"/>
        <v>17586.147810816001</v>
      </c>
      <c r="Z36" s="61" t="str">
        <f t="shared" si="91"/>
        <v>XL</v>
      </c>
      <c r="AA36" s="68">
        <f t="shared" si="9"/>
        <v>14.733862719678543</v>
      </c>
      <c r="AB36" s="52" t="s">
        <v>170</v>
      </c>
      <c r="AC36">
        <f t="shared" si="12"/>
        <v>8.4000000000000019E-2</v>
      </c>
      <c r="AD36">
        <f t="shared" si="13"/>
        <v>99.8</v>
      </c>
      <c r="AE36">
        <f t="shared" si="14"/>
        <v>0</v>
      </c>
      <c r="AF36">
        <f t="shared" si="15"/>
        <v>0</v>
      </c>
      <c r="AG36">
        <f t="shared" si="16"/>
        <v>0.15967999999999999</v>
      </c>
      <c r="AH36">
        <f t="shared" si="17"/>
        <v>99.600400000000008</v>
      </c>
      <c r="AI36">
        <f t="shared" si="18"/>
        <v>0</v>
      </c>
      <c r="AJ36">
        <f t="shared" si="19"/>
        <v>0</v>
      </c>
      <c r="AK36">
        <f t="shared" si="20"/>
        <v>0</v>
      </c>
      <c r="AL36">
        <f t="shared" si="21"/>
        <v>28.386114000000003</v>
      </c>
      <c r="AM36">
        <f t="shared" si="22"/>
        <v>64.541059200000007</v>
      </c>
    </row>
    <row r="37" spans="1:39" x14ac:dyDescent="0.25">
      <c r="A37" s="65" t="s">
        <v>10</v>
      </c>
      <c r="B37" s="61" t="s">
        <v>164</v>
      </c>
      <c r="C37" s="61">
        <v>0.2</v>
      </c>
      <c r="D37" s="61">
        <v>99.5</v>
      </c>
      <c r="E37" s="74">
        <v>0</v>
      </c>
      <c r="F37" s="74">
        <v>0</v>
      </c>
      <c r="G37" s="61">
        <v>0.16</v>
      </c>
      <c r="H37" s="61">
        <v>99.8</v>
      </c>
      <c r="I37" s="74">
        <v>0</v>
      </c>
      <c r="J37" s="74">
        <v>0</v>
      </c>
      <c r="K37" s="74">
        <v>0</v>
      </c>
      <c r="L37" s="61">
        <v>18.5</v>
      </c>
      <c r="M37" s="61">
        <v>77</v>
      </c>
      <c r="N37" s="66">
        <v>13692</v>
      </c>
      <c r="O37" s="67">
        <f t="shared" si="83"/>
        <v>27.384</v>
      </c>
      <c r="P37" s="67">
        <f t="shared" si="84"/>
        <v>13623.54</v>
      </c>
      <c r="Q37" s="67">
        <f t="shared" ref="Q37:R37" si="96">E37*P37</f>
        <v>0</v>
      </c>
      <c r="R37" s="67">
        <f t="shared" si="96"/>
        <v>0</v>
      </c>
      <c r="S37" s="67">
        <f t="shared" si="86"/>
        <v>21.797664000000001</v>
      </c>
      <c r="T37" s="67">
        <f t="shared" si="87"/>
        <v>13596.292920000002</v>
      </c>
      <c r="U37" s="67">
        <f t="shared" ref="U37:W37" si="97">I37*T37</f>
        <v>0</v>
      </c>
      <c r="V37" s="67">
        <f t="shared" si="97"/>
        <v>0</v>
      </c>
      <c r="W37" s="67">
        <f t="shared" si="97"/>
        <v>0</v>
      </c>
      <c r="X37" s="67">
        <f t="shared" si="89"/>
        <v>2515.3141902000002</v>
      </c>
      <c r="Y37" s="67">
        <f t="shared" si="90"/>
        <v>10469.145548400002</v>
      </c>
      <c r="Z37" s="61" t="str">
        <f t="shared" si="91"/>
        <v>XL</v>
      </c>
      <c r="AA37" s="68">
        <f t="shared" si="9"/>
        <v>13.741045577009839</v>
      </c>
      <c r="AB37" s="52" t="s">
        <v>170</v>
      </c>
      <c r="AC37">
        <f t="shared" si="12"/>
        <v>0.2</v>
      </c>
      <c r="AD37">
        <f t="shared" si="13"/>
        <v>99.500000000000014</v>
      </c>
      <c r="AE37">
        <f t="shared" si="14"/>
        <v>0</v>
      </c>
      <c r="AF37">
        <f t="shared" si="15"/>
        <v>0</v>
      </c>
      <c r="AG37">
        <f t="shared" si="16"/>
        <v>0.15920000000000001</v>
      </c>
      <c r="AH37">
        <f t="shared" si="17"/>
        <v>99.301000000000016</v>
      </c>
      <c r="AI37">
        <f t="shared" si="18"/>
        <v>0</v>
      </c>
      <c r="AJ37">
        <f t="shared" si="19"/>
        <v>0</v>
      </c>
      <c r="AK37">
        <f t="shared" si="20"/>
        <v>0</v>
      </c>
      <c r="AL37">
        <f t="shared" si="21"/>
        <v>18.370685000000002</v>
      </c>
      <c r="AM37">
        <f t="shared" si="22"/>
        <v>76.461770000000001</v>
      </c>
    </row>
    <row r="38" spans="1:39" x14ac:dyDescent="0.25">
      <c r="A38" s="65" t="s">
        <v>10</v>
      </c>
      <c r="B38" s="61" t="s">
        <v>122</v>
      </c>
      <c r="C38" s="61">
        <v>0.88</v>
      </c>
      <c r="D38" s="61">
        <v>99.1</v>
      </c>
      <c r="E38" s="74">
        <v>0</v>
      </c>
      <c r="F38" s="74">
        <v>0</v>
      </c>
      <c r="G38" s="61">
        <v>1.96</v>
      </c>
      <c r="H38" s="61">
        <v>97.3</v>
      </c>
      <c r="I38" s="74">
        <v>0</v>
      </c>
      <c r="J38" s="74">
        <v>0</v>
      </c>
      <c r="K38" s="74">
        <v>0</v>
      </c>
      <c r="L38" s="61">
        <v>30.8</v>
      </c>
      <c r="M38" s="61">
        <v>53.3</v>
      </c>
      <c r="N38" s="66">
        <v>566</v>
      </c>
      <c r="O38" s="67">
        <f t="shared" si="83"/>
        <v>4.9807999999999995</v>
      </c>
      <c r="P38" s="67">
        <f t="shared" si="84"/>
        <v>560.90599999999995</v>
      </c>
      <c r="Q38" s="67">
        <f t="shared" ref="Q38:R38" si="98">E38*P38</f>
        <v>0</v>
      </c>
      <c r="R38" s="67">
        <f t="shared" si="98"/>
        <v>0</v>
      </c>
      <c r="S38" s="67">
        <f t="shared" si="86"/>
        <v>10.993757599999999</v>
      </c>
      <c r="T38" s="67">
        <f t="shared" si="87"/>
        <v>545.76153799999997</v>
      </c>
      <c r="U38" s="67">
        <f t="shared" ref="U38:W38" si="99">I38*T38</f>
        <v>0</v>
      </c>
      <c r="V38" s="67">
        <f t="shared" si="99"/>
        <v>0</v>
      </c>
      <c r="W38" s="67">
        <f t="shared" si="99"/>
        <v>0</v>
      </c>
      <c r="X38" s="67">
        <f t="shared" si="89"/>
        <v>168.09455370399999</v>
      </c>
      <c r="Y38" s="67">
        <f t="shared" si="90"/>
        <v>290.89089975399997</v>
      </c>
      <c r="Z38" s="61" t="str">
        <f t="shared" si="91"/>
        <v>M</v>
      </c>
      <c r="AA38" s="68">
        <f t="shared" si="9"/>
        <v>9.1446582428318823</v>
      </c>
      <c r="AB38" s="52" t="s">
        <v>170</v>
      </c>
      <c r="AC38">
        <f t="shared" si="12"/>
        <v>0.87999999999999989</v>
      </c>
      <c r="AD38">
        <f t="shared" si="13"/>
        <v>99.1</v>
      </c>
      <c r="AE38">
        <f t="shared" si="14"/>
        <v>0</v>
      </c>
      <c r="AF38">
        <f t="shared" si="15"/>
        <v>0</v>
      </c>
      <c r="AG38">
        <f t="shared" si="16"/>
        <v>1.9423599999999999</v>
      </c>
      <c r="AH38">
        <f t="shared" si="17"/>
        <v>96.424300000000002</v>
      </c>
      <c r="AI38">
        <f t="shared" si="18"/>
        <v>0</v>
      </c>
      <c r="AJ38">
        <f t="shared" si="19"/>
        <v>0</v>
      </c>
      <c r="AK38">
        <f t="shared" si="20"/>
        <v>0</v>
      </c>
      <c r="AL38">
        <f t="shared" si="21"/>
        <v>29.698684399999998</v>
      </c>
      <c r="AM38">
        <f t="shared" si="22"/>
        <v>51.394151899999997</v>
      </c>
    </row>
    <row r="39" spans="1:39" x14ac:dyDescent="0.25">
      <c r="A39" s="65" t="s">
        <v>10</v>
      </c>
      <c r="B39" s="61" t="s">
        <v>69</v>
      </c>
      <c r="C39" s="61">
        <v>7.4999999999999997E-2</v>
      </c>
      <c r="D39" s="61">
        <v>96.6</v>
      </c>
      <c r="E39" s="74">
        <v>0</v>
      </c>
      <c r="F39" s="74">
        <v>0</v>
      </c>
      <c r="G39" s="61">
        <v>0.34</v>
      </c>
      <c r="H39" s="61">
        <v>99.6</v>
      </c>
      <c r="I39" s="74">
        <v>0</v>
      </c>
      <c r="J39" s="74">
        <v>0</v>
      </c>
      <c r="K39" s="74">
        <v>0</v>
      </c>
      <c r="L39" s="61">
        <v>35.5</v>
      </c>
      <c r="M39" s="61">
        <v>57.4</v>
      </c>
      <c r="N39" s="66">
        <v>4016</v>
      </c>
      <c r="O39" s="67">
        <f t="shared" si="83"/>
        <v>3.012</v>
      </c>
      <c r="P39" s="67">
        <f t="shared" si="84"/>
        <v>3879.4559999999997</v>
      </c>
      <c r="Q39" s="67">
        <f t="shared" ref="Q39:R39" si="100">E39*P39</f>
        <v>0</v>
      </c>
      <c r="R39" s="67">
        <f t="shared" si="100"/>
        <v>0</v>
      </c>
      <c r="S39" s="67">
        <f t="shared" si="86"/>
        <v>13.1901504</v>
      </c>
      <c r="T39" s="67">
        <f t="shared" si="87"/>
        <v>3863.9381759999997</v>
      </c>
      <c r="U39" s="67">
        <f t="shared" ref="U39:W39" si="101">I39*T39</f>
        <v>0</v>
      </c>
      <c r="V39" s="67">
        <f t="shared" si="101"/>
        <v>0</v>
      </c>
      <c r="W39" s="67">
        <f t="shared" si="101"/>
        <v>0</v>
      </c>
      <c r="X39" s="67">
        <f t="shared" si="89"/>
        <v>1371.6980524799999</v>
      </c>
      <c r="Y39" s="67">
        <f t="shared" si="90"/>
        <v>2217.9005130239998</v>
      </c>
      <c r="Z39" s="61" t="str">
        <f t="shared" si="91"/>
        <v>L</v>
      </c>
      <c r="AA39" s="68">
        <f t="shared" si="9"/>
        <v>11.971543553950772</v>
      </c>
      <c r="AB39" s="52" t="s">
        <v>170</v>
      </c>
      <c r="AC39">
        <f t="shared" si="12"/>
        <v>7.4999999999999997E-2</v>
      </c>
      <c r="AD39">
        <f t="shared" si="13"/>
        <v>96.6</v>
      </c>
      <c r="AE39">
        <f t="shared" si="14"/>
        <v>0</v>
      </c>
      <c r="AF39">
        <f t="shared" si="15"/>
        <v>0</v>
      </c>
      <c r="AG39">
        <f t="shared" si="16"/>
        <v>0.32844000000000001</v>
      </c>
      <c r="AH39">
        <f t="shared" si="17"/>
        <v>96.213599999999985</v>
      </c>
      <c r="AI39">
        <f t="shared" si="18"/>
        <v>0</v>
      </c>
      <c r="AJ39">
        <f t="shared" si="19"/>
        <v>0</v>
      </c>
      <c r="AK39">
        <f t="shared" si="20"/>
        <v>0</v>
      </c>
      <c r="AL39">
        <f t="shared" si="21"/>
        <v>34.155828</v>
      </c>
      <c r="AM39">
        <f t="shared" si="22"/>
        <v>55.226606400000001</v>
      </c>
    </row>
    <row r="40" spans="1:39" x14ac:dyDescent="0.25">
      <c r="A40" s="65" t="s">
        <v>10</v>
      </c>
      <c r="B40" s="61" t="s">
        <v>107</v>
      </c>
      <c r="C40" s="61">
        <v>0.17</v>
      </c>
      <c r="D40" s="61">
        <v>95.1</v>
      </c>
      <c r="E40" s="74">
        <v>0</v>
      </c>
      <c r="F40" s="74">
        <v>0</v>
      </c>
      <c r="G40" s="61">
        <v>0.33</v>
      </c>
      <c r="H40" s="61">
        <v>99.6</v>
      </c>
      <c r="I40" s="74">
        <v>0</v>
      </c>
      <c r="J40" s="74">
        <v>0</v>
      </c>
      <c r="K40" s="74">
        <v>0</v>
      </c>
      <c r="L40" s="61">
        <v>59.5</v>
      </c>
      <c r="M40" s="61">
        <v>31.4</v>
      </c>
      <c r="N40" s="66">
        <v>2908</v>
      </c>
      <c r="O40" s="67">
        <f t="shared" si="83"/>
        <v>4.9436</v>
      </c>
      <c r="P40" s="67">
        <f t="shared" si="84"/>
        <v>2765.5079999999998</v>
      </c>
      <c r="Q40" s="67">
        <f t="shared" ref="Q40:R40" si="102">E40*P40</f>
        <v>0</v>
      </c>
      <c r="R40" s="67">
        <f t="shared" si="102"/>
        <v>0</v>
      </c>
      <c r="S40" s="67">
        <f t="shared" si="86"/>
        <v>9.1261763999999985</v>
      </c>
      <c r="T40" s="67">
        <f t="shared" si="87"/>
        <v>2754.4459679999995</v>
      </c>
      <c r="U40" s="67">
        <f t="shared" ref="U40:W40" si="103">I40*T40</f>
        <v>0</v>
      </c>
      <c r="V40" s="67">
        <f t="shared" si="103"/>
        <v>0</v>
      </c>
      <c r="W40" s="67">
        <f t="shared" si="103"/>
        <v>0</v>
      </c>
      <c r="X40" s="67">
        <f t="shared" si="89"/>
        <v>1638.8953509599999</v>
      </c>
      <c r="Y40" s="67">
        <f t="shared" si="90"/>
        <v>864.89603395199981</v>
      </c>
      <c r="Z40" s="61" t="str">
        <f t="shared" si="91"/>
        <v>L</v>
      </c>
      <c r="AA40" s="68">
        <f t="shared" si="9"/>
        <v>11.505811553919594</v>
      </c>
      <c r="AB40" s="52" t="s">
        <v>170</v>
      </c>
      <c r="AC40">
        <f t="shared" si="12"/>
        <v>0.16999999999999998</v>
      </c>
      <c r="AD40">
        <f t="shared" si="13"/>
        <v>95.1</v>
      </c>
      <c r="AE40">
        <f t="shared" si="14"/>
        <v>0</v>
      </c>
      <c r="AF40">
        <f t="shared" si="15"/>
        <v>0</v>
      </c>
      <c r="AG40">
        <f t="shared" si="16"/>
        <v>0.31382999999999994</v>
      </c>
      <c r="AH40">
        <f t="shared" si="17"/>
        <v>94.719599999999986</v>
      </c>
      <c r="AI40">
        <f t="shared" si="18"/>
        <v>0</v>
      </c>
      <c r="AJ40">
        <f t="shared" si="19"/>
        <v>0</v>
      </c>
      <c r="AK40">
        <f t="shared" si="20"/>
        <v>0</v>
      </c>
      <c r="AL40">
        <f t="shared" si="21"/>
        <v>56.358162</v>
      </c>
      <c r="AM40">
        <f t="shared" si="22"/>
        <v>29.741954399999994</v>
      </c>
    </row>
    <row r="41" spans="1:39" x14ac:dyDescent="0.25">
      <c r="A41" s="65" t="s">
        <v>10</v>
      </c>
      <c r="B41" s="61" t="s">
        <v>134</v>
      </c>
      <c r="C41" s="61">
        <v>0.16</v>
      </c>
      <c r="D41" s="61">
        <v>90.2</v>
      </c>
      <c r="E41" s="74">
        <v>0</v>
      </c>
      <c r="F41" s="74">
        <v>0</v>
      </c>
      <c r="G41" s="61">
        <v>0.65</v>
      </c>
      <c r="H41" s="61">
        <v>99.3</v>
      </c>
      <c r="I41" s="74">
        <v>0</v>
      </c>
      <c r="J41" s="74">
        <v>0</v>
      </c>
      <c r="K41" s="74">
        <v>0</v>
      </c>
      <c r="L41" s="61">
        <v>48.3</v>
      </c>
      <c r="M41" s="61">
        <v>42</v>
      </c>
      <c r="N41" s="66">
        <v>1863</v>
      </c>
      <c r="O41" s="67">
        <f t="shared" si="83"/>
        <v>2.9807999999999999</v>
      </c>
      <c r="P41" s="67">
        <f t="shared" si="84"/>
        <v>1680.4260000000002</v>
      </c>
      <c r="Q41" s="67">
        <f t="shared" ref="Q41:R41" si="104">E41*P41</f>
        <v>0</v>
      </c>
      <c r="R41" s="67">
        <f t="shared" si="104"/>
        <v>0</v>
      </c>
      <c r="S41" s="67">
        <f t="shared" si="86"/>
        <v>10.922769000000001</v>
      </c>
      <c r="T41" s="67">
        <f t="shared" si="87"/>
        <v>1668.6630180000002</v>
      </c>
      <c r="U41" s="67">
        <f t="shared" ref="U41:W41" si="105">I41*T41</f>
        <v>0</v>
      </c>
      <c r="V41" s="67">
        <f t="shared" si="105"/>
        <v>0</v>
      </c>
      <c r="W41" s="67">
        <f t="shared" si="105"/>
        <v>0</v>
      </c>
      <c r="X41" s="67">
        <f t="shared" si="89"/>
        <v>805.96423769400008</v>
      </c>
      <c r="Y41" s="67">
        <f t="shared" si="90"/>
        <v>700.83846756000014</v>
      </c>
      <c r="Z41" s="61" t="str">
        <f t="shared" si="91"/>
        <v>L</v>
      </c>
      <c r="AA41" s="68">
        <f t="shared" si="9"/>
        <v>10.863411958941638</v>
      </c>
      <c r="AB41" s="52" t="s">
        <v>170</v>
      </c>
      <c r="AC41">
        <f t="shared" si="12"/>
        <v>0.15999999999999998</v>
      </c>
      <c r="AD41">
        <f t="shared" si="13"/>
        <v>90.200000000000017</v>
      </c>
      <c r="AE41">
        <f t="shared" si="14"/>
        <v>0</v>
      </c>
      <c r="AF41">
        <f t="shared" si="15"/>
        <v>0</v>
      </c>
      <c r="AG41">
        <f t="shared" si="16"/>
        <v>0.58630000000000004</v>
      </c>
      <c r="AH41">
        <f t="shared" si="17"/>
        <v>89.568600000000004</v>
      </c>
      <c r="AI41">
        <f t="shared" si="18"/>
        <v>0</v>
      </c>
      <c r="AJ41">
        <f t="shared" si="19"/>
        <v>0</v>
      </c>
      <c r="AK41">
        <f t="shared" si="20"/>
        <v>0</v>
      </c>
      <c r="AL41">
        <f t="shared" si="21"/>
        <v>43.261633800000006</v>
      </c>
      <c r="AM41">
        <f t="shared" si="22"/>
        <v>37.618812000000005</v>
      </c>
    </row>
    <row r="42" spans="1:39" x14ac:dyDescent="0.25">
      <c r="A42" s="65" t="s">
        <v>10</v>
      </c>
      <c r="B42" s="61" t="s">
        <v>43</v>
      </c>
      <c r="C42" s="61">
        <v>1.4</v>
      </c>
      <c r="D42" s="61">
        <v>96.4</v>
      </c>
      <c r="E42" s="74">
        <v>0</v>
      </c>
      <c r="F42" s="74">
        <v>0</v>
      </c>
      <c r="G42" s="61">
        <v>2.67</v>
      </c>
      <c r="H42" s="61">
        <v>96.1</v>
      </c>
      <c r="I42" s="74">
        <v>0</v>
      </c>
      <c r="J42" s="74">
        <v>0</v>
      </c>
      <c r="K42" s="74">
        <v>0</v>
      </c>
      <c r="L42" s="61">
        <v>32.4</v>
      </c>
      <c r="M42" s="61">
        <v>48.9</v>
      </c>
      <c r="N42" s="66">
        <v>855</v>
      </c>
      <c r="O42" s="67">
        <f t="shared" si="83"/>
        <v>11.97</v>
      </c>
      <c r="P42" s="67">
        <f t="shared" si="84"/>
        <v>824.22</v>
      </c>
      <c r="Q42" s="67">
        <f t="shared" ref="Q42:R42" si="106">E42*P42</f>
        <v>0</v>
      </c>
      <c r="R42" s="67">
        <f t="shared" si="106"/>
        <v>0</v>
      </c>
      <c r="S42" s="67">
        <f t="shared" si="86"/>
        <v>22.006673999999997</v>
      </c>
      <c r="T42" s="67">
        <f t="shared" si="87"/>
        <v>792.07542000000001</v>
      </c>
      <c r="U42" s="67">
        <f t="shared" ref="U42:W42" si="107">I42*T42</f>
        <v>0</v>
      </c>
      <c r="V42" s="67">
        <f t="shared" si="107"/>
        <v>0</v>
      </c>
      <c r="W42" s="67">
        <f t="shared" si="107"/>
        <v>0</v>
      </c>
      <c r="X42" s="67">
        <f t="shared" si="89"/>
        <v>256.63243607999999</v>
      </c>
      <c r="Y42" s="67">
        <f t="shared" si="90"/>
        <v>387.32488037999997</v>
      </c>
      <c r="Z42" s="61" t="str">
        <f t="shared" si="91"/>
        <v>M</v>
      </c>
      <c r="AA42" s="68">
        <f t="shared" si="9"/>
        <v>9.7397806097732609</v>
      </c>
      <c r="AB42" s="52" t="s">
        <v>170</v>
      </c>
      <c r="AC42">
        <f t="shared" si="12"/>
        <v>1.4000000000000001</v>
      </c>
      <c r="AD42">
        <f t="shared" si="13"/>
        <v>96.4</v>
      </c>
      <c r="AE42">
        <f t="shared" si="14"/>
        <v>0</v>
      </c>
      <c r="AF42">
        <f t="shared" si="15"/>
        <v>0</v>
      </c>
      <c r="AG42">
        <f t="shared" si="16"/>
        <v>2.5738799999999995</v>
      </c>
      <c r="AH42">
        <f t="shared" si="17"/>
        <v>92.6404</v>
      </c>
      <c r="AI42">
        <f t="shared" si="18"/>
        <v>0</v>
      </c>
      <c r="AJ42">
        <f t="shared" si="19"/>
        <v>0</v>
      </c>
      <c r="AK42">
        <f t="shared" si="20"/>
        <v>0</v>
      </c>
      <c r="AL42">
        <f t="shared" si="21"/>
        <v>30.015489600000002</v>
      </c>
      <c r="AM42">
        <f t="shared" si="22"/>
        <v>45.301155600000001</v>
      </c>
    </row>
    <row r="43" spans="1:39" x14ac:dyDescent="0.25">
      <c r="A43" s="65" t="s">
        <v>10</v>
      </c>
      <c r="B43" s="61" t="s">
        <v>124</v>
      </c>
      <c r="C43" s="61">
        <v>1.76</v>
      </c>
      <c r="D43" s="61">
        <v>90</v>
      </c>
      <c r="E43" s="74">
        <v>0</v>
      </c>
      <c r="F43" s="74">
        <v>0</v>
      </c>
      <c r="G43" s="61">
        <v>5.36</v>
      </c>
      <c r="H43" s="61">
        <v>92.2</v>
      </c>
      <c r="I43" s="74">
        <v>0</v>
      </c>
      <c r="J43" s="74">
        <v>0</v>
      </c>
      <c r="K43" s="74">
        <v>0</v>
      </c>
      <c r="L43" s="61">
        <v>24.1</v>
      </c>
      <c r="M43" s="61">
        <v>61.8</v>
      </c>
      <c r="N43" s="66">
        <v>850</v>
      </c>
      <c r="O43" s="67">
        <f t="shared" si="83"/>
        <v>14.96</v>
      </c>
      <c r="P43" s="67">
        <f t="shared" si="84"/>
        <v>765</v>
      </c>
      <c r="Q43" s="67">
        <f t="shared" ref="Q43:R43" si="108">E43*P43</f>
        <v>0</v>
      </c>
      <c r="R43" s="67">
        <f t="shared" si="108"/>
        <v>0</v>
      </c>
      <c r="S43" s="67">
        <f t="shared" si="86"/>
        <v>41.004000000000005</v>
      </c>
      <c r="T43" s="67">
        <f t="shared" si="87"/>
        <v>705.33</v>
      </c>
      <c r="U43" s="67">
        <f t="shared" ref="U43:W43" si="109">I43*T43</f>
        <v>0</v>
      </c>
      <c r="V43" s="67">
        <f t="shared" si="109"/>
        <v>0</v>
      </c>
      <c r="W43" s="67">
        <f t="shared" si="109"/>
        <v>0</v>
      </c>
      <c r="X43" s="67">
        <f t="shared" si="89"/>
        <v>169.98453000000001</v>
      </c>
      <c r="Y43" s="67">
        <f t="shared" si="90"/>
        <v>435.89393999999999</v>
      </c>
      <c r="Z43" s="61" t="str">
        <f t="shared" si="91"/>
        <v>M</v>
      </c>
      <c r="AA43" s="68">
        <f t="shared" si="9"/>
        <v>9.7313190310250643</v>
      </c>
      <c r="AB43" s="52" t="s">
        <v>170</v>
      </c>
      <c r="AC43">
        <f t="shared" si="12"/>
        <v>1.76</v>
      </c>
      <c r="AD43">
        <f t="shared" si="13"/>
        <v>90</v>
      </c>
      <c r="AE43">
        <f t="shared" si="14"/>
        <v>0</v>
      </c>
      <c r="AF43">
        <f t="shared" si="15"/>
        <v>0</v>
      </c>
      <c r="AG43">
        <f t="shared" si="16"/>
        <v>4.8240000000000007</v>
      </c>
      <c r="AH43">
        <f t="shared" si="17"/>
        <v>82.98</v>
      </c>
      <c r="AI43">
        <f t="shared" si="18"/>
        <v>0</v>
      </c>
      <c r="AJ43">
        <f t="shared" si="19"/>
        <v>0</v>
      </c>
      <c r="AK43">
        <f t="shared" si="20"/>
        <v>0</v>
      </c>
      <c r="AL43">
        <f t="shared" si="21"/>
        <v>19.998180000000001</v>
      </c>
      <c r="AM43">
        <f t="shared" si="22"/>
        <v>51.281639999999996</v>
      </c>
    </row>
    <row r="44" spans="1:39" x14ac:dyDescent="0.25">
      <c r="A44" s="65" t="s">
        <v>10</v>
      </c>
      <c r="B44" s="61" t="s">
        <v>80</v>
      </c>
      <c r="C44" s="61">
        <v>1.96</v>
      </c>
      <c r="D44" s="61">
        <v>98</v>
      </c>
      <c r="E44" s="74">
        <v>0</v>
      </c>
      <c r="F44" s="74">
        <v>0</v>
      </c>
      <c r="G44" s="61">
        <v>6</v>
      </c>
      <c r="H44" s="61">
        <v>94</v>
      </c>
      <c r="I44" s="74">
        <v>0</v>
      </c>
      <c r="J44" s="74">
        <v>0</v>
      </c>
      <c r="K44" s="74">
        <v>0</v>
      </c>
      <c r="L44" s="61">
        <v>23.4</v>
      </c>
      <c r="M44" s="61">
        <v>9.57</v>
      </c>
      <c r="N44" s="66">
        <v>102</v>
      </c>
      <c r="O44" s="67">
        <f t="shared" si="83"/>
        <v>1.9991999999999999</v>
      </c>
      <c r="P44" s="67">
        <f t="shared" si="84"/>
        <v>99.96</v>
      </c>
      <c r="Q44" s="67">
        <f t="shared" ref="Q44:R44" si="110">E44*P44</f>
        <v>0</v>
      </c>
      <c r="R44" s="67">
        <f t="shared" si="110"/>
        <v>0</v>
      </c>
      <c r="S44" s="67">
        <f t="shared" si="86"/>
        <v>5.9976000000000003</v>
      </c>
      <c r="T44" s="67">
        <f t="shared" si="87"/>
        <v>93.962400000000002</v>
      </c>
      <c r="U44" s="67">
        <f t="shared" ref="U44:W44" si="111">I44*T44</f>
        <v>0</v>
      </c>
      <c r="V44" s="67">
        <f t="shared" si="111"/>
        <v>0</v>
      </c>
      <c r="W44" s="67">
        <f t="shared" si="111"/>
        <v>0</v>
      </c>
      <c r="X44" s="67">
        <f t="shared" si="89"/>
        <v>21.987201599999999</v>
      </c>
      <c r="Y44" s="67">
        <f t="shared" si="90"/>
        <v>8.9922016800000009</v>
      </c>
      <c r="Z44" s="61" t="str">
        <f t="shared" si="91"/>
        <v>M</v>
      </c>
      <c r="AA44" s="68">
        <f t="shared" si="9"/>
        <v>6.6724253419714952</v>
      </c>
      <c r="AB44" s="52" t="s">
        <v>170</v>
      </c>
      <c r="AC44">
        <f t="shared" si="12"/>
        <v>1.96</v>
      </c>
      <c r="AD44">
        <f t="shared" si="13"/>
        <v>98</v>
      </c>
      <c r="AE44">
        <f t="shared" si="14"/>
        <v>0</v>
      </c>
      <c r="AF44">
        <f t="shared" si="15"/>
        <v>0</v>
      </c>
      <c r="AG44">
        <f t="shared" si="16"/>
        <v>5.8800000000000008</v>
      </c>
      <c r="AH44">
        <f t="shared" si="17"/>
        <v>92.12</v>
      </c>
      <c r="AI44">
        <f t="shared" si="18"/>
        <v>0</v>
      </c>
      <c r="AJ44">
        <f t="shared" si="19"/>
        <v>0</v>
      </c>
      <c r="AK44">
        <f t="shared" si="20"/>
        <v>0</v>
      </c>
      <c r="AL44">
        <f t="shared" si="21"/>
        <v>21.556080000000001</v>
      </c>
      <c r="AM44">
        <f t="shared" si="22"/>
        <v>8.8158840000000005</v>
      </c>
    </row>
    <row r="45" spans="1:39" x14ac:dyDescent="0.25">
      <c r="A45" s="65" t="s">
        <v>10</v>
      </c>
      <c r="B45" s="61" t="s">
        <v>135</v>
      </c>
      <c r="C45" s="61">
        <v>2.54</v>
      </c>
      <c r="D45" s="61">
        <v>97</v>
      </c>
      <c r="E45" s="74">
        <v>0</v>
      </c>
      <c r="F45" s="74">
        <v>0</v>
      </c>
      <c r="G45" s="61">
        <v>2.62</v>
      </c>
      <c r="H45" s="61">
        <v>96.9</v>
      </c>
      <c r="I45" s="74">
        <v>0</v>
      </c>
      <c r="J45" s="74">
        <v>0</v>
      </c>
      <c r="K45" s="74">
        <v>0</v>
      </c>
      <c r="L45" s="61">
        <v>39.5</v>
      </c>
      <c r="M45" s="61">
        <v>29.7</v>
      </c>
      <c r="N45" s="66">
        <v>197</v>
      </c>
      <c r="O45" s="67">
        <f t="shared" si="83"/>
        <v>5.0038</v>
      </c>
      <c r="P45" s="67">
        <f t="shared" si="84"/>
        <v>191.09</v>
      </c>
      <c r="Q45" s="67">
        <f t="shared" ref="Q45:R45" si="112">E45*P45</f>
        <v>0</v>
      </c>
      <c r="R45" s="67">
        <f t="shared" si="112"/>
        <v>0</v>
      </c>
      <c r="S45" s="67">
        <f t="shared" si="86"/>
        <v>5.006558000000001</v>
      </c>
      <c r="T45" s="67">
        <f t="shared" si="87"/>
        <v>185.16621000000004</v>
      </c>
      <c r="U45" s="67">
        <f t="shared" ref="U45:W45" si="113">I45*T45</f>
        <v>0</v>
      </c>
      <c r="V45" s="67">
        <f t="shared" si="113"/>
        <v>0</v>
      </c>
      <c r="W45" s="67">
        <f t="shared" si="113"/>
        <v>0</v>
      </c>
      <c r="X45" s="67">
        <f t="shared" si="89"/>
        <v>73.140652950000018</v>
      </c>
      <c r="Y45" s="67">
        <f t="shared" si="90"/>
        <v>54.994364370000014</v>
      </c>
      <c r="Z45" s="61" t="str">
        <f t="shared" si="91"/>
        <v>M</v>
      </c>
      <c r="AA45" s="68">
        <f t="shared" si="9"/>
        <v>7.6220518194563764</v>
      </c>
      <c r="AB45" s="52" t="s">
        <v>170</v>
      </c>
      <c r="AC45">
        <f t="shared" si="12"/>
        <v>2.54</v>
      </c>
      <c r="AD45">
        <f t="shared" si="13"/>
        <v>97</v>
      </c>
      <c r="AE45">
        <f t="shared" si="14"/>
        <v>0</v>
      </c>
      <c r="AF45">
        <f t="shared" si="15"/>
        <v>0</v>
      </c>
      <c r="AG45">
        <f t="shared" si="16"/>
        <v>2.5414000000000008</v>
      </c>
      <c r="AH45">
        <f t="shared" si="17"/>
        <v>93.993000000000009</v>
      </c>
      <c r="AI45">
        <f t="shared" si="18"/>
        <v>0</v>
      </c>
      <c r="AJ45">
        <f t="shared" si="19"/>
        <v>0</v>
      </c>
      <c r="AK45">
        <f t="shared" si="20"/>
        <v>0</v>
      </c>
      <c r="AL45">
        <f t="shared" si="21"/>
        <v>37.127235000000006</v>
      </c>
      <c r="AM45">
        <f t="shared" si="22"/>
        <v>27.915921000000004</v>
      </c>
    </row>
    <row r="46" spans="1:39" x14ac:dyDescent="0.25">
      <c r="A46" s="65" t="s">
        <v>10</v>
      </c>
      <c r="B46" s="61" t="s">
        <v>97</v>
      </c>
      <c r="C46" s="61">
        <v>0.31</v>
      </c>
      <c r="D46" s="61">
        <v>98.1</v>
      </c>
      <c r="E46" s="74">
        <v>0</v>
      </c>
      <c r="F46" s="74">
        <v>0</v>
      </c>
      <c r="G46" s="61">
        <v>0.67</v>
      </c>
      <c r="H46" s="61">
        <v>99.1</v>
      </c>
      <c r="I46" s="74">
        <v>0</v>
      </c>
      <c r="J46" s="74">
        <v>0</v>
      </c>
      <c r="K46" s="74">
        <v>0</v>
      </c>
      <c r="L46" s="61">
        <v>52.5</v>
      </c>
      <c r="M46" s="61">
        <v>38.4</v>
      </c>
      <c r="N46" s="66">
        <v>2605</v>
      </c>
      <c r="O46" s="67">
        <f t="shared" si="83"/>
        <v>8.0754999999999999</v>
      </c>
      <c r="P46" s="67">
        <f t="shared" si="84"/>
        <v>2555.5049999999997</v>
      </c>
      <c r="Q46" s="67">
        <f t="shared" ref="Q46:R46" si="114">E46*P46</f>
        <v>0</v>
      </c>
      <c r="R46" s="67">
        <f t="shared" si="114"/>
        <v>0</v>
      </c>
      <c r="S46" s="67">
        <f t="shared" si="86"/>
        <v>17.121883499999999</v>
      </c>
      <c r="T46" s="67">
        <f t="shared" si="87"/>
        <v>2532.5054549999995</v>
      </c>
      <c r="U46" s="67">
        <f t="shared" ref="U46:W46" si="115">I46*T46</f>
        <v>0</v>
      </c>
      <c r="V46" s="67">
        <f t="shared" si="115"/>
        <v>0</v>
      </c>
      <c r="W46" s="67">
        <f t="shared" si="115"/>
        <v>0</v>
      </c>
      <c r="X46" s="67">
        <f t="shared" si="89"/>
        <v>1329.5653638749998</v>
      </c>
      <c r="Y46" s="67">
        <f t="shared" si="90"/>
        <v>972.48209471999974</v>
      </c>
      <c r="Z46" s="61" t="str">
        <f t="shared" si="91"/>
        <v>L</v>
      </c>
      <c r="AA46" s="68">
        <f t="shared" si="9"/>
        <v>11.347067657165871</v>
      </c>
      <c r="AB46" s="52" t="s">
        <v>170</v>
      </c>
      <c r="AC46">
        <f t="shared" si="12"/>
        <v>0.31</v>
      </c>
      <c r="AD46">
        <f t="shared" si="13"/>
        <v>98.1</v>
      </c>
      <c r="AE46">
        <f t="shared" si="14"/>
        <v>0</v>
      </c>
      <c r="AF46">
        <f t="shared" si="15"/>
        <v>0</v>
      </c>
      <c r="AG46">
        <f t="shared" si="16"/>
        <v>0.65727000000000002</v>
      </c>
      <c r="AH46">
        <f t="shared" si="17"/>
        <v>97.217099999999974</v>
      </c>
      <c r="AI46">
        <f t="shared" si="18"/>
        <v>0</v>
      </c>
      <c r="AJ46">
        <f t="shared" si="19"/>
        <v>0</v>
      </c>
      <c r="AK46">
        <f t="shared" si="20"/>
        <v>0</v>
      </c>
      <c r="AL46">
        <f t="shared" si="21"/>
        <v>51.038977499999994</v>
      </c>
      <c r="AM46">
        <f t="shared" si="22"/>
        <v>37.331366399999986</v>
      </c>
    </row>
    <row r="47" spans="1:39" x14ac:dyDescent="0.25">
      <c r="A47" s="65" t="s">
        <v>10</v>
      </c>
      <c r="B47" s="61" t="s">
        <v>167</v>
      </c>
      <c r="C47" s="61">
        <v>0.21</v>
      </c>
      <c r="D47" s="61">
        <v>96.9</v>
      </c>
      <c r="E47" s="74">
        <v>0</v>
      </c>
      <c r="F47" s="74">
        <v>0</v>
      </c>
      <c r="G47" s="61">
        <v>0.17</v>
      </c>
      <c r="H47" s="61">
        <v>99.7</v>
      </c>
      <c r="I47" s="74">
        <v>0</v>
      </c>
      <c r="J47" s="74">
        <v>0</v>
      </c>
      <c r="K47" s="74">
        <v>0</v>
      </c>
      <c r="L47" s="61">
        <v>21.7</v>
      </c>
      <c r="M47" s="61">
        <v>72.099999999999994</v>
      </c>
      <c r="N47" s="66">
        <v>4210</v>
      </c>
      <c r="O47" s="67">
        <f t="shared" si="83"/>
        <v>8.8410000000000011</v>
      </c>
      <c r="P47" s="67">
        <f t="shared" si="84"/>
        <v>4079.49</v>
      </c>
      <c r="Q47" s="67">
        <f t="shared" ref="Q47:R47" si="116">E47*P47</f>
        <v>0</v>
      </c>
      <c r="R47" s="67">
        <f t="shared" si="116"/>
        <v>0</v>
      </c>
      <c r="S47" s="67">
        <f t="shared" si="86"/>
        <v>6.9351329999999995</v>
      </c>
      <c r="T47" s="67">
        <f t="shared" si="87"/>
        <v>4067.25153</v>
      </c>
      <c r="U47" s="67">
        <f t="shared" ref="U47:W47" si="117">I47*T47</f>
        <v>0</v>
      </c>
      <c r="V47" s="67">
        <f t="shared" si="117"/>
        <v>0</v>
      </c>
      <c r="W47" s="67">
        <f t="shared" si="117"/>
        <v>0</v>
      </c>
      <c r="X47" s="67">
        <f t="shared" si="89"/>
        <v>882.59358200999998</v>
      </c>
      <c r="Y47" s="67">
        <f t="shared" si="90"/>
        <v>2932.4883531299997</v>
      </c>
      <c r="Z47" s="61" t="str">
        <f t="shared" si="91"/>
        <v>L</v>
      </c>
      <c r="AA47" s="68">
        <f t="shared" si="9"/>
        <v>12.039604517953761</v>
      </c>
      <c r="AB47" s="52" t="s">
        <v>170</v>
      </c>
      <c r="AC47">
        <f t="shared" si="12"/>
        <v>0.21000000000000002</v>
      </c>
      <c r="AD47">
        <f t="shared" si="13"/>
        <v>96.899999999999991</v>
      </c>
      <c r="AE47">
        <f t="shared" si="14"/>
        <v>0</v>
      </c>
      <c r="AF47">
        <f t="shared" si="15"/>
        <v>0</v>
      </c>
      <c r="AG47">
        <f t="shared" si="16"/>
        <v>0.16472999999999999</v>
      </c>
      <c r="AH47">
        <f t="shared" si="17"/>
        <v>96.609300000000005</v>
      </c>
      <c r="AI47">
        <f t="shared" si="18"/>
        <v>0</v>
      </c>
      <c r="AJ47">
        <f t="shared" si="19"/>
        <v>0</v>
      </c>
      <c r="AK47">
        <f t="shared" si="20"/>
        <v>0</v>
      </c>
      <c r="AL47">
        <f t="shared" si="21"/>
        <v>20.964218099999997</v>
      </c>
      <c r="AM47">
        <f t="shared" si="22"/>
        <v>69.655305299999995</v>
      </c>
    </row>
    <row r="48" spans="1:39" x14ac:dyDescent="0.25">
      <c r="A48" s="65" t="s">
        <v>10</v>
      </c>
      <c r="B48" s="61" t="s">
        <v>45</v>
      </c>
      <c r="C48" s="61">
        <v>0.15</v>
      </c>
      <c r="D48" s="61">
        <v>92.8</v>
      </c>
      <c r="E48" s="74">
        <v>0</v>
      </c>
      <c r="F48" s="74">
        <v>0</v>
      </c>
      <c r="G48" s="61">
        <v>1.1100000000000001</v>
      </c>
      <c r="H48" s="61">
        <v>98.1</v>
      </c>
      <c r="I48" s="74">
        <v>0</v>
      </c>
      <c r="J48" s="74">
        <v>0</v>
      </c>
      <c r="K48" s="74">
        <v>0</v>
      </c>
      <c r="L48" s="61">
        <v>47.5</v>
      </c>
      <c r="M48" s="61">
        <v>44</v>
      </c>
      <c r="N48" s="66">
        <v>1938</v>
      </c>
      <c r="O48" s="67">
        <f t="shared" si="83"/>
        <v>2.907</v>
      </c>
      <c r="P48" s="67">
        <f t="shared" si="84"/>
        <v>1798.4639999999999</v>
      </c>
      <c r="Q48" s="67">
        <f t="shared" ref="Q48:R48" si="118">E48*P48</f>
        <v>0</v>
      </c>
      <c r="R48" s="67">
        <f t="shared" si="118"/>
        <v>0</v>
      </c>
      <c r="S48" s="67">
        <f t="shared" si="86"/>
        <v>19.9629504</v>
      </c>
      <c r="T48" s="67">
        <f t="shared" si="87"/>
        <v>1764.2931839999999</v>
      </c>
      <c r="U48" s="67">
        <f t="shared" ref="U48:W48" si="119">I48*T48</f>
        <v>0</v>
      </c>
      <c r="V48" s="67">
        <f t="shared" si="119"/>
        <v>0</v>
      </c>
      <c r="W48" s="67">
        <f t="shared" si="119"/>
        <v>0</v>
      </c>
      <c r="X48" s="67">
        <f t="shared" si="89"/>
        <v>838.03926239999998</v>
      </c>
      <c r="Y48" s="67">
        <f t="shared" si="90"/>
        <v>776.28900095999995</v>
      </c>
      <c r="Z48" s="61" t="str">
        <f t="shared" si="91"/>
        <v>L</v>
      </c>
      <c r="AA48" s="68">
        <f t="shared" si="9"/>
        <v>10.920352855415082</v>
      </c>
      <c r="AB48" s="52" t="s">
        <v>170</v>
      </c>
      <c r="AC48">
        <f t="shared" si="12"/>
        <v>0.15</v>
      </c>
      <c r="AD48">
        <f t="shared" si="13"/>
        <v>92.8</v>
      </c>
      <c r="AE48">
        <f t="shared" si="14"/>
        <v>0</v>
      </c>
      <c r="AF48">
        <f t="shared" si="15"/>
        <v>0</v>
      </c>
      <c r="AG48">
        <f t="shared" si="16"/>
        <v>1.0300800000000001</v>
      </c>
      <c r="AH48">
        <f t="shared" si="17"/>
        <v>91.036799999999999</v>
      </c>
      <c r="AI48">
        <f t="shared" si="18"/>
        <v>0</v>
      </c>
      <c r="AJ48">
        <f t="shared" si="19"/>
        <v>0</v>
      </c>
      <c r="AK48">
        <f t="shared" si="20"/>
        <v>0</v>
      </c>
      <c r="AL48">
        <f t="shared" si="21"/>
        <v>43.24248</v>
      </c>
      <c r="AM48">
        <f t="shared" si="22"/>
        <v>40.056191999999996</v>
      </c>
    </row>
    <row r="49" spans="1:39" x14ac:dyDescent="0.25">
      <c r="A49" s="65" t="s">
        <v>10</v>
      </c>
      <c r="B49" s="61" t="s">
        <v>93</v>
      </c>
      <c r="C49" s="61">
        <v>12.1</v>
      </c>
      <c r="D49" s="61">
        <v>86.9</v>
      </c>
      <c r="E49" s="74">
        <v>0</v>
      </c>
      <c r="F49" s="74">
        <v>0</v>
      </c>
      <c r="G49" s="61">
        <v>3.49</v>
      </c>
      <c r="H49" s="61">
        <v>96.5</v>
      </c>
      <c r="I49" s="74">
        <v>0</v>
      </c>
      <c r="J49" s="74">
        <v>0</v>
      </c>
      <c r="K49" s="74">
        <v>0</v>
      </c>
      <c r="L49" s="61">
        <v>26.5</v>
      </c>
      <c r="M49" s="61">
        <v>2.41</v>
      </c>
      <c r="N49" s="66">
        <v>99</v>
      </c>
      <c r="O49" s="67">
        <f t="shared" si="83"/>
        <v>11.978999999999999</v>
      </c>
      <c r="P49" s="67">
        <f t="shared" si="84"/>
        <v>86.031000000000006</v>
      </c>
      <c r="Q49" s="67">
        <f t="shared" ref="Q49:R49" si="120">E49*P49</f>
        <v>0</v>
      </c>
      <c r="R49" s="67">
        <f t="shared" si="120"/>
        <v>0</v>
      </c>
      <c r="S49" s="67">
        <f t="shared" si="86"/>
        <v>3.0024819000000003</v>
      </c>
      <c r="T49" s="67">
        <f t="shared" si="87"/>
        <v>83.019914999999997</v>
      </c>
      <c r="U49" s="67">
        <f t="shared" ref="U49:W49" si="121">I49*T49</f>
        <v>0</v>
      </c>
      <c r="V49" s="67">
        <f t="shared" si="121"/>
        <v>0</v>
      </c>
      <c r="W49" s="67">
        <f t="shared" si="121"/>
        <v>0</v>
      </c>
      <c r="X49" s="67">
        <f t="shared" si="89"/>
        <v>22.000277474999997</v>
      </c>
      <c r="Y49" s="67">
        <f t="shared" si="90"/>
        <v>2.0007799514999998</v>
      </c>
      <c r="Z49" s="61" t="str">
        <f t="shared" si="91"/>
        <v>S</v>
      </c>
      <c r="AA49" s="68">
        <f t="shared" si="9"/>
        <v>6.6293566200796095</v>
      </c>
      <c r="AB49" s="52" t="s">
        <v>170</v>
      </c>
      <c r="AC49">
        <f t="shared" si="12"/>
        <v>12.1</v>
      </c>
      <c r="AD49">
        <f t="shared" si="13"/>
        <v>86.9</v>
      </c>
      <c r="AE49">
        <f t="shared" si="14"/>
        <v>0</v>
      </c>
      <c r="AF49">
        <f t="shared" si="15"/>
        <v>0</v>
      </c>
      <c r="AG49">
        <f t="shared" si="16"/>
        <v>3.0328100000000004</v>
      </c>
      <c r="AH49">
        <f t="shared" si="17"/>
        <v>83.858500000000006</v>
      </c>
      <c r="AI49">
        <f t="shared" si="18"/>
        <v>0</v>
      </c>
      <c r="AJ49">
        <f t="shared" si="19"/>
        <v>0</v>
      </c>
      <c r="AK49">
        <f t="shared" si="20"/>
        <v>0</v>
      </c>
      <c r="AL49">
        <f t="shared" si="21"/>
        <v>22.222502499999997</v>
      </c>
      <c r="AM49">
        <f t="shared" si="22"/>
        <v>2.0209898499999999</v>
      </c>
    </row>
    <row r="50" spans="1:39" x14ac:dyDescent="0.25">
      <c r="A50" s="65" t="s">
        <v>10</v>
      </c>
      <c r="B50" s="61" t="s">
        <v>94</v>
      </c>
      <c r="C50" s="61">
        <v>0.92</v>
      </c>
      <c r="D50" s="61">
        <v>91.6</v>
      </c>
      <c r="E50" s="74">
        <v>0</v>
      </c>
      <c r="F50" s="74">
        <v>0</v>
      </c>
      <c r="G50" s="61">
        <v>1.28</v>
      </c>
      <c r="H50" s="61">
        <v>98.4</v>
      </c>
      <c r="I50" s="74">
        <v>0</v>
      </c>
      <c r="J50" s="74">
        <v>0</v>
      </c>
      <c r="K50" s="74">
        <v>0</v>
      </c>
      <c r="L50" s="61">
        <v>38</v>
      </c>
      <c r="M50" s="61">
        <v>53.5</v>
      </c>
      <c r="N50" s="66">
        <v>1197</v>
      </c>
      <c r="O50" s="67">
        <f t="shared" si="83"/>
        <v>11.0124</v>
      </c>
      <c r="P50" s="67">
        <f t="shared" si="84"/>
        <v>1096.452</v>
      </c>
      <c r="Q50" s="67">
        <f t="shared" ref="Q50:R50" si="122">E50*P50</f>
        <v>0</v>
      </c>
      <c r="R50" s="67">
        <f t="shared" si="122"/>
        <v>0</v>
      </c>
      <c r="S50" s="67">
        <f t="shared" si="86"/>
        <v>14.0345856</v>
      </c>
      <c r="T50" s="67">
        <f t="shared" si="87"/>
        <v>1078.9087680000002</v>
      </c>
      <c r="U50" s="67">
        <f t="shared" ref="U50:W50" si="123">I50*T50</f>
        <v>0</v>
      </c>
      <c r="V50" s="67">
        <f t="shared" si="123"/>
        <v>0</v>
      </c>
      <c r="W50" s="67">
        <f t="shared" si="123"/>
        <v>0</v>
      </c>
      <c r="X50" s="67">
        <f t="shared" si="89"/>
        <v>409.98533184000007</v>
      </c>
      <c r="Y50" s="67">
        <f t="shared" si="90"/>
        <v>577.21619088000011</v>
      </c>
      <c r="Z50" s="61" t="str">
        <f t="shared" si="91"/>
        <v>L</v>
      </c>
      <c r="AA50" s="68">
        <f t="shared" si="9"/>
        <v>10.225207436943501</v>
      </c>
      <c r="AB50" s="52" t="s">
        <v>170</v>
      </c>
      <c r="AC50">
        <f t="shared" si="12"/>
        <v>0.91999999999999993</v>
      </c>
      <c r="AD50">
        <f t="shared" si="13"/>
        <v>91.600000000000009</v>
      </c>
      <c r="AE50">
        <f t="shared" si="14"/>
        <v>0</v>
      </c>
      <c r="AF50">
        <f t="shared" si="15"/>
        <v>0</v>
      </c>
      <c r="AG50">
        <f t="shared" si="16"/>
        <v>1.17248</v>
      </c>
      <c r="AH50">
        <f t="shared" si="17"/>
        <v>90.134400000000014</v>
      </c>
      <c r="AI50">
        <f t="shared" si="18"/>
        <v>0</v>
      </c>
      <c r="AJ50">
        <f t="shared" si="19"/>
        <v>0</v>
      </c>
      <c r="AK50">
        <f t="shared" si="20"/>
        <v>0</v>
      </c>
      <c r="AL50">
        <f t="shared" si="21"/>
        <v>34.251072000000008</v>
      </c>
      <c r="AM50">
        <f t="shared" si="22"/>
        <v>48.221904000000009</v>
      </c>
    </row>
    <row r="51" spans="1:39" x14ac:dyDescent="0.25">
      <c r="A51" s="65" t="s">
        <v>46</v>
      </c>
      <c r="B51" s="61" t="s">
        <v>72</v>
      </c>
      <c r="C51" s="61">
        <v>0.37</v>
      </c>
      <c r="D51" s="61">
        <v>99.6</v>
      </c>
      <c r="E51" s="74">
        <v>0</v>
      </c>
      <c r="F51" s="74">
        <v>0</v>
      </c>
      <c r="G51" s="61">
        <v>1.87</v>
      </c>
      <c r="H51" s="61">
        <v>97.9</v>
      </c>
      <c r="I51" s="74">
        <v>0</v>
      </c>
      <c r="J51" s="74">
        <v>0</v>
      </c>
      <c r="K51" s="74">
        <v>0</v>
      </c>
      <c r="L51" s="61">
        <v>8.2200000000000006</v>
      </c>
      <c r="M51" s="61">
        <v>1.1499999999999999</v>
      </c>
      <c r="N51" s="66">
        <v>536</v>
      </c>
      <c r="O51" s="67">
        <f t="shared" si="83"/>
        <v>1.9831999999999999</v>
      </c>
      <c r="P51" s="67">
        <f t="shared" si="84"/>
        <v>533.85599999999999</v>
      </c>
      <c r="Q51" s="67">
        <f t="shared" ref="Q51:R51" si="124">E51*P51</f>
        <v>0</v>
      </c>
      <c r="R51" s="67">
        <f t="shared" si="124"/>
        <v>0</v>
      </c>
      <c r="S51" s="67">
        <f t="shared" si="86"/>
        <v>9.983107200000001</v>
      </c>
      <c r="T51" s="67">
        <f t="shared" si="87"/>
        <v>522.64502400000003</v>
      </c>
      <c r="U51" s="67">
        <f t="shared" ref="U51:W51" si="125">I51*T51</f>
        <v>0</v>
      </c>
      <c r="V51" s="67">
        <f t="shared" si="125"/>
        <v>0</v>
      </c>
      <c r="W51" s="67">
        <f t="shared" si="125"/>
        <v>0</v>
      </c>
      <c r="X51" s="67">
        <f t="shared" si="89"/>
        <v>42.961420972800006</v>
      </c>
      <c r="Y51" s="67">
        <f t="shared" si="90"/>
        <v>6.0104177760000006</v>
      </c>
      <c r="Z51" s="61" t="str">
        <f t="shared" si="91"/>
        <v>M</v>
      </c>
      <c r="AA51" s="68">
        <f t="shared" si="9"/>
        <v>9.0660891904577721</v>
      </c>
      <c r="AB51" s="52" t="s">
        <v>170</v>
      </c>
      <c r="AC51">
        <f t="shared" si="12"/>
        <v>0.37</v>
      </c>
      <c r="AD51">
        <f t="shared" si="13"/>
        <v>99.6</v>
      </c>
      <c r="AE51">
        <f t="shared" si="14"/>
        <v>0</v>
      </c>
      <c r="AF51">
        <f t="shared" si="15"/>
        <v>0</v>
      </c>
      <c r="AG51">
        <f t="shared" si="16"/>
        <v>1.8625200000000002</v>
      </c>
      <c r="AH51">
        <f t="shared" si="17"/>
        <v>97.508400000000009</v>
      </c>
      <c r="AI51">
        <f t="shared" si="18"/>
        <v>0</v>
      </c>
      <c r="AJ51">
        <f t="shared" si="19"/>
        <v>0</v>
      </c>
      <c r="AK51">
        <f t="shared" si="20"/>
        <v>0</v>
      </c>
      <c r="AL51">
        <f t="shared" si="21"/>
        <v>8.0151904800000011</v>
      </c>
      <c r="AM51">
        <f t="shared" si="22"/>
        <v>1.1213466000000001</v>
      </c>
    </row>
    <row r="52" spans="1:39" x14ac:dyDescent="0.25">
      <c r="A52" s="65" t="s">
        <v>46</v>
      </c>
      <c r="B52" s="61" t="s">
        <v>11</v>
      </c>
      <c r="C52" s="61">
        <v>0.56000000000000005</v>
      </c>
      <c r="D52" s="61">
        <v>99</v>
      </c>
      <c r="E52" s="74">
        <v>0</v>
      </c>
      <c r="F52" s="74">
        <v>0</v>
      </c>
      <c r="G52" s="61">
        <v>0.68</v>
      </c>
      <c r="H52" s="61">
        <v>99.1</v>
      </c>
      <c r="I52" s="74">
        <v>0</v>
      </c>
      <c r="J52" s="74">
        <v>0</v>
      </c>
      <c r="K52" s="74">
        <v>0</v>
      </c>
      <c r="L52" s="61">
        <v>90.9</v>
      </c>
      <c r="M52" s="61">
        <v>0.23</v>
      </c>
      <c r="N52" s="66">
        <v>894</v>
      </c>
      <c r="O52" s="67">
        <f t="shared" si="83"/>
        <v>5.0064000000000002</v>
      </c>
      <c r="P52" s="67">
        <f t="shared" si="84"/>
        <v>885.06</v>
      </c>
      <c r="Q52" s="67">
        <f t="shared" ref="Q52:R52" si="126">E52*P52</f>
        <v>0</v>
      </c>
      <c r="R52" s="67">
        <f t="shared" si="126"/>
        <v>0</v>
      </c>
      <c r="S52" s="67">
        <f t="shared" si="86"/>
        <v>6.0184080000000009</v>
      </c>
      <c r="T52" s="67">
        <f t="shared" si="87"/>
        <v>877.09445999999991</v>
      </c>
      <c r="U52" s="67">
        <f t="shared" ref="U52:W52" si="127">I52*T52</f>
        <v>0</v>
      </c>
      <c r="V52" s="67">
        <f t="shared" si="127"/>
        <v>0</v>
      </c>
      <c r="W52" s="67">
        <f t="shared" si="127"/>
        <v>0</v>
      </c>
      <c r="X52" s="67">
        <f t="shared" si="89"/>
        <v>797.27886413999988</v>
      </c>
      <c r="Y52" s="67">
        <f t="shared" si="90"/>
        <v>2.0173172579999998</v>
      </c>
      <c r="Z52" s="61" t="str">
        <f t="shared" si="91"/>
        <v>M</v>
      </c>
      <c r="AA52" s="68">
        <f t="shared" si="9"/>
        <v>9.8041310211833181</v>
      </c>
      <c r="AB52" s="52" t="s">
        <v>170</v>
      </c>
      <c r="AC52">
        <f t="shared" si="12"/>
        <v>0.55999999999999994</v>
      </c>
      <c r="AD52">
        <f t="shared" si="13"/>
        <v>99</v>
      </c>
      <c r="AE52">
        <f t="shared" si="14"/>
        <v>0</v>
      </c>
      <c r="AF52">
        <f t="shared" si="15"/>
        <v>0</v>
      </c>
      <c r="AG52">
        <f t="shared" si="16"/>
        <v>0.67320000000000013</v>
      </c>
      <c r="AH52">
        <f t="shared" si="17"/>
        <v>98.108999999999995</v>
      </c>
      <c r="AI52">
        <f t="shared" si="18"/>
        <v>0</v>
      </c>
      <c r="AJ52">
        <f t="shared" si="19"/>
        <v>0</v>
      </c>
      <c r="AK52">
        <f t="shared" si="20"/>
        <v>0</v>
      </c>
      <c r="AL52">
        <f t="shared" si="21"/>
        <v>89.181080999999978</v>
      </c>
      <c r="AM52">
        <f t="shared" si="22"/>
        <v>0.22565069999999995</v>
      </c>
    </row>
    <row r="53" spans="1:39" x14ac:dyDescent="0.25">
      <c r="A53" s="65" t="s">
        <v>46</v>
      </c>
      <c r="B53" s="61" t="s">
        <v>179</v>
      </c>
      <c r="C53" s="61">
        <v>0.71</v>
      </c>
      <c r="D53" s="61">
        <v>98.2</v>
      </c>
      <c r="E53" s="74">
        <v>0</v>
      </c>
      <c r="F53" s="74">
        <v>0</v>
      </c>
      <c r="G53" s="61">
        <v>3.62</v>
      </c>
      <c r="H53" s="61">
        <v>96</v>
      </c>
      <c r="I53" s="74">
        <v>0</v>
      </c>
      <c r="J53" s="74">
        <v>0</v>
      </c>
      <c r="K53" s="74">
        <v>0</v>
      </c>
      <c r="L53" s="61">
        <v>46.4</v>
      </c>
      <c r="M53" s="61">
        <v>10.6</v>
      </c>
      <c r="N53" s="66">
        <v>281</v>
      </c>
      <c r="O53" s="67">
        <f t="shared" si="83"/>
        <v>1.9950999999999999</v>
      </c>
      <c r="P53" s="67">
        <f t="shared" si="84"/>
        <v>275.94200000000001</v>
      </c>
      <c r="Q53" s="67">
        <f t="shared" ref="Q53:R53" si="128">E53*P53</f>
        <v>0</v>
      </c>
      <c r="R53" s="67">
        <f t="shared" si="128"/>
        <v>0</v>
      </c>
      <c r="S53" s="67">
        <f t="shared" si="86"/>
        <v>9.9891004000000017</v>
      </c>
      <c r="T53" s="67">
        <f t="shared" si="87"/>
        <v>264.90431999999998</v>
      </c>
      <c r="U53" s="67">
        <f t="shared" ref="U53:W53" si="129">I53*T53</f>
        <v>0</v>
      </c>
      <c r="V53" s="67">
        <f t="shared" si="129"/>
        <v>0</v>
      </c>
      <c r="W53" s="67">
        <f t="shared" si="129"/>
        <v>0</v>
      </c>
      <c r="X53" s="67">
        <f t="shared" si="89"/>
        <v>122.91560447999998</v>
      </c>
      <c r="Y53" s="67">
        <f t="shared" si="90"/>
        <v>28.079857919999998</v>
      </c>
      <c r="Z53" s="61" t="str">
        <f t="shared" si="91"/>
        <v>M</v>
      </c>
      <c r="AA53" s="68">
        <f t="shared" si="9"/>
        <v>8.1344263202209266</v>
      </c>
      <c r="AB53" s="52" t="s">
        <v>170</v>
      </c>
      <c r="AC53">
        <f t="shared" si="12"/>
        <v>0.71</v>
      </c>
      <c r="AD53">
        <f t="shared" si="13"/>
        <v>98.2</v>
      </c>
      <c r="AE53">
        <f t="shared" si="14"/>
        <v>0</v>
      </c>
      <c r="AF53">
        <f t="shared" si="15"/>
        <v>0</v>
      </c>
      <c r="AG53">
        <f t="shared" si="16"/>
        <v>3.5548400000000009</v>
      </c>
      <c r="AH53">
        <f t="shared" si="17"/>
        <v>94.271999999999991</v>
      </c>
      <c r="AI53">
        <f t="shared" si="18"/>
        <v>0</v>
      </c>
      <c r="AJ53">
        <f t="shared" si="19"/>
        <v>0</v>
      </c>
      <c r="AK53">
        <f t="shared" si="20"/>
        <v>0</v>
      </c>
      <c r="AL53">
        <f t="shared" si="21"/>
        <v>43.742207999999991</v>
      </c>
      <c r="AM53">
        <f t="shared" si="22"/>
        <v>9.9928319999999999</v>
      </c>
    </row>
    <row r="54" spans="1:39" x14ac:dyDescent="0.25">
      <c r="A54" s="65" t="s">
        <v>46</v>
      </c>
      <c r="B54" s="61" t="s">
        <v>100</v>
      </c>
      <c r="C54" s="61">
        <v>0.21</v>
      </c>
      <c r="D54" s="61">
        <v>99.8</v>
      </c>
      <c r="E54" s="74">
        <v>0</v>
      </c>
      <c r="F54" s="74">
        <v>0</v>
      </c>
      <c r="G54" s="61">
        <v>0.73</v>
      </c>
      <c r="H54" s="61">
        <v>99.2</v>
      </c>
      <c r="I54" s="74">
        <v>0</v>
      </c>
      <c r="J54" s="74">
        <v>0</v>
      </c>
      <c r="K54" s="74">
        <v>0</v>
      </c>
      <c r="L54" s="61">
        <v>20.2</v>
      </c>
      <c r="M54" s="61">
        <v>1.48</v>
      </c>
      <c r="N54" s="66">
        <v>956</v>
      </c>
      <c r="O54" s="67">
        <f t="shared" si="83"/>
        <v>2.0076000000000001</v>
      </c>
      <c r="P54" s="67">
        <f t="shared" si="84"/>
        <v>954.08800000000008</v>
      </c>
      <c r="Q54" s="67">
        <f t="shared" ref="Q54:R54" si="130">E54*P54</f>
        <v>0</v>
      </c>
      <c r="R54" s="67">
        <f t="shared" si="130"/>
        <v>0</v>
      </c>
      <c r="S54" s="67">
        <f t="shared" si="86"/>
        <v>6.9648424000000002</v>
      </c>
      <c r="T54" s="67">
        <f t="shared" si="87"/>
        <v>946.45529600000009</v>
      </c>
      <c r="U54" s="67">
        <f t="shared" ref="U54:W54" si="131">I54*T54</f>
        <v>0</v>
      </c>
      <c r="V54" s="67">
        <f t="shared" si="131"/>
        <v>0</v>
      </c>
      <c r="W54" s="67">
        <f t="shared" si="131"/>
        <v>0</v>
      </c>
      <c r="X54" s="67">
        <f t="shared" si="89"/>
        <v>191.18396979200003</v>
      </c>
      <c r="Y54" s="67">
        <f t="shared" si="90"/>
        <v>14.007538380800002</v>
      </c>
      <c r="Z54" s="61" t="str">
        <f t="shared" si="91"/>
        <v>M</v>
      </c>
      <c r="AA54" s="68">
        <f t="shared" si="9"/>
        <v>9.9008668079807478</v>
      </c>
      <c r="AB54" s="52" t="s">
        <v>170</v>
      </c>
      <c r="AC54">
        <f t="shared" si="12"/>
        <v>0.21</v>
      </c>
      <c r="AD54">
        <f t="shared" si="13"/>
        <v>99.800000000000011</v>
      </c>
      <c r="AE54">
        <f t="shared" si="14"/>
        <v>0</v>
      </c>
      <c r="AF54">
        <f t="shared" si="15"/>
        <v>0</v>
      </c>
      <c r="AG54">
        <f t="shared" si="16"/>
        <v>0.72853999999999997</v>
      </c>
      <c r="AH54">
        <f t="shared" si="17"/>
        <v>99.00160000000001</v>
      </c>
      <c r="AI54">
        <f t="shared" si="18"/>
        <v>0</v>
      </c>
      <c r="AJ54">
        <f t="shared" si="19"/>
        <v>0</v>
      </c>
      <c r="AK54">
        <f t="shared" si="20"/>
        <v>0</v>
      </c>
      <c r="AL54">
        <f t="shared" si="21"/>
        <v>19.998323200000005</v>
      </c>
      <c r="AM54">
        <f t="shared" si="22"/>
        <v>1.46522368</v>
      </c>
    </row>
    <row r="55" spans="1:39" x14ac:dyDescent="0.25">
      <c r="A55" s="65" t="s">
        <v>46</v>
      </c>
      <c r="B55" s="61" t="s">
        <v>153</v>
      </c>
      <c r="C55" s="61">
        <v>0</v>
      </c>
      <c r="D55" s="61">
        <v>97.6</v>
      </c>
      <c r="E55" s="74">
        <v>0</v>
      </c>
      <c r="F55" s="74">
        <v>0</v>
      </c>
      <c r="G55" s="61">
        <v>1.62</v>
      </c>
      <c r="H55" s="61">
        <v>97.8</v>
      </c>
      <c r="I55" s="74">
        <v>0</v>
      </c>
      <c r="J55" s="74">
        <v>0</v>
      </c>
      <c r="K55" s="74">
        <v>0</v>
      </c>
      <c r="L55" s="61">
        <v>71.3</v>
      </c>
      <c r="M55" s="61">
        <v>14.6</v>
      </c>
      <c r="N55" s="66">
        <v>698</v>
      </c>
      <c r="O55" s="67">
        <f t="shared" si="83"/>
        <v>0</v>
      </c>
      <c r="P55" s="67">
        <f t="shared" si="84"/>
        <v>681.24800000000005</v>
      </c>
      <c r="Q55" s="67">
        <f t="shared" ref="Q55:R55" si="132">E55*P55</f>
        <v>0</v>
      </c>
      <c r="R55" s="67">
        <f t="shared" si="132"/>
        <v>0</v>
      </c>
      <c r="S55" s="67">
        <f t="shared" si="86"/>
        <v>11.036217600000002</v>
      </c>
      <c r="T55" s="67">
        <f t="shared" si="87"/>
        <v>666.2605440000001</v>
      </c>
      <c r="U55" s="67">
        <f t="shared" ref="U55:W55" si="133">I55*T55</f>
        <v>0</v>
      </c>
      <c r="V55" s="67">
        <f t="shared" si="133"/>
        <v>0</v>
      </c>
      <c r="W55" s="67">
        <f t="shared" si="133"/>
        <v>0</v>
      </c>
      <c r="X55" s="67">
        <f t="shared" si="89"/>
        <v>475.04376787200005</v>
      </c>
      <c r="Y55" s="67">
        <f t="shared" si="90"/>
        <v>97.274039424000023</v>
      </c>
      <c r="Z55" s="61" t="str">
        <f t="shared" si="91"/>
        <v>M</v>
      </c>
      <c r="AA55" s="68">
        <f t="shared" si="9"/>
        <v>9.4470832262096529</v>
      </c>
      <c r="AB55" s="52" t="s">
        <v>170</v>
      </c>
      <c r="AC55">
        <f t="shared" si="12"/>
        <v>0</v>
      </c>
      <c r="AD55">
        <f t="shared" si="13"/>
        <v>97.600000000000009</v>
      </c>
      <c r="AE55">
        <f t="shared" si="14"/>
        <v>0</v>
      </c>
      <c r="AF55">
        <f t="shared" si="15"/>
        <v>0</v>
      </c>
      <c r="AG55">
        <f t="shared" si="16"/>
        <v>1.5811200000000005</v>
      </c>
      <c r="AH55">
        <f t="shared" si="17"/>
        <v>95.452800000000011</v>
      </c>
      <c r="AI55">
        <f t="shared" si="18"/>
        <v>0</v>
      </c>
      <c r="AJ55">
        <f t="shared" si="19"/>
        <v>0</v>
      </c>
      <c r="AK55">
        <f t="shared" si="20"/>
        <v>0</v>
      </c>
      <c r="AL55">
        <f t="shared" si="21"/>
        <v>68.057846400000017</v>
      </c>
      <c r="AM55">
        <f t="shared" si="22"/>
        <v>13.936108800000003</v>
      </c>
    </row>
    <row r="56" spans="1:39" x14ac:dyDescent="0.25">
      <c r="A56" s="65" t="s">
        <v>46</v>
      </c>
      <c r="B56" s="61" t="s">
        <v>101</v>
      </c>
      <c r="C56" s="61">
        <v>0.15</v>
      </c>
      <c r="D56" s="61">
        <v>97.2</v>
      </c>
      <c r="E56" s="74">
        <v>0</v>
      </c>
      <c r="F56" s="74">
        <v>0</v>
      </c>
      <c r="G56" s="61">
        <v>4.93</v>
      </c>
      <c r="H56" s="61">
        <v>92.1</v>
      </c>
      <c r="I56" s="74">
        <v>0</v>
      </c>
      <c r="J56" s="74">
        <v>0</v>
      </c>
      <c r="K56" s="74">
        <v>0</v>
      </c>
      <c r="L56" s="61">
        <v>39.1</v>
      </c>
      <c r="M56" s="61">
        <v>44.9</v>
      </c>
      <c r="N56" s="66">
        <v>689</v>
      </c>
      <c r="O56" s="67">
        <f t="shared" si="83"/>
        <v>1.0334999999999999</v>
      </c>
      <c r="P56" s="67">
        <f t="shared" si="84"/>
        <v>669.70800000000008</v>
      </c>
      <c r="Q56" s="67">
        <f t="shared" ref="Q56:R56" si="134">E56*P56</f>
        <v>0</v>
      </c>
      <c r="R56" s="67">
        <f t="shared" si="134"/>
        <v>0</v>
      </c>
      <c r="S56" s="67">
        <f t="shared" si="86"/>
        <v>33.016604399999999</v>
      </c>
      <c r="T56" s="67">
        <f t="shared" si="87"/>
        <v>616.80106799999999</v>
      </c>
      <c r="U56" s="67">
        <f t="shared" ref="U56:W56" si="135">I56*T56</f>
        <v>0</v>
      </c>
      <c r="V56" s="67">
        <f t="shared" si="135"/>
        <v>0</v>
      </c>
      <c r="W56" s="67">
        <f t="shared" si="135"/>
        <v>0</v>
      </c>
      <c r="X56" s="67">
        <f t="shared" si="89"/>
        <v>241.16921758799998</v>
      </c>
      <c r="Y56" s="67">
        <f t="shared" si="90"/>
        <v>276.94367953199998</v>
      </c>
      <c r="Z56" s="61" t="str">
        <f t="shared" si="91"/>
        <v>M</v>
      </c>
      <c r="AA56" s="68">
        <f t="shared" si="9"/>
        <v>9.4283601727042914</v>
      </c>
      <c r="AB56" s="52" t="s">
        <v>170</v>
      </c>
      <c r="AC56">
        <f t="shared" si="12"/>
        <v>0.15</v>
      </c>
      <c r="AD56">
        <f t="shared" si="13"/>
        <v>97.2</v>
      </c>
      <c r="AE56">
        <f t="shared" si="14"/>
        <v>0</v>
      </c>
      <c r="AF56">
        <f t="shared" si="15"/>
        <v>0</v>
      </c>
      <c r="AG56">
        <f t="shared" si="16"/>
        <v>4.7919599999999996</v>
      </c>
      <c r="AH56">
        <f t="shared" si="17"/>
        <v>89.521200000000007</v>
      </c>
      <c r="AI56">
        <f t="shared" si="18"/>
        <v>0</v>
      </c>
      <c r="AJ56">
        <f t="shared" si="19"/>
        <v>0</v>
      </c>
      <c r="AK56">
        <f t="shared" si="20"/>
        <v>0</v>
      </c>
      <c r="AL56">
        <f t="shared" si="21"/>
        <v>35.002789199999995</v>
      </c>
      <c r="AM56">
        <f t="shared" si="22"/>
        <v>40.1950188</v>
      </c>
    </row>
    <row r="57" spans="1:39" x14ac:dyDescent="0.25">
      <c r="A57" s="65" t="s">
        <v>46</v>
      </c>
      <c r="B57" s="61" t="s">
        <v>109</v>
      </c>
      <c r="C57" s="61">
        <v>8.14</v>
      </c>
      <c r="D57" s="61">
        <v>90.8</v>
      </c>
      <c r="E57" s="74">
        <v>0</v>
      </c>
      <c r="F57" s="74">
        <v>0</v>
      </c>
      <c r="G57" s="61">
        <v>9.93</v>
      </c>
      <c r="H57" s="61">
        <v>89.7</v>
      </c>
      <c r="I57" s="74">
        <v>0</v>
      </c>
      <c r="J57" s="74">
        <v>0</v>
      </c>
      <c r="K57" s="74">
        <v>0</v>
      </c>
      <c r="L57" s="61">
        <v>72.400000000000006</v>
      </c>
      <c r="M57" s="61">
        <v>3.07</v>
      </c>
      <c r="N57" s="66">
        <v>1719</v>
      </c>
      <c r="O57" s="67">
        <f t="shared" si="83"/>
        <v>139.92660000000001</v>
      </c>
      <c r="P57" s="67">
        <f t="shared" si="84"/>
        <v>1560.8519999999999</v>
      </c>
      <c r="Q57" s="67">
        <f t="shared" ref="Q57:R57" si="136">E57*P57</f>
        <v>0</v>
      </c>
      <c r="R57" s="67">
        <f t="shared" si="136"/>
        <v>0</v>
      </c>
      <c r="S57" s="67">
        <f t="shared" si="86"/>
        <v>154.9926036</v>
      </c>
      <c r="T57" s="67">
        <f t="shared" si="87"/>
        <v>1400.0842439999999</v>
      </c>
      <c r="U57" s="67">
        <f t="shared" ref="U57:W57" si="137">I57*T57</f>
        <v>0</v>
      </c>
      <c r="V57" s="67">
        <f t="shared" si="137"/>
        <v>0</v>
      </c>
      <c r="W57" s="67">
        <f t="shared" si="137"/>
        <v>0</v>
      </c>
      <c r="X57" s="67">
        <f t="shared" si="89"/>
        <v>1013.660992656</v>
      </c>
      <c r="Y57" s="67">
        <f t="shared" si="90"/>
        <v>42.982586290799993</v>
      </c>
      <c r="Z57" s="61" t="str">
        <f t="shared" si="91"/>
        <v>L</v>
      </c>
      <c r="AA57" s="68">
        <f t="shared" si="9"/>
        <v>10.747353829478062</v>
      </c>
      <c r="AB57" s="52" t="s">
        <v>170</v>
      </c>
      <c r="AC57">
        <f t="shared" si="12"/>
        <v>8.14</v>
      </c>
      <c r="AD57">
        <f t="shared" si="13"/>
        <v>90.8</v>
      </c>
      <c r="AE57">
        <f t="shared" si="14"/>
        <v>0</v>
      </c>
      <c r="AF57">
        <f t="shared" si="15"/>
        <v>0</v>
      </c>
      <c r="AG57">
        <f t="shared" si="16"/>
        <v>9.0164399999999993</v>
      </c>
      <c r="AH57">
        <f t="shared" si="17"/>
        <v>81.447599999999994</v>
      </c>
      <c r="AI57">
        <f t="shared" si="18"/>
        <v>0</v>
      </c>
      <c r="AJ57">
        <f t="shared" si="19"/>
        <v>0</v>
      </c>
      <c r="AK57">
        <f t="shared" si="20"/>
        <v>0</v>
      </c>
      <c r="AL57">
        <f t="shared" si="21"/>
        <v>58.968062400000001</v>
      </c>
      <c r="AM57">
        <f t="shared" si="22"/>
        <v>2.5004413199999997</v>
      </c>
    </row>
    <row r="58" spans="1:39" x14ac:dyDescent="0.25">
      <c r="A58" s="65" t="s">
        <v>46</v>
      </c>
      <c r="B58" s="61" t="s">
        <v>154</v>
      </c>
      <c r="C58" s="61">
        <v>0.11</v>
      </c>
      <c r="D58" s="61">
        <v>96.2</v>
      </c>
      <c r="E58" s="74">
        <v>0</v>
      </c>
      <c r="F58" s="74">
        <v>0</v>
      </c>
      <c r="G58" s="61">
        <v>0.82</v>
      </c>
      <c r="H58" s="61">
        <v>98.8</v>
      </c>
      <c r="I58" s="74">
        <v>0</v>
      </c>
      <c r="J58" s="74">
        <v>0</v>
      </c>
      <c r="K58" s="74">
        <v>0</v>
      </c>
      <c r="L58" s="61">
        <v>69.099999999999994</v>
      </c>
      <c r="M58" s="61">
        <v>22.6</v>
      </c>
      <c r="N58" s="66">
        <v>2653</v>
      </c>
      <c r="O58" s="67">
        <f t="shared" si="83"/>
        <v>2.9182999999999999</v>
      </c>
      <c r="P58" s="67">
        <f t="shared" si="84"/>
        <v>2552.1860000000001</v>
      </c>
      <c r="Q58" s="67">
        <f t="shared" ref="Q58:R58" si="138">E58*P58</f>
        <v>0</v>
      </c>
      <c r="R58" s="67">
        <f t="shared" si="138"/>
        <v>0</v>
      </c>
      <c r="S58" s="67">
        <f t="shared" si="86"/>
        <v>20.927925200000001</v>
      </c>
      <c r="T58" s="67">
        <f t="shared" si="87"/>
        <v>2521.5597680000001</v>
      </c>
      <c r="U58" s="67">
        <f t="shared" ref="U58:W58" si="139">I58*T58</f>
        <v>0</v>
      </c>
      <c r="V58" s="67">
        <f t="shared" si="139"/>
        <v>0</v>
      </c>
      <c r="W58" s="67">
        <f t="shared" si="139"/>
        <v>0</v>
      </c>
      <c r="X58" s="67">
        <f t="shared" si="89"/>
        <v>1742.3977996879998</v>
      </c>
      <c r="Y58" s="67">
        <f t="shared" si="90"/>
        <v>569.87250756800006</v>
      </c>
      <c r="Z58" s="61" t="str">
        <f t="shared" si="91"/>
        <v>L</v>
      </c>
      <c r="AA58" s="68">
        <f t="shared" si="9"/>
        <v>11.373408960228696</v>
      </c>
      <c r="AB58" s="52" t="s">
        <v>170</v>
      </c>
      <c r="AC58">
        <f t="shared" si="12"/>
        <v>0.11</v>
      </c>
      <c r="AD58">
        <f t="shared" si="13"/>
        <v>96.2</v>
      </c>
      <c r="AE58">
        <f t="shared" si="14"/>
        <v>0</v>
      </c>
      <c r="AF58">
        <f t="shared" si="15"/>
        <v>0</v>
      </c>
      <c r="AG58">
        <f t="shared" si="16"/>
        <v>0.78883999999999999</v>
      </c>
      <c r="AH58">
        <f t="shared" si="17"/>
        <v>95.045600000000007</v>
      </c>
      <c r="AI58">
        <f t="shared" si="18"/>
        <v>0</v>
      </c>
      <c r="AJ58">
        <f t="shared" si="19"/>
        <v>0</v>
      </c>
      <c r="AK58">
        <f t="shared" si="20"/>
        <v>0</v>
      </c>
      <c r="AL58">
        <f t="shared" si="21"/>
        <v>65.676509600000003</v>
      </c>
      <c r="AM58">
        <f t="shared" si="22"/>
        <v>21.480305600000001</v>
      </c>
    </row>
    <row r="59" spans="1:39" x14ac:dyDescent="0.25">
      <c r="A59" s="65" t="s">
        <v>46</v>
      </c>
      <c r="B59" s="61" t="s">
        <v>110</v>
      </c>
      <c r="C59" s="61">
        <v>0.69</v>
      </c>
      <c r="D59" s="61">
        <v>98.6</v>
      </c>
      <c r="E59" s="74">
        <v>0</v>
      </c>
      <c r="F59" s="74">
        <v>0</v>
      </c>
      <c r="G59" s="61">
        <v>2.8</v>
      </c>
      <c r="H59" s="61">
        <v>96.9</v>
      </c>
      <c r="I59" s="74">
        <v>0</v>
      </c>
      <c r="J59" s="74">
        <v>0</v>
      </c>
      <c r="K59" s="74">
        <v>0</v>
      </c>
      <c r="L59" s="61">
        <v>10.5</v>
      </c>
      <c r="M59" s="61">
        <v>4.6900000000000004</v>
      </c>
      <c r="N59" s="66">
        <v>290</v>
      </c>
      <c r="O59" s="67">
        <f t="shared" si="83"/>
        <v>2.0009999999999999</v>
      </c>
      <c r="P59" s="67">
        <f t="shared" si="84"/>
        <v>285.94</v>
      </c>
      <c r="Q59" s="67">
        <f t="shared" ref="Q59:R59" si="140">E59*P59</f>
        <v>0</v>
      </c>
      <c r="R59" s="67">
        <f t="shared" si="140"/>
        <v>0</v>
      </c>
      <c r="S59" s="67">
        <f t="shared" si="86"/>
        <v>8.0063199999999988</v>
      </c>
      <c r="T59" s="67">
        <f t="shared" si="87"/>
        <v>277.07586000000003</v>
      </c>
      <c r="U59" s="67">
        <f t="shared" ref="U59:W59" si="141">I59*T59</f>
        <v>0</v>
      </c>
      <c r="V59" s="67">
        <f t="shared" si="141"/>
        <v>0</v>
      </c>
      <c r="W59" s="67">
        <f t="shared" si="141"/>
        <v>0</v>
      </c>
      <c r="X59" s="67">
        <f t="shared" si="89"/>
        <v>29.092965300000007</v>
      </c>
      <c r="Y59" s="67">
        <f t="shared" si="90"/>
        <v>12.994857834000001</v>
      </c>
      <c r="Z59" s="61" t="str">
        <f t="shared" si="91"/>
        <v>M</v>
      </c>
      <c r="AA59" s="68">
        <f t="shared" si="9"/>
        <v>8.1799090900149345</v>
      </c>
      <c r="AB59" s="52" t="s">
        <v>170</v>
      </c>
      <c r="AC59">
        <f t="shared" si="12"/>
        <v>0.69</v>
      </c>
      <c r="AD59">
        <f t="shared" si="13"/>
        <v>98.6</v>
      </c>
      <c r="AE59">
        <f t="shared" si="14"/>
        <v>0</v>
      </c>
      <c r="AF59">
        <f t="shared" si="15"/>
        <v>0</v>
      </c>
      <c r="AG59">
        <f t="shared" si="16"/>
        <v>2.7607999999999997</v>
      </c>
      <c r="AH59">
        <f t="shared" si="17"/>
        <v>95.543400000000005</v>
      </c>
      <c r="AI59">
        <f t="shared" si="18"/>
        <v>0</v>
      </c>
      <c r="AJ59">
        <f t="shared" si="19"/>
        <v>0</v>
      </c>
      <c r="AK59">
        <f t="shared" si="20"/>
        <v>0</v>
      </c>
      <c r="AL59">
        <f t="shared" si="21"/>
        <v>10.032057000000002</v>
      </c>
      <c r="AM59">
        <f t="shared" si="22"/>
        <v>4.4809854600000003</v>
      </c>
    </row>
    <row r="60" spans="1:39" x14ac:dyDescent="0.25">
      <c r="A60" s="65" t="s">
        <v>46</v>
      </c>
      <c r="B60" s="61" t="s">
        <v>82</v>
      </c>
      <c r="C60" s="61">
        <v>42.6</v>
      </c>
      <c r="D60" s="61">
        <v>55.9</v>
      </c>
      <c r="E60" s="74">
        <v>0</v>
      </c>
      <c r="F60" s="74">
        <v>0</v>
      </c>
      <c r="G60" s="61">
        <v>3.17</v>
      </c>
      <c r="H60" s="61">
        <v>96.8</v>
      </c>
      <c r="I60" s="74">
        <v>0</v>
      </c>
      <c r="J60" s="74">
        <v>0</v>
      </c>
      <c r="K60" s="74">
        <v>0</v>
      </c>
      <c r="L60" s="61">
        <v>59.6</v>
      </c>
      <c r="M60" s="61">
        <v>0</v>
      </c>
      <c r="N60" s="66">
        <v>338</v>
      </c>
      <c r="O60" s="67">
        <f t="shared" si="83"/>
        <v>143.988</v>
      </c>
      <c r="P60" s="67">
        <f t="shared" si="84"/>
        <v>188.94200000000001</v>
      </c>
      <c r="Q60" s="67">
        <f t="shared" ref="Q60:R60" si="142">E60*P60</f>
        <v>0</v>
      </c>
      <c r="R60" s="67">
        <f t="shared" si="142"/>
        <v>0</v>
      </c>
      <c r="S60" s="67">
        <f t="shared" si="86"/>
        <v>5.9894613999999997</v>
      </c>
      <c r="T60" s="67">
        <f t="shared" si="87"/>
        <v>182.89585599999998</v>
      </c>
      <c r="U60" s="67">
        <f t="shared" ref="U60:W60" si="143">I60*T60</f>
        <v>0</v>
      </c>
      <c r="V60" s="67">
        <f t="shared" si="143"/>
        <v>0</v>
      </c>
      <c r="W60" s="67">
        <f t="shared" si="143"/>
        <v>0</v>
      </c>
      <c r="X60" s="67">
        <f t="shared" si="89"/>
        <v>109.00593017599998</v>
      </c>
      <c r="Y60" s="67">
        <f t="shared" si="90"/>
        <v>0</v>
      </c>
      <c r="Z60" s="61" t="str">
        <f t="shared" si="91"/>
        <v>M</v>
      </c>
      <c r="AA60" s="68">
        <f t="shared" si="9"/>
        <v>8.4008794362821853</v>
      </c>
      <c r="AB60" s="52" t="s">
        <v>170</v>
      </c>
      <c r="AC60">
        <f t="shared" si="12"/>
        <v>42.6</v>
      </c>
      <c r="AD60">
        <f t="shared" si="13"/>
        <v>55.900000000000006</v>
      </c>
      <c r="AE60">
        <f t="shared" si="14"/>
        <v>0</v>
      </c>
      <c r="AF60">
        <f t="shared" si="15"/>
        <v>0</v>
      </c>
      <c r="AG60">
        <f t="shared" si="16"/>
        <v>1.7720299999999998</v>
      </c>
      <c r="AH60">
        <f t="shared" si="17"/>
        <v>54.11119999999999</v>
      </c>
      <c r="AI60">
        <f t="shared" si="18"/>
        <v>0</v>
      </c>
      <c r="AJ60">
        <f t="shared" si="19"/>
        <v>0</v>
      </c>
      <c r="AK60">
        <f t="shared" si="20"/>
        <v>0</v>
      </c>
      <c r="AL60">
        <f t="shared" si="21"/>
        <v>32.250275199999997</v>
      </c>
      <c r="AM60">
        <f t="shared" si="22"/>
        <v>0</v>
      </c>
    </row>
    <row r="61" spans="1:39" x14ac:dyDescent="0.25">
      <c r="A61" s="65" t="s">
        <v>46</v>
      </c>
      <c r="B61" s="61" t="s">
        <v>126</v>
      </c>
      <c r="C61" s="61">
        <v>0.83</v>
      </c>
      <c r="D61" s="61">
        <v>97.8</v>
      </c>
      <c r="E61" s="74">
        <v>0</v>
      </c>
      <c r="F61" s="74">
        <v>0</v>
      </c>
      <c r="G61" s="61">
        <v>0.85</v>
      </c>
      <c r="H61" s="61">
        <v>99.2</v>
      </c>
      <c r="I61" s="74">
        <v>0</v>
      </c>
      <c r="J61" s="74">
        <v>0</v>
      </c>
      <c r="K61" s="74">
        <v>0</v>
      </c>
      <c r="L61" s="61">
        <v>4.13</v>
      </c>
      <c r="M61" s="61">
        <v>7.83</v>
      </c>
      <c r="N61" s="66">
        <v>724</v>
      </c>
      <c r="O61" s="67">
        <f t="shared" si="83"/>
        <v>6.0091999999999999</v>
      </c>
      <c r="P61" s="67">
        <f t="shared" si="84"/>
        <v>708.072</v>
      </c>
      <c r="Q61" s="67">
        <f t="shared" ref="Q61:R61" si="144">E61*P61</f>
        <v>0</v>
      </c>
      <c r="R61" s="67">
        <f t="shared" si="144"/>
        <v>0</v>
      </c>
      <c r="S61" s="67">
        <f t="shared" si="86"/>
        <v>6.0186119999999992</v>
      </c>
      <c r="T61" s="67">
        <f t="shared" si="87"/>
        <v>702.40742399999999</v>
      </c>
      <c r="U61" s="67">
        <f t="shared" ref="U61:W61" si="145">I61*T61</f>
        <v>0</v>
      </c>
      <c r="V61" s="67">
        <f t="shared" si="145"/>
        <v>0</v>
      </c>
      <c r="W61" s="67">
        <f t="shared" si="145"/>
        <v>0</v>
      </c>
      <c r="X61" s="67">
        <f t="shared" si="89"/>
        <v>29.009426611199999</v>
      </c>
      <c r="Y61" s="67">
        <f t="shared" si="90"/>
        <v>54.998501299200001</v>
      </c>
      <c r="Z61" s="61" t="str">
        <f t="shared" si="91"/>
        <v>M</v>
      </c>
      <c r="AA61" s="68">
        <f t="shared" si="9"/>
        <v>9.4998458870832057</v>
      </c>
      <c r="AB61" s="52" t="s">
        <v>170</v>
      </c>
      <c r="AC61">
        <f t="shared" si="12"/>
        <v>0.83</v>
      </c>
      <c r="AD61">
        <f t="shared" si="13"/>
        <v>97.8</v>
      </c>
      <c r="AE61">
        <f t="shared" si="14"/>
        <v>0</v>
      </c>
      <c r="AF61">
        <f t="shared" si="15"/>
        <v>0</v>
      </c>
      <c r="AG61">
        <f t="shared" si="16"/>
        <v>0.83129999999999993</v>
      </c>
      <c r="AH61">
        <f t="shared" si="17"/>
        <v>97.017600000000002</v>
      </c>
      <c r="AI61">
        <f t="shared" si="18"/>
        <v>0</v>
      </c>
      <c r="AJ61">
        <f t="shared" si="19"/>
        <v>0</v>
      </c>
      <c r="AK61">
        <f t="shared" si="20"/>
        <v>0</v>
      </c>
      <c r="AL61">
        <f t="shared" si="21"/>
        <v>4.0068268800000002</v>
      </c>
      <c r="AM61">
        <f t="shared" si="22"/>
        <v>7.5964780800000007</v>
      </c>
    </row>
    <row r="62" spans="1:39" x14ac:dyDescent="0.25">
      <c r="A62" s="65" t="s">
        <v>46</v>
      </c>
      <c r="B62" s="61" t="s">
        <v>127</v>
      </c>
      <c r="C62" s="61">
        <v>1.7</v>
      </c>
      <c r="D62" s="61">
        <v>97.7</v>
      </c>
      <c r="E62" s="74">
        <v>0</v>
      </c>
      <c r="F62" s="74">
        <v>0</v>
      </c>
      <c r="G62" s="61">
        <v>2.91</v>
      </c>
      <c r="H62" s="61">
        <v>96.5</v>
      </c>
      <c r="I62" s="74">
        <v>0</v>
      </c>
      <c r="J62" s="74">
        <v>0</v>
      </c>
      <c r="K62" s="74">
        <v>0</v>
      </c>
      <c r="L62" s="61">
        <v>2.41</v>
      </c>
      <c r="M62" s="61">
        <v>1.2</v>
      </c>
      <c r="N62" s="66">
        <v>176</v>
      </c>
      <c r="O62" s="67">
        <f t="shared" si="83"/>
        <v>2.992</v>
      </c>
      <c r="P62" s="67">
        <f t="shared" si="84"/>
        <v>171.952</v>
      </c>
      <c r="Q62" s="67">
        <f t="shared" ref="Q62:R62" si="146">E62*P62</f>
        <v>0</v>
      </c>
      <c r="R62" s="67">
        <f t="shared" si="146"/>
        <v>0</v>
      </c>
      <c r="S62" s="67">
        <f t="shared" si="86"/>
        <v>5.0038032000000001</v>
      </c>
      <c r="T62" s="67">
        <f t="shared" si="87"/>
        <v>165.93367999999998</v>
      </c>
      <c r="U62" s="67">
        <f t="shared" ref="U62:W62" si="147">I62*T62</f>
        <v>0</v>
      </c>
      <c r="V62" s="67">
        <f t="shared" si="147"/>
        <v>0</v>
      </c>
      <c r="W62" s="67">
        <f t="shared" si="147"/>
        <v>0</v>
      </c>
      <c r="X62" s="67">
        <f t="shared" si="89"/>
        <v>3.9990016879999994</v>
      </c>
      <c r="Y62" s="67">
        <f t="shared" si="90"/>
        <v>1.9912041599999997</v>
      </c>
      <c r="Z62" s="61" t="str">
        <f t="shared" si="91"/>
        <v>M</v>
      </c>
      <c r="AA62" s="68">
        <f t="shared" si="9"/>
        <v>7.4594316186372973</v>
      </c>
      <c r="AB62" s="52" t="s">
        <v>170</v>
      </c>
      <c r="AC62">
        <f t="shared" si="12"/>
        <v>1.7000000000000002</v>
      </c>
      <c r="AD62">
        <f t="shared" si="13"/>
        <v>97.7</v>
      </c>
      <c r="AE62">
        <f t="shared" si="14"/>
        <v>0</v>
      </c>
      <c r="AF62">
        <f t="shared" si="15"/>
        <v>0</v>
      </c>
      <c r="AG62">
        <f t="shared" si="16"/>
        <v>2.84307</v>
      </c>
      <c r="AH62">
        <f t="shared" si="17"/>
        <v>94.280499999999989</v>
      </c>
      <c r="AI62">
        <f t="shared" si="18"/>
        <v>0</v>
      </c>
      <c r="AJ62">
        <f t="shared" si="19"/>
        <v>0</v>
      </c>
      <c r="AK62">
        <f t="shared" si="20"/>
        <v>0</v>
      </c>
      <c r="AL62">
        <f t="shared" si="21"/>
        <v>2.2721600499999997</v>
      </c>
      <c r="AM62">
        <f t="shared" si="22"/>
        <v>1.1313659999999999</v>
      </c>
    </row>
    <row r="63" spans="1:39" x14ac:dyDescent="0.25">
      <c r="A63" s="65" t="s">
        <v>46</v>
      </c>
      <c r="B63" s="61" t="s">
        <v>176</v>
      </c>
      <c r="C63" s="61">
        <v>0.27</v>
      </c>
      <c r="D63" s="61">
        <v>99.4</v>
      </c>
      <c r="E63" s="74">
        <v>0</v>
      </c>
      <c r="F63" s="74">
        <v>0</v>
      </c>
      <c r="G63" s="61">
        <v>1.26</v>
      </c>
      <c r="H63" s="61">
        <v>98.6</v>
      </c>
      <c r="I63" s="74">
        <v>0</v>
      </c>
      <c r="J63" s="74">
        <v>0</v>
      </c>
      <c r="K63" s="74">
        <v>0</v>
      </c>
      <c r="L63" s="61">
        <v>51.6</v>
      </c>
      <c r="M63" s="61">
        <v>3.74</v>
      </c>
      <c r="N63" s="66">
        <v>1117</v>
      </c>
      <c r="O63" s="67">
        <f t="shared" si="83"/>
        <v>3.0159000000000002</v>
      </c>
      <c r="P63" s="67">
        <f t="shared" si="84"/>
        <v>1110.298</v>
      </c>
      <c r="Q63" s="67">
        <f t="shared" ref="Q63:R63" si="148">E63*P63</f>
        <v>0</v>
      </c>
      <c r="R63" s="67">
        <f t="shared" si="148"/>
        <v>0</v>
      </c>
      <c r="S63" s="67">
        <f t="shared" si="86"/>
        <v>13.9897548</v>
      </c>
      <c r="T63" s="67">
        <f t="shared" si="87"/>
        <v>1094.7538279999999</v>
      </c>
      <c r="U63" s="67">
        <f t="shared" ref="U63:W63" si="149">I63*T63</f>
        <v>0</v>
      </c>
      <c r="V63" s="67">
        <f t="shared" si="149"/>
        <v>0</v>
      </c>
      <c r="W63" s="67">
        <f t="shared" si="149"/>
        <v>0</v>
      </c>
      <c r="X63" s="67">
        <f t="shared" si="89"/>
        <v>564.89297524799997</v>
      </c>
      <c r="Y63" s="67">
        <f t="shared" si="90"/>
        <v>40.943793167199999</v>
      </c>
      <c r="Z63" s="61" t="str">
        <f t="shared" si="91"/>
        <v>L</v>
      </c>
      <c r="AA63" s="68">
        <f t="shared" si="9"/>
        <v>10.125413470483316</v>
      </c>
      <c r="AB63" s="52" t="s">
        <v>170</v>
      </c>
      <c r="AC63">
        <f t="shared" si="12"/>
        <v>0.27</v>
      </c>
      <c r="AD63">
        <f t="shared" si="13"/>
        <v>99.4</v>
      </c>
      <c r="AE63">
        <f t="shared" si="14"/>
        <v>0</v>
      </c>
      <c r="AF63">
        <f t="shared" si="15"/>
        <v>0</v>
      </c>
      <c r="AG63">
        <f t="shared" si="16"/>
        <v>1.25244</v>
      </c>
      <c r="AH63">
        <f t="shared" si="17"/>
        <v>98.00839999999998</v>
      </c>
      <c r="AI63">
        <f t="shared" si="18"/>
        <v>0</v>
      </c>
      <c r="AJ63">
        <f t="shared" si="19"/>
        <v>0</v>
      </c>
      <c r="AK63">
        <f t="shared" si="20"/>
        <v>0</v>
      </c>
      <c r="AL63">
        <f t="shared" si="21"/>
        <v>50.572334399999995</v>
      </c>
      <c r="AM63">
        <f t="shared" si="22"/>
        <v>3.6655141599999999</v>
      </c>
    </row>
    <row r="64" spans="1:39" x14ac:dyDescent="0.25">
      <c r="A64" s="65" t="s">
        <v>46</v>
      </c>
      <c r="B64" s="61" t="s">
        <v>180</v>
      </c>
      <c r="C64" s="61">
        <v>0.43</v>
      </c>
      <c r="D64" s="61">
        <v>99.1</v>
      </c>
      <c r="E64" s="74">
        <v>0</v>
      </c>
      <c r="F64" s="74">
        <v>0</v>
      </c>
      <c r="G64" s="61">
        <v>3.46</v>
      </c>
      <c r="H64" s="61">
        <v>95.7</v>
      </c>
      <c r="I64" s="74">
        <v>0</v>
      </c>
      <c r="J64" s="74">
        <v>0</v>
      </c>
      <c r="K64" s="74">
        <v>0</v>
      </c>
      <c r="L64" s="61">
        <v>4.5199999999999996</v>
      </c>
      <c r="M64" s="61">
        <v>20.399999999999999</v>
      </c>
      <c r="N64" s="66">
        <v>233</v>
      </c>
      <c r="O64" s="67">
        <f t="shared" si="83"/>
        <v>1.0019</v>
      </c>
      <c r="P64" s="67">
        <f t="shared" si="84"/>
        <v>230.90299999999999</v>
      </c>
      <c r="Q64" s="67">
        <f t="shared" ref="Q64:R64" si="150">E64*P64</f>
        <v>0</v>
      </c>
      <c r="R64" s="67">
        <f t="shared" si="150"/>
        <v>0</v>
      </c>
      <c r="S64" s="67">
        <f t="shared" si="86"/>
        <v>7.9892437999999997</v>
      </c>
      <c r="T64" s="67">
        <f t="shared" si="87"/>
        <v>220.97417099999998</v>
      </c>
      <c r="U64" s="67">
        <f t="shared" ref="U64:W64" si="151">I64*T64</f>
        <v>0</v>
      </c>
      <c r="V64" s="67">
        <f t="shared" si="151"/>
        <v>0</v>
      </c>
      <c r="W64" s="67">
        <f t="shared" si="151"/>
        <v>0</v>
      </c>
      <c r="X64" s="67">
        <f t="shared" si="89"/>
        <v>9.9880325291999981</v>
      </c>
      <c r="Y64" s="67">
        <f t="shared" si="90"/>
        <v>45.078730883999995</v>
      </c>
      <c r="Z64" s="61" t="str">
        <f t="shared" si="91"/>
        <v>M</v>
      </c>
      <c r="AA64" s="68">
        <f t="shared" si="9"/>
        <v>7.8641861446542798</v>
      </c>
      <c r="AB64" s="52" t="s">
        <v>170</v>
      </c>
      <c r="AC64">
        <f t="shared" si="12"/>
        <v>0.43</v>
      </c>
      <c r="AD64">
        <f t="shared" si="13"/>
        <v>99.1</v>
      </c>
      <c r="AE64">
        <f t="shared" si="14"/>
        <v>0</v>
      </c>
      <c r="AF64">
        <f t="shared" si="15"/>
        <v>0</v>
      </c>
      <c r="AG64">
        <f t="shared" si="16"/>
        <v>3.4288599999999994</v>
      </c>
      <c r="AH64">
        <f t="shared" si="17"/>
        <v>94.838700000000003</v>
      </c>
      <c r="AI64">
        <f t="shared" si="18"/>
        <v>0</v>
      </c>
      <c r="AJ64">
        <f t="shared" si="19"/>
        <v>0</v>
      </c>
      <c r="AK64">
        <f t="shared" si="20"/>
        <v>0</v>
      </c>
      <c r="AL64">
        <f t="shared" si="21"/>
        <v>4.2867092399999995</v>
      </c>
      <c r="AM64">
        <f t="shared" si="22"/>
        <v>19.347094799999997</v>
      </c>
    </row>
    <row r="65" spans="1:39" x14ac:dyDescent="0.25">
      <c r="A65" s="65" t="s">
        <v>46</v>
      </c>
      <c r="B65" s="61" t="s">
        <v>155</v>
      </c>
      <c r="C65" s="61">
        <v>1.3</v>
      </c>
      <c r="D65" s="61">
        <v>98.7</v>
      </c>
      <c r="E65" s="74">
        <v>0</v>
      </c>
      <c r="F65" s="74">
        <v>0</v>
      </c>
      <c r="G65" s="61">
        <v>1.17</v>
      </c>
      <c r="H65" s="61">
        <v>98.5</v>
      </c>
      <c r="I65" s="74">
        <v>0</v>
      </c>
      <c r="J65" s="74">
        <v>0</v>
      </c>
      <c r="K65" s="74">
        <v>0</v>
      </c>
      <c r="L65" s="61">
        <v>30.8</v>
      </c>
      <c r="M65" s="61">
        <v>1.93</v>
      </c>
      <c r="N65" s="66">
        <v>692</v>
      </c>
      <c r="O65" s="67">
        <f t="shared" si="83"/>
        <v>8.9960000000000004</v>
      </c>
      <c r="P65" s="67">
        <f t="shared" si="84"/>
        <v>683.00400000000013</v>
      </c>
      <c r="Q65" s="67">
        <f t="shared" ref="Q65:R65" si="152">E65*P65</f>
        <v>0</v>
      </c>
      <c r="R65" s="67">
        <f t="shared" si="152"/>
        <v>0</v>
      </c>
      <c r="S65" s="67">
        <f t="shared" si="86"/>
        <v>7.991146800000001</v>
      </c>
      <c r="T65" s="67">
        <f t="shared" si="87"/>
        <v>672.75894000000017</v>
      </c>
      <c r="U65" s="67">
        <f t="shared" ref="U65:W65" si="153">I65*T65</f>
        <v>0</v>
      </c>
      <c r="V65" s="67">
        <f t="shared" si="153"/>
        <v>0</v>
      </c>
      <c r="W65" s="67">
        <f t="shared" si="153"/>
        <v>0</v>
      </c>
      <c r="X65" s="67">
        <f t="shared" si="89"/>
        <v>207.20975352000005</v>
      </c>
      <c r="Y65" s="67">
        <f t="shared" si="90"/>
        <v>12.984247542000002</v>
      </c>
      <c r="Z65" s="61" t="str">
        <f t="shared" si="91"/>
        <v>M</v>
      </c>
      <c r="AA65" s="68">
        <f t="shared" si="9"/>
        <v>9.4346282276367237</v>
      </c>
      <c r="AB65" s="52" t="s">
        <v>170</v>
      </c>
      <c r="AC65">
        <f t="shared" si="12"/>
        <v>1.3</v>
      </c>
      <c r="AD65">
        <f t="shared" si="13"/>
        <v>98.700000000000017</v>
      </c>
      <c r="AE65">
        <f t="shared" si="14"/>
        <v>0</v>
      </c>
      <c r="AF65">
        <f t="shared" si="15"/>
        <v>0</v>
      </c>
      <c r="AG65">
        <f t="shared" si="16"/>
        <v>1.1547900000000002</v>
      </c>
      <c r="AH65">
        <f t="shared" si="17"/>
        <v>97.219500000000025</v>
      </c>
      <c r="AI65">
        <f t="shared" si="18"/>
        <v>0</v>
      </c>
      <c r="AJ65">
        <f t="shared" si="19"/>
        <v>0</v>
      </c>
      <c r="AK65">
        <f t="shared" si="20"/>
        <v>0</v>
      </c>
      <c r="AL65">
        <f t="shared" si="21"/>
        <v>29.943606000000006</v>
      </c>
      <c r="AM65">
        <f t="shared" si="22"/>
        <v>1.8763363500000001</v>
      </c>
    </row>
    <row r="66" spans="1:39" x14ac:dyDescent="0.25">
      <c r="A66" s="65" t="s">
        <v>46</v>
      </c>
      <c r="B66" s="61" t="s">
        <v>166</v>
      </c>
      <c r="C66" s="61">
        <v>4.37</v>
      </c>
      <c r="D66" s="61">
        <v>94.3</v>
      </c>
      <c r="E66" s="74">
        <v>0</v>
      </c>
      <c r="F66" s="74">
        <v>0</v>
      </c>
      <c r="G66" s="61">
        <v>1.05</v>
      </c>
      <c r="H66" s="61">
        <v>98.8</v>
      </c>
      <c r="I66" s="74">
        <v>0</v>
      </c>
      <c r="J66" s="74">
        <v>0</v>
      </c>
      <c r="K66" s="74">
        <v>0</v>
      </c>
      <c r="L66" s="61">
        <v>66.099999999999994</v>
      </c>
      <c r="M66" s="61">
        <v>6.42</v>
      </c>
      <c r="N66" s="66">
        <v>2424</v>
      </c>
      <c r="O66" s="67">
        <f t="shared" ref="O66:O97" si="154">N66*C66/100</f>
        <v>105.92880000000001</v>
      </c>
      <c r="P66" s="67">
        <f t="shared" ref="P66:P97" si="155">N66*D66/100</f>
        <v>2285.8319999999999</v>
      </c>
      <c r="Q66" s="67">
        <f t="shared" ref="Q66:R66" si="156">E66*P66</f>
        <v>0</v>
      </c>
      <c r="R66" s="67">
        <f t="shared" si="156"/>
        <v>0</v>
      </c>
      <c r="S66" s="67">
        <f t="shared" ref="S66:S97" si="157">P66*G66/100</f>
        <v>24.001235999999999</v>
      </c>
      <c r="T66" s="67">
        <f t="shared" ref="T66:T97" si="158">P66*H66/100</f>
        <v>2258.4020159999995</v>
      </c>
      <c r="U66" s="67">
        <f t="shared" ref="U66:W66" si="159">I66*T66</f>
        <v>0</v>
      </c>
      <c r="V66" s="67">
        <f t="shared" si="159"/>
        <v>0</v>
      </c>
      <c r="W66" s="67">
        <f t="shared" si="159"/>
        <v>0</v>
      </c>
      <c r="X66" s="67">
        <f t="shared" ref="X66:X97" si="160">T66*L66/100</f>
        <v>1492.8037325759994</v>
      </c>
      <c r="Y66" s="67">
        <f t="shared" ref="Y66:Y97" si="161">T66*M66/100</f>
        <v>144.98940942719997</v>
      </c>
      <c r="Z66" s="61" t="str">
        <f t="shared" ref="Z66:Z97" si="162">IF(N66&gt;10000,"XL",IF(N66&gt;1000,"L",IF(N66&gt;100,"M","S")))</f>
        <v>L</v>
      </c>
      <c r="AA66" s="68">
        <f t="shared" ref="AA66:AA129" si="163">LOG(N66,2)</f>
        <v>11.243173983472952</v>
      </c>
      <c r="AB66" s="52" t="s">
        <v>170</v>
      </c>
      <c r="AC66">
        <f t="shared" si="12"/>
        <v>4.37</v>
      </c>
      <c r="AD66">
        <f t="shared" si="13"/>
        <v>94.3</v>
      </c>
      <c r="AE66">
        <f t="shared" si="14"/>
        <v>0</v>
      </c>
      <c r="AF66">
        <f t="shared" si="15"/>
        <v>0</v>
      </c>
      <c r="AG66">
        <f t="shared" si="16"/>
        <v>0.99014999999999986</v>
      </c>
      <c r="AH66">
        <f t="shared" si="17"/>
        <v>93.168399999999991</v>
      </c>
      <c r="AI66">
        <f t="shared" si="18"/>
        <v>0</v>
      </c>
      <c r="AJ66">
        <f t="shared" si="19"/>
        <v>0</v>
      </c>
      <c r="AK66">
        <f t="shared" si="20"/>
        <v>0</v>
      </c>
      <c r="AL66">
        <f t="shared" si="21"/>
        <v>61.584312399999973</v>
      </c>
      <c r="AM66">
        <f t="shared" si="22"/>
        <v>5.9814112799999997</v>
      </c>
    </row>
    <row r="67" spans="1:39" x14ac:dyDescent="0.25">
      <c r="A67" s="65" t="s">
        <v>46</v>
      </c>
      <c r="B67" s="61" t="s">
        <v>111</v>
      </c>
      <c r="C67" s="61">
        <v>11.1</v>
      </c>
      <c r="D67" s="61">
        <v>88.8</v>
      </c>
      <c r="E67" s="74">
        <v>0</v>
      </c>
      <c r="F67" s="74">
        <v>0</v>
      </c>
      <c r="G67" s="61">
        <v>0.81</v>
      </c>
      <c r="H67" s="61">
        <v>99</v>
      </c>
      <c r="I67" s="74">
        <v>0</v>
      </c>
      <c r="J67" s="74">
        <v>0</v>
      </c>
      <c r="K67" s="74">
        <v>0</v>
      </c>
      <c r="L67" s="61">
        <v>86.5</v>
      </c>
      <c r="M67" s="61">
        <v>2.79</v>
      </c>
      <c r="N67" s="66">
        <v>977</v>
      </c>
      <c r="O67" s="67">
        <f t="shared" si="154"/>
        <v>108.44699999999999</v>
      </c>
      <c r="P67" s="67">
        <f t="shared" si="155"/>
        <v>867.57599999999991</v>
      </c>
      <c r="Q67" s="67">
        <f t="shared" ref="Q67:R67" si="164">E67*P67</f>
        <v>0</v>
      </c>
      <c r="R67" s="67">
        <f t="shared" si="164"/>
        <v>0</v>
      </c>
      <c r="S67" s="67">
        <f t="shared" si="157"/>
        <v>7.0273655999999995</v>
      </c>
      <c r="T67" s="67">
        <f t="shared" si="158"/>
        <v>858.90023999999994</v>
      </c>
      <c r="U67" s="67">
        <f t="shared" ref="U67:W67" si="165">I67*T67</f>
        <v>0</v>
      </c>
      <c r="V67" s="67">
        <f t="shared" si="165"/>
        <v>0</v>
      </c>
      <c r="W67" s="67">
        <f t="shared" si="165"/>
        <v>0</v>
      </c>
      <c r="X67" s="67">
        <f t="shared" si="160"/>
        <v>742.94870759999992</v>
      </c>
      <c r="Y67" s="67">
        <f t="shared" si="161"/>
        <v>23.963316695999996</v>
      </c>
      <c r="Z67" s="61" t="str">
        <f t="shared" si="162"/>
        <v>M</v>
      </c>
      <c r="AA67" s="68">
        <f t="shared" si="163"/>
        <v>9.9322147519683845</v>
      </c>
      <c r="AB67" s="52" t="s">
        <v>170</v>
      </c>
      <c r="AC67">
        <f t="shared" ref="AC67:AC130" si="166">(O67/N67)*100</f>
        <v>11.099999999999998</v>
      </c>
      <c r="AD67">
        <f t="shared" ref="AD67:AD130" si="167">(P67/N67)*100</f>
        <v>88.799999999999983</v>
      </c>
      <c r="AE67">
        <f t="shared" ref="AE67:AE130" si="168">(Q67/N67)*100</f>
        <v>0</v>
      </c>
      <c r="AF67">
        <f t="shared" ref="AF67:AF130" si="169">(R67/N67)*100</f>
        <v>0</v>
      </c>
      <c r="AG67">
        <f t="shared" ref="AG67:AG130" si="170">(S67/N67)*100</f>
        <v>0.71927999999999992</v>
      </c>
      <c r="AH67">
        <f t="shared" ref="AH67:AH130" si="171">(T67/N67)*100</f>
        <v>87.911999999999992</v>
      </c>
      <c r="AI67">
        <f t="shared" ref="AI67:AI130" si="172">(U67/N67)*100</f>
        <v>0</v>
      </c>
      <c r="AJ67">
        <f t="shared" ref="AJ67:AJ130" si="173">(V67/N67)*100</f>
        <v>0</v>
      </c>
      <c r="AK67">
        <f t="shared" ref="AK67:AK130" si="174">(W67/N67)*100</f>
        <v>0</v>
      </c>
      <c r="AL67">
        <f t="shared" ref="AL67:AL130" si="175">(X67/N67)*100</f>
        <v>76.043880000000001</v>
      </c>
      <c r="AM67">
        <f t="shared" ref="AM67:AM130" si="176">(Y67/N67)*100</f>
        <v>2.4527447999999996</v>
      </c>
    </row>
    <row r="68" spans="1:39" x14ac:dyDescent="0.25">
      <c r="A68" s="65" t="s">
        <v>46</v>
      </c>
      <c r="B68" s="61" t="s">
        <v>128</v>
      </c>
      <c r="C68" s="61">
        <v>0.06</v>
      </c>
      <c r="D68" s="61">
        <v>99.3</v>
      </c>
      <c r="E68" s="74">
        <v>0</v>
      </c>
      <c r="F68" s="74">
        <v>0</v>
      </c>
      <c r="G68" s="61">
        <v>0.24</v>
      </c>
      <c r="H68" s="61">
        <v>99.7</v>
      </c>
      <c r="I68" s="74">
        <v>0</v>
      </c>
      <c r="J68" s="74">
        <v>0</v>
      </c>
      <c r="K68" s="74">
        <v>0</v>
      </c>
      <c r="L68" s="61">
        <v>26.8</v>
      </c>
      <c r="M68" s="61">
        <v>66.599999999999994</v>
      </c>
      <c r="N68" s="66">
        <v>8321</v>
      </c>
      <c r="O68" s="67">
        <f t="shared" si="154"/>
        <v>4.9925999999999995</v>
      </c>
      <c r="P68" s="67">
        <f t="shared" si="155"/>
        <v>8262.7529999999988</v>
      </c>
      <c r="Q68" s="67">
        <f t="shared" ref="Q68:R68" si="177">E68*P68</f>
        <v>0</v>
      </c>
      <c r="R68" s="67">
        <f t="shared" si="177"/>
        <v>0</v>
      </c>
      <c r="S68" s="67">
        <f t="shared" si="157"/>
        <v>19.830607199999996</v>
      </c>
      <c r="T68" s="67">
        <f t="shared" si="158"/>
        <v>8237.964740999998</v>
      </c>
      <c r="U68" s="67">
        <f t="shared" ref="U68:W68" si="178">I68*T68</f>
        <v>0</v>
      </c>
      <c r="V68" s="67">
        <f t="shared" si="178"/>
        <v>0</v>
      </c>
      <c r="W68" s="67">
        <f t="shared" si="178"/>
        <v>0</v>
      </c>
      <c r="X68" s="67">
        <f t="shared" si="160"/>
        <v>2207.7745505879993</v>
      </c>
      <c r="Y68" s="67">
        <f t="shared" si="161"/>
        <v>5486.4845175059982</v>
      </c>
      <c r="Z68" s="61" t="str">
        <f t="shared" si="162"/>
        <v>L</v>
      </c>
      <c r="AA68" s="68">
        <f t="shared" si="163"/>
        <v>13.022541203454827</v>
      </c>
      <c r="AB68" s="52" t="s">
        <v>170</v>
      </c>
      <c r="AC68">
        <f t="shared" si="166"/>
        <v>0.06</v>
      </c>
      <c r="AD68">
        <f t="shared" si="167"/>
        <v>99.299999999999983</v>
      </c>
      <c r="AE68">
        <f t="shared" si="168"/>
        <v>0</v>
      </c>
      <c r="AF68">
        <f t="shared" si="169"/>
        <v>0</v>
      </c>
      <c r="AG68">
        <f t="shared" si="170"/>
        <v>0.23831999999999995</v>
      </c>
      <c r="AH68">
        <f t="shared" si="171"/>
        <v>99.00209999999997</v>
      </c>
      <c r="AI68">
        <f t="shared" si="172"/>
        <v>0</v>
      </c>
      <c r="AJ68">
        <f t="shared" si="173"/>
        <v>0</v>
      </c>
      <c r="AK68">
        <f t="shared" si="174"/>
        <v>0</v>
      </c>
      <c r="AL68">
        <f t="shared" si="175"/>
        <v>26.532562799999994</v>
      </c>
      <c r="AM68">
        <f t="shared" si="176"/>
        <v>65.935398599999971</v>
      </c>
    </row>
    <row r="69" spans="1:39" x14ac:dyDescent="0.25">
      <c r="A69" s="65" t="s">
        <v>46</v>
      </c>
      <c r="B69" s="61" t="s">
        <v>156</v>
      </c>
      <c r="C69" s="61">
        <v>0.56999999999999995</v>
      </c>
      <c r="D69" s="61">
        <v>97.9</v>
      </c>
      <c r="E69" s="74">
        <v>0</v>
      </c>
      <c r="F69" s="74">
        <v>0</v>
      </c>
      <c r="G69" s="61">
        <v>0.32</v>
      </c>
      <c r="H69" s="61">
        <v>99.7</v>
      </c>
      <c r="I69" s="74">
        <v>0</v>
      </c>
      <c r="J69" s="74">
        <v>0</v>
      </c>
      <c r="K69" s="74">
        <v>0</v>
      </c>
      <c r="L69" s="61">
        <v>38.200000000000003</v>
      </c>
      <c r="M69" s="61">
        <v>55.4</v>
      </c>
      <c r="N69" s="66">
        <v>7055</v>
      </c>
      <c r="O69" s="67">
        <f t="shared" si="154"/>
        <v>40.213499999999996</v>
      </c>
      <c r="P69" s="67">
        <f t="shared" si="155"/>
        <v>6906.8450000000003</v>
      </c>
      <c r="Q69" s="67">
        <f t="shared" ref="Q69:R69" si="179">E69*P69</f>
        <v>0</v>
      </c>
      <c r="R69" s="67">
        <f t="shared" si="179"/>
        <v>0</v>
      </c>
      <c r="S69" s="67">
        <f t="shared" si="157"/>
        <v>22.101904000000001</v>
      </c>
      <c r="T69" s="67">
        <f t="shared" si="158"/>
        <v>6886.1244650000008</v>
      </c>
      <c r="U69" s="67">
        <f t="shared" ref="U69:W69" si="180">I69*T69</f>
        <v>0</v>
      </c>
      <c r="V69" s="67">
        <f t="shared" si="180"/>
        <v>0</v>
      </c>
      <c r="W69" s="67">
        <f t="shared" si="180"/>
        <v>0</v>
      </c>
      <c r="X69" s="67">
        <f t="shared" si="160"/>
        <v>2630.4995456300007</v>
      </c>
      <c r="Y69" s="67">
        <f t="shared" si="161"/>
        <v>3814.9129536100004</v>
      </c>
      <c r="Z69" s="61" t="str">
        <f t="shared" si="162"/>
        <v>L</v>
      </c>
      <c r="AA69" s="68">
        <f t="shared" si="163"/>
        <v>12.784430367484628</v>
      </c>
      <c r="AB69" s="52" t="s">
        <v>170</v>
      </c>
      <c r="AC69">
        <f t="shared" si="166"/>
        <v>0.56999999999999995</v>
      </c>
      <c r="AD69">
        <f t="shared" si="167"/>
        <v>97.899999999999991</v>
      </c>
      <c r="AE69">
        <f t="shared" si="168"/>
        <v>0</v>
      </c>
      <c r="AF69">
        <f t="shared" si="169"/>
        <v>0</v>
      </c>
      <c r="AG69">
        <f t="shared" si="170"/>
        <v>0.31328</v>
      </c>
      <c r="AH69">
        <f t="shared" si="171"/>
        <v>97.606300000000019</v>
      </c>
      <c r="AI69">
        <f t="shared" si="172"/>
        <v>0</v>
      </c>
      <c r="AJ69">
        <f t="shared" si="173"/>
        <v>0</v>
      </c>
      <c r="AK69">
        <f t="shared" si="174"/>
        <v>0</v>
      </c>
      <c r="AL69">
        <f t="shared" si="175"/>
        <v>37.285606600000008</v>
      </c>
      <c r="AM69">
        <f t="shared" si="176"/>
        <v>54.073890200000008</v>
      </c>
    </row>
    <row r="70" spans="1:39" x14ac:dyDescent="0.25">
      <c r="A70" s="65" t="s">
        <v>46</v>
      </c>
      <c r="B70" s="61" t="s">
        <v>113</v>
      </c>
      <c r="C70" s="61">
        <v>0.17</v>
      </c>
      <c r="D70" s="61">
        <v>98.6</v>
      </c>
      <c r="E70" s="74">
        <v>0</v>
      </c>
      <c r="F70" s="74">
        <v>0</v>
      </c>
      <c r="G70" s="61">
        <v>0.5</v>
      </c>
      <c r="H70" s="61">
        <v>99.5</v>
      </c>
      <c r="I70" s="74">
        <v>0</v>
      </c>
      <c r="J70" s="74">
        <v>0</v>
      </c>
      <c r="K70" s="74">
        <v>0</v>
      </c>
      <c r="L70" s="61">
        <v>40.700000000000003</v>
      </c>
      <c r="M70" s="61">
        <v>51.5</v>
      </c>
      <c r="N70" s="66">
        <v>4846</v>
      </c>
      <c r="O70" s="67">
        <f t="shared" si="154"/>
        <v>8.2382000000000009</v>
      </c>
      <c r="P70" s="67">
        <f t="shared" si="155"/>
        <v>4778.1559999999999</v>
      </c>
      <c r="Q70" s="67">
        <f t="shared" ref="Q70:R70" si="181">E70*P70</f>
        <v>0</v>
      </c>
      <c r="R70" s="67">
        <f t="shared" si="181"/>
        <v>0</v>
      </c>
      <c r="S70" s="67">
        <f t="shared" si="157"/>
        <v>23.890779999999999</v>
      </c>
      <c r="T70" s="67">
        <f t="shared" si="158"/>
        <v>4754.2652200000002</v>
      </c>
      <c r="U70" s="67">
        <f t="shared" ref="U70:W70" si="182">I70*T70</f>
        <v>0</v>
      </c>
      <c r="V70" s="67">
        <f t="shared" si="182"/>
        <v>0</v>
      </c>
      <c r="W70" s="67">
        <f t="shared" si="182"/>
        <v>0</v>
      </c>
      <c r="X70" s="67">
        <f t="shared" si="160"/>
        <v>1934.9859445400004</v>
      </c>
      <c r="Y70" s="67">
        <f t="shared" si="161"/>
        <v>2448.4465882999998</v>
      </c>
      <c r="Z70" s="61" t="str">
        <f t="shared" si="162"/>
        <v>L</v>
      </c>
      <c r="AA70" s="68">
        <f t="shared" si="163"/>
        <v>12.242578689451346</v>
      </c>
      <c r="AB70" s="52" t="s">
        <v>170</v>
      </c>
      <c r="AC70">
        <f t="shared" si="166"/>
        <v>0.17</v>
      </c>
      <c r="AD70">
        <f t="shared" si="167"/>
        <v>98.6</v>
      </c>
      <c r="AE70">
        <f t="shared" si="168"/>
        <v>0</v>
      </c>
      <c r="AF70">
        <f t="shared" si="169"/>
        <v>0</v>
      </c>
      <c r="AG70">
        <f t="shared" si="170"/>
        <v>0.49299999999999994</v>
      </c>
      <c r="AH70">
        <f t="shared" si="171"/>
        <v>98.106999999999999</v>
      </c>
      <c r="AI70">
        <f t="shared" si="172"/>
        <v>0</v>
      </c>
      <c r="AJ70">
        <f t="shared" si="173"/>
        <v>0</v>
      </c>
      <c r="AK70">
        <f t="shared" si="174"/>
        <v>0</v>
      </c>
      <c r="AL70">
        <f t="shared" si="175"/>
        <v>39.929549000000009</v>
      </c>
      <c r="AM70">
        <f t="shared" si="176"/>
        <v>50.525104999999989</v>
      </c>
    </row>
    <row r="71" spans="1:39" x14ac:dyDescent="0.25">
      <c r="A71" s="65" t="s">
        <v>46</v>
      </c>
      <c r="B71" s="61" t="s">
        <v>129</v>
      </c>
      <c r="C71" s="61">
        <v>0.43</v>
      </c>
      <c r="D71" s="61">
        <v>99.3</v>
      </c>
      <c r="E71" s="74">
        <v>0</v>
      </c>
      <c r="F71" s="74">
        <v>0</v>
      </c>
      <c r="G71" s="61">
        <v>1.75</v>
      </c>
      <c r="H71" s="61">
        <v>98</v>
      </c>
      <c r="I71" s="74">
        <v>0</v>
      </c>
      <c r="J71" s="74">
        <v>0</v>
      </c>
      <c r="K71" s="74">
        <v>0</v>
      </c>
      <c r="L71" s="61">
        <v>25.4</v>
      </c>
      <c r="M71" s="61">
        <v>3.79</v>
      </c>
      <c r="N71" s="66">
        <v>461</v>
      </c>
      <c r="O71" s="67">
        <f t="shared" si="154"/>
        <v>1.9823</v>
      </c>
      <c r="P71" s="67">
        <f t="shared" si="155"/>
        <v>457.77299999999997</v>
      </c>
      <c r="Q71" s="67">
        <f t="shared" ref="Q71:R71" si="183">E71*P71</f>
        <v>0</v>
      </c>
      <c r="R71" s="67">
        <f t="shared" si="183"/>
        <v>0</v>
      </c>
      <c r="S71" s="67">
        <f t="shared" si="157"/>
        <v>8.0110274999999991</v>
      </c>
      <c r="T71" s="67">
        <f t="shared" si="158"/>
        <v>448.61753999999996</v>
      </c>
      <c r="U71" s="67">
        <f t="shared" ref="U71:W71" si="184">I71*T71</f>
        <v>0</v>
      </c>
      <c r="V71" s="67">
        <f t="shared" si="184"/>
        <v>0</v>
      </c>
      <c r="W71" s="67">
        <f t="shared" si="184"/>
        <v>0</v>
      </c>
      <c r="X71" s="67">
        <f t="shared" si="160"/>
        <v>113.94885515999998</v>
      </c>
      <c r="Y71" s="67">
        <f t="shared" si="161"/>
        <v>17.002604766000001</v>
      </c>
      <c r="Z71" s="61" t="str">
        <f t="shared" si="162"/>
        <v>M</v>
      </c>
      <c r="AA71" s="68">
        <f t="shared" si="163"/>
        <v>8.8486229404293386</v>
      </c>
      <c r="AB71" s="52" t="s">
        <v>170</v>
      </c>
      <c r="AC71">
        <f t="shared" si="166"/>
        <v>0.43</v>
      </c>
      <c r="AD71">
        <f t="shared" si="167"/>
        <v>99.299999999999983</v>
      </c>
      <c r="AE71">
        <f t="shared" si="168"/>
        <v>0</v>
      </c>
      <c r="AF71">
        <f t="shared" si="169"/>
        <v>0</v>
      </c>
      <c r="AG71">
        <f t="shared" si="170"/>
        <v>1.7377499999999997</v>
      </c>
      <c r="AH71">
        <f t="shared" si="171"/>
        <v>97.313999999999993</v>
      </c>
      <c r="AI71">
        <f t="shared" si="172"/>
        <v>0</v>
      </c>
      <c r="AJ71">
        <f t="shared" si="173"/>
        <v>0</v>
      </c>
      <c r="AK71">
        <f t="shared" si="174"/>
        <v>0</v>
      </c>
      <c r="AL71">
        <f t="shared" si="175"/>
        <v>24.717755999999998</v>
      </c>
      <c r="AM71">
        <f t="shared" si="176"/>
        <v>3.6882006000000001</v>
      </c>
    </row>
    <row r="72" spans="1:39" x14ac:dyDescent="0.25">
      <c r="A72" s="65" t="s">
        <v>46</v>
      </c>
      <c r="B72" s="61" t="s">
        <v>181</v>
      </c>
      <c r="C72" s="61">
        <v>3.13</v>
      </c>
      <c r="D72" s="61">
        <v>90.9</v>
      </c>
      <c r="E72" s="74">
        <v>0</v>
      </c>
      <c r="F72" s="74">
        <v>0</v>
      </c>
      <c r="G72" s="61">
        <v>0.34</v>
      </c>
      <c r="H72" s="61">
        <v>99.7</v>
      </c>
      <c r="I72" s="74">
        <v>0</v>
      </c>
      <c r="J72" s="74">
        <v>0</v>
      </c>
      <c r="K72" s="74">
        <v>0</v>
      </c>
      <c r="L72" s="61">
        <v>61.2</v>
      </c>
      <c r="M72" s="61">
        <v>3.46</v>
      </c>
      <c r="N72" s="66">
        <v>319</v>
      </c>
      <c r="O72" s="67">
        <f t="shared" si="154"/>
        <v>9.9846999999999984</v>
      </c>
      <c r="P72" s="67">
        <f t="shared" si="155"/>
        <v>289.971</v>
      </c>
      <c r="Q72" s="67">
        <f t="shared" ref="Q72:R72" si="185">E72*P72</f>
        <v>0</v>
      </c>
      <c r="R72" s="67">
        <f t="shared" si="185"/>
        <v>0</v>
      </c>
      <c r="S72" s="67">
        <f t="shared" si="157"/>
        <v>0.98590140000000004</v>
      </c>
      <c r="T72" s="67">
        <f t="shared" si="158"/>
        <v>289.10108700000001</v>
      </c>
      <c r="U72" s="67">
        <f t="shared" ref="U72:W72" si="186">I72*T72</f>
        <v>0</v>
      </c>
      <c r="V72" s="67">
        <f t="shared" si="186"/>
        <v>0</v>
      </c>
      <c r="W72" s="67">
        <f t="shared" si="186"/>
        <v>0</v>
      </c>
      <c r="X72" s="67">
        <f t="shared" si="160"/>
        <v>176.92986524400004</v>
      </c>
      <c r="Y72" s="67">
        <f t="shared" si="161"/>
        <v>10.0028976102</v>
      </c>
      <c r="Z72" s="61" t="str">
        <f t="shared" si="162"/>
        <v>M</v>
      </c>
      <c r="AA72" s="68">
        <f t="shared" si="163"/>
        <v>8.3174126137648692</v>
      </c>
      <c r="AB72" s="52" t="s">
        <v>170</v>
      </c>
      <c r="AC72">
        <f t="shared" si="166"/>
        <v>3.1299999999999994</v>
      </c>
      <c r="AD72">
        <f t="shared" si="167"/>
        <v>90.9</v>
      </c>
      <c r="AE72">
        <f t="shared" si="168"/>
        <v>0</v>
      </c>
      <c r="AF72">
        <f t="shared" si="169"/>
        <v>0</v>
      </c>
      <c r="AG72">
        <f t="shared" si="170"/>
        <v>0.30906</v>
      </c>
      <c r="AH72">
        <f t="shared" si="171"/>
        <v>90.627300000000005</v>
      </c>
      <c r="AI72">
        <f t="shared" si="172"/>
        <v>0</v>
      </c>
      <c r="AJ72">
        <f t="shared" si="173"/>
        <v>0</v>
      </c>
      <c r="AK72">
        <f t="shared" si="174"/>
        <v>0</v>
      </c>
      <c r="AL72">
        <f t="shared" si="175"/>
        <v>55.46390760000002</v>
      </c>
      <c r="AM72">
        <f t="shared" si="176"/>
        <v>3.1357045799999996</v>
      </c>
    </row>
    <row r="73" spans="1:39" x14ac:dyDescent="0.25">
      <c r="A73" s="65" t="s">
        <v>46</v>
      </c>
      <c r="B73" s="61" t="s">
        <v>114</v>
      </c>
      <c r="C73" s="61">
        <v>0.16</v>
      </c>
      <c r="D73" s="61">
        <v>99</v>
      </c>
      <c r="E73" s="74">
        <v>0</v>
      </c>
      <c r="F73" s="74">
        <v>0</v>
      </c>
      <c r="G73" s="61">
        <v>0.38</v>
      </c>
      <c r="H73" s="61">
        <v>99.5</v>
      </c>
      <c r="I73" s="74">
        <v>0</v>
      </c>
      <c r="J73" s="74">
        <v>0</v>
      </c>
      <c r="K73" s="74">
        <v>0</v>
      </c>
      <c r="L73" s="61">
        <v>21.2</v>
      </c>
      <c r="M73" s="61">
        <v>73.099999999999994</v>
      </c>
      <c r="N73" s="66">
        <v>5553</v>
      </c>
      <c r="O73" s="67">
        <f t="shared" si="154"/>
        <v>8.8848000000000003</v>
      </c>
      <c r="P73" s="67">
        <f t="shared" si="155"/>
        <v>5497.47</v>
      </c>
      <c r="Q73" s="67">
        <f t="shared" ref="Q73:R73" si="187">E73*P73</f>
        <v>0</v>
      </c>
      <c r="R73" s="67">
        <f t="shared" si="187"/>
        <v>0</v>
      </c>
      <c r="S73" s="67">
        <f t="shared" si="157"/>
        <v>20.890386000000003</v>
      </c>
      <c r="T73" s="67">
        <f t="shared" si="158"/>
        <v>5469.9826499999999</v>
      </c>
      <c r="U73" s="67">
        <f t="shared" ref="U73:W73" si="188">I73*T73</f>
        <v>0</v>
      </c>
      <c r="V73" s="67">
        <f t="shared" si="188"/>
        <v>0</v>
      </c>
      <c r="W73" s="67">
        <f t="shared" si="188"/>
        <v>0</v>
      </c>
      <c r="X73" s="67">
        <f t="shared" si="160"/>
        <v>1159.6363217999999</v>
      </c>
      <c r="Y73" s="67">
        <f t="shared" si="161"/>
        <v>3998.5573171499996</v>
      </c>
      <c r="Z73" s="61" t="str">
        <f t="shared" si="162"/>
        <v>L</v>
      </c>
      <c r="AA73" s="68">
        <f t="shared" si="163"/>
        <v>12.439051680591731</v>
      </c>
      <c r="AB73" s="52" t="s">
        <v>170</v>
      </c>
      <c r="AC73">
        <f t="shared" si="166"/>
        <v>0.16</v>
      </c>
      <c r="AD73">
        <f t="shared" si="167"/>
        <v>99</v>
      </c>
      <c r="AE73">
        <f t="shared" si="168"/>
        <v>0</v>
      </c>
      <c r="AF73">
        <f t="shared" si="169"/>
        <v>0</v>
      </c>
      <c r="AG73">
        <f t="shared" si="170"/>
        <v>0.37620000000000003</v>
      </c>
      <c r="AH73">
        <f t="shared" si="171"/>
        <v>98.504999999999995</v>
      </c>
      <c r="AI73">
        <f t="shared" si="172"/>
        <v>0</v>
      </c>
      <c r="AJ73">
        <f t="shared" si="173"/>
        <v>0</v>
      </c>
      <c r="AK73">
        <f t="shared" si="174"/>
        <v>0</v>
      </c>
      <c r="AL73">
        <f t="shared" si="175"/>
        <v>20.883059999999997</v>
      </c>
      <c r="AM73">
        <f t="shared" si="176"/>
        <v>72.007154999999983</v>
      </c>
    </row>
    <row r="74" spans="1:39" x14ac:dyDescent="0.25">
      <c r="A74" s="65" t="s">
        <v>46</v>
      </c>
      <c r="B74" s="61" t="s">
        <v>115</v>
      </c>
      <c r="C74" s="61">
        <v>0.25</v>
      </c>
      <c r="D74" s="61">
        <v>98.6</v>
      </c>
      <c r="E74" s="74">
        <v>0</v>
      </c>
      <c r="F74" s="74">
        <v>0</v>
      </c>
      <c r="G74" s="61">
        <v>0.57999999999999996</v>
      </c>
      <c r="H74" s="61">
        <v>99.4</v>
      </c>
      <c r="I74" s="74">
        <v>0</v>
      </c>
      <c r="J74" s="74">
        <v>0</v>
      </c>
      <c r="K74" s="74">
        <v>0</v>
      </c>
      <c r="L74" s="61">
        <v>82.1</v>
      </c>
      <c r="M74" s="61">
        <v>4.37</v>
      </c>
      <c r="N74" s="66">
        <v>3666</v>
      </c>
      <c r="O74" s="67">
        <f t="shared" si="154"/>
        <v>9.1649999999999991</v>
      </c>
      <c r="P74" s="67">
        <f t="shared" si="155"/>
        <v>3614.6759999999999</v>
      </c>
      <c r="Q74" s="67">
        <f t="shared" ref="Q74:R74" si="189">E74*P74</f>
        <v>0</v>
      </c>
      <c r="R74" s="67">
        <f t="shared" si="189"/>
        <v>0</v>
      </c>
      <c r="S74" s="67">
        <f t="shared" si="157"/>
        <v>20.965120800000001</v>
      </c>
      <c r="T74" s="67">
        <f t="shared" si="158"/>
        <v>3592.987944</v>
      </c>
      <c r="U74" s="67">
        <f t="shared" ref="U74:W74" si="190">I74*T74</f>
        <v>0</v>
      </c>
      <c r="V74" s="67">
        <f t="shared" si="190"/>
        <v>0</v>
      </c>
      <c r="W74" s="67">
        <f t="shared" si="190"/>
        <v>0</v>
      </c>
      <c r="X74" s="67">
        <f t="shared" si="160"/>
        <v>2949.8431020239996</v>
      </c>
      <c r="Y74" s="67">
        <f t="shared" si="161"/>
        <v>157.01357315280001</v>
      </c>
      <c r="Z74" s="61" t="str">
        <f t="shared" si="162"/>
        <v>L</v>
      </c>
      <c r="AA74" s="68">
        <f t="shared" si="163"/>
        <v>11.839991070539886</v>
      </c>
      <c r="AB74" s="52" t="s">
        <v>170</v>
      </c>
      <c r="AC74">
        <f t="shared" si="166"/>
        <v>0.24999999999999997</v>
      </c>
      <c r="AD74">
        <f t="shared" si="167"/>
        <v>98.6</v>
      </c>
      <c r="AE74">
        <f t="shared" si="168"/>
        <v>0</v>
      </c>
      <c r="AF74">
        <f t="shared" si="169"/>
        <v>0</v>
      </c>
      <c r="AG74">
        <f t="shared" si="170"/>
        <v>0.57188000000000005</v>
      </c>
      <c r="AH74">
        <f t="shared" si="171"/>
        <v>98.008399999999995</v>
      </c>
      <c r="AI74">
        <f t="shared" si="172"/>
        <v>0</v>
      </c>
      <c r="AJ74">
        <f t="shared" si="173"/>
        <v>0</v>
      </c>
      <c r="AK74">
        <f t="shared" si="174"/>
        <v>0</v>
      </c>
      <c r="AL74">
        <f t="shared" si="175"/>
        <v>80.464896399999986</v>
      </c>
      <c r="AM74">
        <f t="shared" si="176"/>
        <v>4.2829670800000006</v>
      </c>
    </row>
    <row r="75" spans="1:39" x14ac:dyDescent="0.25">
      <c r="A75" s="65" t="s">
        <v>46</v>
      </c>
      <c r="B75" s="61" t="s">
        <v>29</v>
      </c>
      <c r="C75" s="61">
        <v>0.18</v>
      </c>
      <c r="D75" s="61">
        <v>94.3</v>
      </c>
      <c r="E75" s="74">
        <v>0</v>
      </c>
      <c r="F75" s="74">
        <v>0</v>
      </c>
      <c r="G75" s="61">
        <v>1.76</v>
      </c>
      <c r="H75" s="61">
        <v>98.2</v>
      </c>
      <c r="I75" s="74">
        <v>0</v>
      </c>
      <c r="J75" s="74">
        <v>0</v>
      </c>
      <c r="K75" s="74">
        <v>0</v>
      </c>
      <c r="L75" s="61">
        <v>46.5</v>
      </c>
      <c r="M75" s="61">
        <v>32.5</v>
      </c>
      <c r="N75" s="66">
        <v>541</v>
      </c>
      <c r="O75" s="67">
        <f t="shared" si="154"/>
        <v>0.9738</v>
      </c>
      <c r="P75" s="67">
        <f t="shared" si="155"/>
        <v>510.16299999999995</v>
      </c>
      <c r="Q75" s="67">
        <f t="shared" ref="Q75:R75" si="191">E75*P75</f>
        <v>0</v>
      </c>
      <c r="R75" s="67">
        <f t="shared" si="191"/>
        <v>0</v>
      </c>
      <c r="S75" s="67">
        <f t="shared" si="157"/>
        <v>8.978868799999999</v>
      </c>
      <c r="T75" s="67">
        <f t="shared" si="158"/>
        <v>500.98006599999991</v>
      </c>
      <c r="U75" s="67">
        <f t="shared" ref="U75:W75" si="192">I75*T75</f>
        <v>0</v>
      </c>
      <c r="V75" s="67">
        <f t="shared" si="192"/>
        <v>0</v>
      </c>
      <c r="W75" s="67">
        <f t="shared" si="192"/>
        <v>0</v>
      </c>
      <c r="X75" s="67">
        <f t="shared" si="160"/>
        <v>232.95573068999994</v>
      </c>
      <c r="Y75" s="67">
        <f t="shared" si="161"/>
        <v>162.81852144999996</v>
      </c>
      <c r="Z75" s="61" t="str">
        <f t="shared" si="162"/>
        <v>M</v>
      </c>
      <c r="AA75" s="68">
        <f t="shared" si="163"/>
        <v>9.0794847838268158</v>
      </c>
      <c r="AB75" s="52" t="s">
        <v>170</v>
      </c>
      <c r="AC75">
        <f t="shared" si="166"/>
        <v>0.18</v>
      </c>
      <c r="AD75">
        <f t="shared" si="167"/>
        <v>94.3</v>
      </c>
      <c r="AE75">
        <f t="shared" si="168"/>
        <v>0</v>
      </c>
      <c r="AF75">
        <f t="shared" si="169"/>
        <v>0</v>
      </c>
      <c r="AG75">
        <f t="shared" si="170"/>
        <v>1.6596799999999998</v>
      </c>
      <c r="AH75">
        <f t="shared" si="171"/>
        <v>92.602599999999981</v>
      </c>
      <c r="AI75">
        <f t="shared" si="172"/>
        <v>0</v>
      </c>
      <c r="AJ75">
        <f t="shared" si="173"/>
        <v>0</v>
      </c>
      <c r="AK75">
        <f t="shared" si="174"/>
        <v>0</v>
      </c>
      <c r="AL75">
        <f t="shared" si="175"/>
        <v>43.060208999999986</v>
      </c>
      <c r="AM75">
        <f t="shared" si="176"/>
        <v>30.095844999999994</v>
      </c>
    </row>
    <row r="76" spans="1:39" x14ac:dyDescent="0.25">
      <c r="A76" s="65" t="s">
        <v>46</v>
      </c>
      <c r="B76" s="61" t="s">
        <v>163</v>
      </c>
      <c r="C76" s="61">
        <v>0.16</v>
      </c>
      <c r="D76" s="61">
        <v>99.8</v>
      </c>
      <c r="E76" s="74">
        <v>0</v>
      </c>
      <c r="F76" s="74">
        <v>0</v>
      </c>
      <c r="G76" s="61">
        <v>0.13</v>
      </c>
      <c r="H76" s="61">
        <v>99.8</v>
      </c>
      <c r="I76" s="74">
        <v>0</v>
      </c>
      <c r="J76" s="74">
        <v>0</v>
      </c>
      <c r="K76" s="74">
        <v>0</v>
      </c>
      <c r="L76" s="61">
        <v>23.1</v>
      </c>
      <c r="M76" s="61">
        <v>72.400000000000006</v>
      </c>
      <c r="N76" s="66">
        <v>6861</v>
      </c>
      <c r="O76" s="67">
        <f t="shared" si="154"/>
        <v>10.977600000000001</v>
      </c>
      <c r="P76" s="67">
        <f t="shared" si="155"/>
        <v>6847.2779999999993</v>
      </c>
      <c r="Q76" s="67">
        <f t="shared" ref="Q76:R76" si="193">E76*P76</f>
        <v>0</v>
      </c>
      <c r="R76" s="67">
        <f t="shared" si="193"/>
        <v>0</v>
      </c>
      <c r="S76" s="67">
        <f t="shared" si="157"/>
        <v>8.9014613999999987</v>
      </c>
      <c r="T76" s="67">
        <f t="shared" si="158"/>
        <v>6833.5834439999999</v>
      </c>
      <c r="U76" s="67">
        <f t="shared" ref="U76:W76" si="194">I76*T76</f>
        <v>0</v>
      </c>
      <c r="V76" s="67">
        <f t="shared" si="194"/>
        <v>0</v>
      </c>
      <c r="W76" s="67">
        <f t="shared" si="194"/>
        <v>0</v>
      </c>
      <c r="X76" s="67">
        <f t="shared" si="160"/>
        <v>1578.5577755640002</v>
      </c>
      <c r="Y76" s="67">
        <f t="shared" si="161"/>
        <v>4947.5144134559996</v>
      </c>
      <c r="Z76" s="61" t="str">
        <f t="shared" si="162"/>
        <v>L</v>
      </c>
      <c r="AA76" s="68">
        <f t="shared" si="163"/>
        <v>12.74420315113283</v>
      </c>
      <c r="AB76" s="52" t="s">
        <v>170</v>
      </c>
      <c r="AC76">
        <f t="shared" si="166"/>
        <v>0.16</v>
      </c>
      <c r="AD76">
        <f t="shared" si="167"/>
        <v>99.799999999999983</v>
      </c>
      <c r="AE76">
        <f t="shared" si="168"/>
        <v>0</v>
      </c>
      <c r="AF76">
        <f t="shared" si="169"/>
        <v>0</v>
      </c>
      <c r="AG76">
        <f t="shared" si="170"/>
        <v>0.12973999999999997</v>
      </c>
      <c r="AH76">
        <f t="shared" si="171"/>
        <v>99.600399999999993</v>
      </c>
      <c r="AI76">
        <f t="shared" si="172"/>
        <v>0</v>
      </c>
      <c r="AJ76">
        <f t="shared" si="173"/>
        <v>0</v>
      </c>
      <c r="AK76">
        <f t="shared" si="174"/>
        <v>0</v>
      </c>
      <c r="AL76">
        <f t="shared" si="175"/>
        <v>23.007692400000003</v>
      </c>
      <c r="AM76">
        <f t="shared" si="176"/>
        <v>72.110689600000001</v>
      </c>
    </row>
    <row r="77" spans="1:39" x14ac:dyDescent="0.25">
      <c r="A77" s="65" t="s">
        <v>46</v>
      </c>
      <c r="B77" s="61" t="s">
        <v>130</v>
      </c>
      <c r="C77" s="61">
        <v>8.2000000000000003E-2</v>
      </c>
      <c r="D77" s="61">
        <v>98.2</v>
      </c>
      <c r="E77" s="74">
        <v>0</v>
      </c>
      <c r="F77" s="74">
        <v>0</v>
      </c>
      <c r="G77" s="61">
        <v>0.62</v>
      </c>
      <c r="H77" s="61">
        <v>99.2</v>
      </c>
      <c r="I77" s="74">
        <v>0</v>
      </c>
      <c r="J77" s="74">
        <v>0</v>
      </c>
      <c r="K77" s="74">
        <v>0</v>
      </c>
      <c r="L77" s="61">
        <v>25.2</v>
      </c>
      <c r="M77" s="61">
        <v>68.900000000000006</v>
      </c>
      <c r="N77" s="66">
        <v>6104</v>
      </c>
      <c r="O77" s="67">
        <f t="shared" si="154"/>
        <v>5.00528</v>
      </c>
      <c r="P77" s="67">
        <f t="shared" si="155"/>
        <v>5994.1280000000006</v>
      </c>
      <c r="Q77" s="67">
        <f t="shared" ref="Q77:R77" si="195">E77*P77</f>
        <v>0</v>
      </c>
      <c r="R77" s="67">
        <f t="shared" si="195"/>
        <v>0</v>
      </c>
      <c r="S77" s="67">
        <f t="shared" si="157"/>
        <v>37.163593600000006</v>
      </c>
      <c r="T77" s="67">
        <f t="shared" si="158"/>
        <v>5946.1749760000012</v>
      </c>
      <c r="U77" s="67">
        <f t="shared" ref="U77:W77" si="196">I77*T77</f>
        <v>0</v>
      </c>
      <c r="V77" s="67">
        <f t="shared" si="196"/>
        <v>0</v>
      </c>
      <c r="W77" s="67">
        <f t="shared" si="196"/>
        <v>0</v>
      </c>
      <c r="X77" s="67">
        <f t="shared" si="160"/>
        <v>1498.4360939520004</v>
      </c>
      <c r="Y77" s="67">
        <f t="shared" si="161"/>
        <v>4096.9145584640009</v>
      </c>
      <c r="Z77" s="61" t="str">
        <f t="shared" si="162"/>
        <v>L</v>
      </c>
      <c r="AA77" s="68">
        <f t="shared" si="163"/>
        <v>12.575539246834531</v>
      </c>
      <c r="AB77" s="52" t="s">
        <v>170</v>
      </c>
      <c r="AC77">
        <f t="shared" si="166"/>
        <v>8.2000000000000003E-2</v>
      </c>
      <c r="AD77">
        <f t="shared" si="167"/>
        <v>98.2</v>
      </c>
      <c r="AE77">
        <f t="shared" si="168"/>
        <v>0</v>
      </c>
      <c r="AF77">
        <f t="shared" si="169"/>
        <v>0</v>
      </c>
      <c r="AG77">
        <f t="shared" si="170"/>
        <v>0.60884000000000005</v>
      </c>
      <c r="AH77">
        <f t="shared" si="171"/>
        <v>97.414400000000029</v>
      </c>
      <c r="AI77">
        <f t="shared" si="172"/>
        <v>0</v>
      </c>
      <c r="AJ77">
        <f t="shared" si="173"/>
        <v>0</v>
      </c>
      <c r="AK77">
        <f t="shared" si="174"/>
        <v>0</v>
      </c>
      <c r="AL77">
        <f t="shared" si="175"/>
        <v>24.548428800000007</v>
      </c>
      <c r="AM77">
        <f t="shared" si="176"/>
        <v>67.118521600000008</v>
      </c>
    </row>
    <row r="78" spans="1:39" x14ac:dyDescent="0.25">
      <c r="A78" s="65" t="s">
        <v>46</v>
      </c>
      <c r="B78" s="61" t="s">
        <v>31</v>
      </c>
      <c r="C78" s="61">
        <v>3.11</v>
      </c>
      <c r="D78" s="61">
        <v>96.4</v>
      </c>
      <c r="E78" s="74">
        <v>0</v>
      </c>
      <c r="F78" s="74">
        <v>0</v>
      </c>
      <c r="G78" s="61">
        <v>3.23</v>
      </c>
      <c r="H78" s="61">
        <v>95.9</v>
      </c>
      <c r="I78" s="74">
        <v>0</v>
      </c>
      <c r="J78" s="74">
        <v>0</v>
      </c>
      <c r="K78" s="74">
        <v>0</v>
      </c>
      <c r="L78" s="61">
        <v>24.5</v>
      </c>
      <c r="M78" s="61">
        <v>26</v>
      </c>
      <c r="N78" s="66">
        <v>225</v>
      </c>
      <c r="O78" s="67">
        <f t="shared" si="154"/>
        <v>6.9974999999999996</v>
      </c>
      <c r="P78" s="67">
        <f t="shared" si="155"/>
        <v>216.9</v>
      </c>
      <c r="Q78" s="67">
        <f t="shared" ref="Q78:R78" si="197">E78*P78</f>
        <v>0</v>
      </c>
      <c r="R78" s="67">
        <f t="shared" si="197"/>
        <v>0</v>
      </c>
      <c r="S78" s="67">
        <f t="shared" si="157"/>
        <v>7.0058699999999998</v>
      </c>
      <c r="T78" s="67">
        <f t="shared" si="158"/>
        <v>208.00710000000004</v>
      </c>
      <c r="U78" s="67">
        <f t="shared" ref="U78:W78" si="198">I78*T78</f>
        <v>0</v>
      </c>
      <c r="V78" s="67">
        <f t="shared" si="198"/>
        <v>0</v>
      </c>
      <c r="W78" s="67">
        <f t="shared" si="198"/>
        <v>0</v>
      </c>
      <c r="X78" s="67">
        <f t="shared" si="160"/>
        <v>50.961739500000014</v>
      </c>
      <c r="Y78" s="67">
        <f t="shared" si="161"/>
        <v>54.081846000000006</v>
      </c>
      <c r="Z78" s="61" t="str">
        <f t="shared" si="162"/>
        <v>M</v>
      </c>
      <c r="AA78" s="68">
        <f t="shared" si="163"/>
        <v>7.8137811912170374</v>
      </c>
      <c r="AB78" s="52" t="s">
        <v>170</v>
      </c>
      <c r="AC78">
        <f t="shared" si="166"/>
        <v>3.11</v>
      </c>
      <c r="AD78">
        <f t="shared" si="167"/>
        <v>96.4</v>
      </c>
      <c r="AE78">
        <f t="shared" si="168"/>
        <v>0</v>
      </c>
      <c r="AF78">
        <f t="shared" si="169"/>
        <v>0</v>
      </c>
      <c r="AG78">
        <f t="shared" si="170"/>
        <v>3.1137199999999998</v>
      </c>
      <c r="AH78">
        <f t="shared" si="171"/>
        <v>92.447600000000023</v>
      </c>
      <c r="AI78">
        <f t="shared" si="172"/>
        <v>0</v>
      </c>
      <c r="AJ78">
        <f t="shared" si="173"/>
        <v>0</v>
      </c>
      <c r="AK78">
        <f t="shared" si="174"/>
        <v>0</v>
      </c>
      <c r="AL78">
        <f t="shared" si="175"/>
        <v>22.649662000000006</v>
      </c>
      <c r="AM78">
        <f t="shared" si="176"/>
        <v>24.036376000000004</v>
      </c>
    </row>
    <row r="79" spans="1:39" x14ac:dyDescent="0.25">
      <c r="A79" s="65" t="s">
        <v>46</v>
      </c>
      <c r="B79" s="61" t="s">
        <v>157</v>
      </c>
      <c r="C79" s="61">
        <v>0.39</v>
      </c>
      <c r="D79" s="61">
        <v>99.5</v>
      </c>
      <c r="E79" s="74">
        <v>0</v>
      </c>
      <c r="F79" s="74">
        <v>0</v>
      </c>
      <c r="G79" s="61">
        <v>1.08</v>
      </c>
      <c r="H79" s="61">
        <v>98.6</v>
      </c>
      <c r="I79" s="74">
        <v>0</v>
      </c>
      <c r="J79" s="74">
        <v>0</v>
      </c>
      <c r="K79" s="74">
        <v>0</v>
      </c>
      <c r="L79" s="61">
        <v>1.49</v>
      </c>
      <c r="M79" s="61">
        <v>7.26</v>
      </c>
      <c r="N79" s="66">
        <v>1024</v>
      </c>
      <c r="O79" s="67">
        <f t="shared" si="154"/>
        <v>3.9936000000000003</v>
      </c>
      <c r="P79" s="67">
        <f t="shared" si="155"/>
        <v>1018.88</v>
      </c>
      <c r="Q79" s="67">
        <f t="shared" ref="Q79:R79" si="199">E79*P79</f>
        <v>0</v>
      </c>
      <c r="R79" s="67">
        <f t="shared" si="199"/>
        <v>0</v>
      </c>
      <c r="S79" s="67">
        <f t="shared" si="157"/>
        <v>11.003904</v>
      </c>
      <c r="T79" s="67">
        <f t="shared" si="158"/>
        <v>1004.61568</v>
      </c>
      <c r="U79" s="67">
        <f t="shared" ref="U79:W79" si="200">I79*T79</f>
        <v>0</v>
      </c>
      <c r="V79" s="67">
        <f t="shared" si="200"/>
        <v>0</v>
      </c>
      <c r="W79" s="67">
        <f t="shared" si="200"/>
        <v>0</v>
      </c>
      <c r="X79" s="67">
        <f t="shared" si="160"/>
        <v>14.968773632</v>
      </c>
      <c r="Y79" s="67">
        <f t="shared" si="161"/>
        <v>72.935098367999998</v>
      </c>
      <c r="Z79" s="61" t="str">
        <f t="shared" si="162"/>
        <v>L</v>
      </c>
      <c r="AA79" s="68">
        <f t="shared" si="163"/>
        <v>10</v>
      </c>
      <c r="AB79" s="52" t="s">
        <v>170</v>
      </c>
      <c r="AC79">
        <f t="shared" si="166"/>
        <v>0.39</v>
      </c>
      <c r="AD79">
        <f t="shared" si="167"/>
        <v>99.5</v>
      </c>
      <c r="AE79">
        <f t="shared" si="168"/>
        <v>0</v>
      </c>
      <c r="AF79">
        <f t="shared" si="169"/>
        <v>0</v>
      </c>
      <c r="AG79">
        <f t="shared" si="170"/>
        <v>1.0746</v>
      </c>
      <c r="AH79">
        <f t="shared" si="171"/>
        <v>98.106999999999999</v>
      </c>
      <c r="AI79">
        <f t="shared" si="172"/>
        <v>0</v>
      </c>
      <c r="AJ79">
        <f t="shared" si="173"/>
        <v>0</v>
      </c>
      <c r="AK79">
        <f t="shared" si="174"/>
        <v>0</v>
      </c>
      <c r="AL79">
        <f t="shared" si="175"/>
        <v>1.4617943</v>
      </c>
      <c r="AM79">
        <f t="shared" si="176"/>
        <v>7.1225681999999999</v>
      </c>
    </row>
    <row r="80" spans="1:39" x14ac:dyDescent="0.25">
      <c r="A80" s="65" t="s">
        <v>46</v>
      </c>
      <c r="B80" s="61" t="s">
        <v>84</v>
      </c>
      <c r="C80" s="61">
        <v>1.03</v>
      </c>
      <c r="D80" s="61">
        <v>99</v>
      </c>
      <c r="E80" s="74">
        <v>0</v>
      </c>
      <c r="F80" s="74">
        <v>0</v>
      </c>
      <c r="G80" s="61">
        <v>4.17</v>
      </c>
      <c r="H80" s="61">
        <v>95.3</v>
      </c>
      <c r="I80" s="74">
        <v>0</v>
      </c>
      <c r="J80" s="74">
        <v>0</v>
      </c>
      <c r="K80" s="74">
        <v>0</v>
      </c>
      <c r="L80" s="61">
        <v>29.5</v>
      </c>
      <c r="M80" s="61">
        <v>4.37</v>
      </c>
      <c r="N80" s="66">
        <v>194</v>
      </c>
      <c r="O80" s="67">
        <f t="shared" si="154"/>
        <v>1.9982</v>
      </c>
      <c r="P80" s="67">
        <f t="shared" si="155"/>
        <v>192.06</v>
      </c>
      <c r="Q80" s="67">
        <f t="shared" ref="Q80:R80" si="201">E80*P80</f>
        <v>0</v>
      </c>
      <c r="R80" s="67">
        <f t="shared" si="201"/>
        <v>0</v>
      </c>
      <c r="S80" s="67">
        <f t="shared" si="157"/>
        <v>8.0089020000000009</v>
      </c>
      <c r="T80" s="67">
        <f t="shared" si="158"/>
        <v>183.03317999999999</v>
      </c>
      <c r="U80" s="67">
        <f t="shared" ref="U80:W80" si="202">I80*T80</f>
        <v>0</v>
      </c>
      <c r="V80" s="67">
        <f t="shared" si="202"/>
        <v>0</v>
      </c>
      <c r="W80" s="67">
        <f t="shared" si="202"/>
        <v>0</v>
      </c>
      <c r="X80" s="67">
        <f t="shared" si="160"/>
        <v>53.994788099999994</v>
      </c>
      <c r="Y80" s="67">
        <f t="shared" si="161"/>
        <v>7.9985499659999997</v>
      </c>
      <c r="Z80" s="61" t="str">
        <f t="shared" si="162"/>
        <v>M</v>
      </c>
      <c r="AA80" s="68">
        <f t="shared" si="163"/>
        <v>7.5999128421871278</v>
      </c>
      <c r="AB80" s="52" t="s">
        <v>170</v>
      </c>
      <c r="AC80">
        <f t="shared" si="166"/>
        <v>1.03</v>
      </c>
      <c r="AD80">
        <f t="shared" si="167"/>
        <v>99</v>
      </c>
      <c r="AE80">
        <f t="shared" si="168"/>
        <v>0</v>
      </c>
      <c r="AF80">
        <f t="shared" si="169"/>
        <v>0</v>
      </c>
      <c r="AG80">
        <f t="shared" si="170"/>
        <v>4.1283000000000003</v>
      </c>
      <c r="AH80">
        <f t="shared" si="171"/>
        <v>94.346999999999994</v>
      </c>
      <c r="AI80">
        <f t="shared" si="172"/>
        <v>0</v>
      </c>
      <c r="AJ80">
        <f t="shared" si="173"/>
        <v>0</v>
      </c>
      <c r="AK80">
        <f t="shared" si="174"/>
        <v>0</v>
      </c>
      <c r="AL80">
        <f t="shared" si="175"/>
        <v>27.832364999999999</v>
      </c>
      <c r="AM80">
        <f t="shared" si="176"/>
        <v>4.1229639000000002</v>
      </c>
    </row>
    <row r="81" spans="1:39" x14ac:dyDescent="0.25">
      <c r="A81" s="65" t="s">
        <v>46</v>
      </c>
      <c r="B81" s="61" t="s">
        <v>34</v>
      </c>
      <c r="C81" s="61">
        <v>3.59</v>
      </c>
      <c r="D81" s="61">
        <v>95.7</v>
      </c>
      <c r="E81" s="74">
        <v>0</v>
      </c>
      <c r="F81" s="74">
        <v>0</v>
      </c>
      <c r="G81" s="61">
        <v>2.4300000000000002</v>
      </c>
      <c r="H81" s="61">
        <v>97</v>
      </c>
      <c r="I81" s="74">
        <v>0</v>
      </c>
      <c r="J81" s="74">
        <v>0</v>
      </c>
      <c r="K81" s="74">
        <v>0</v>
      </c>
      <c r="L81" s="61">
        <v>62.8</v>
      </c>
      <c r="M81" s="61">
        <v>3.93</v>
      </c>
      <c r="N81" s="66">
        <v>3261</v>
      </c>
      <c r="O81" s="67">
        <f t="shared" si="154"/>
        <v>117.0699</v>
      </c>
      <c r="P81" s="67">
        <f t="shared" si="155"/>
        <v>3120.777</v>
      </c>
      <c r="Q81" s="67">
        <f t="shared" ref="Q81:R81" si="203">E81*P81</f>
        <v>0</v>
      </c>
      <c r="R81" s="67">
        <f t="shared" si="203"/>
        <v>0</v>
      </c>
      <c r="S81" s="67">
        <f t="shared" si="157"/>
        <v>75.834881100000004</v>
      </c>
      <c r="T81" s="67">
        <f t="shared" si="158"/>
        <v>3027.1536900000001</v>
      </c>
      <c r="U81" s="67">
        <f t="shared" ref="U81:W81" si="204">I81*T81</f>
        <v>0</v>
      </c>
      <c r="V81" s="67">
        <f t="shared" si="204"/>
        <v>0</v>
      </c>
      <c r="W81" s="67">
        <f t="shared" si="204"/>
        <v>0</v>
      </c>
      <c r="X81" s="67">
        <f t="shared" si="160"/>
        <v>1901.0525173200001</v>
      </c>
      <c r="Y81" s="67">
        <f t="shared" si="161"/>
        <v>118.96714001700001</v>
      </c>
      <c r="Z81" s="61" t="str">
        <f t="shared" si="162"/>
        <v>L</v>
      </c>
      <c r="AA81" s="68">
        <f t="shared" si="163"/>
        <v>11.671098725748465</v>
      </c>
      <c r="AB81" s="52" t="s">
        <v>170</v>
      </c>
      <c r="AC81">
        <f t="shared" si="166"/>
        <v>3.5900000000000003</v>
      </c>
      <c r="AD81">
        <f t="shared" si="167"/>
        <v>95.7</v>
      </c>
      <c r="AE81">
        <f t="shared" si="168"/>
        <v>0</v>
      </c>
      <c r="AF81">
        <f t="shared" si="169"/>
        <v>0</v>
      </c>
      <c r="AG81">
        <f t="shared" si="170"/>
        <v>2.32551</v>
      </c>
      <c r="AH81">
        <f t="shared" si="171"/>
        <v>92.829000000000008</v>
      </c>
      <c r="AI81">
        <f t="shared" si="172"/>
        <v>0</v>
      </c>
      <c r="AJ81">
        <f t="shared" si="173"/>
        <v>0</v>
      </c>
      <c r="AK81">
        <f t="shared" si="174"/>
        <v>0</v>
      </c>
      <c r="AL81">
        <f t="shared" si="175"/>
        <v>58.296612000000003</v>
      </c>
      <c r="AM81">
        <f t="shared" si="176"/>
        <v>3.6481797000000005</v>
      </c>
    </row>
    <row r="82" spans="1:39" x14ac:dyDescent="0.25">
      <c r="A82" s="65" t="s">
        <v>46</v>
      </c>
      <c r="B82" s="61" t="s">
        <v>158</v>
      </c>
      <c r="C82" s="61">
        <v>3.22</v>
      </c>
      <c r="D82" s="61">
        <v>96.2</v>
      </c>
      <c r="E82" s="74">
        <v>0</v>
      </c>
      <c r="F82" s="74">
        <v>0</v>
      </c>
      <c r="G82" s="61">
        <v>14.2</v>
      </c>
      <c r="H82" s="61">
        <v>84.6</v>
      </c>
      <c r="I82" s="74">
        <v>0</v>
      </c>
      <c r="J82" s="74">
        <v>0</v>
      </c>
      <c r="K82" s="74">
        <v>0</v>
      </c>
      <c r="L82" s="61">
        <v>42.2</v>
      </c>
      <c r="M82" s="61">
        <v>3.07</v>
      </c>
      <c r="N82" s="66">
        <v>7485</v>
      </c>
      <c r="O82" s="67">
        <f t="shared" si="154"/>
        <v>241.017</v>
      </c>
      <c r="P82" s="67">
        <f t="shared" si="155"/>
        <v>7200.57</v>
      </c>
      <c r="Q82" s="67">
        <f t="shared" ref="Q82:R82" si="205">E82*P82</f>
        <v>0</v>
      </c>
      <c r="R82" s="67">
        <f t="shared" si="205"/>
        <v>0</v>
      </c>
      <c r="S82" s="67">
        <f t="shared" si="157"/>
        <v>1022.4809399999999</v>
      </c>
      <c r="T82" s="67">
        <f t="shared" si="158"/>
        <v>6091.6822199999997</v>
      </c>
      <c r="U82" s="67">
        <f t="shared" ref="U82:W82" si="206">I82*T82</f>
        <v>0</v>
      </c>
      <c r="V82" s="67">
        <f t="shared" si="206"/>
        <v>0</v>
      </c>
      <c r="W82" s="67">
        <f t="shared" si="206"/>
        <v>0</v>
      </c>
      <c r="X82" s="67">
        <f t="shared" si="160"/>
        <v>2570.6898968400001</v>
      </c>
      <c r="Y82" s="67">
        <f t="shared" si="161"/>
        <v>187.01464415399997</v>
      </c>
      <c r="Z82" s="61" t="str">
        <f t="shared" si="162"/>
        <v>L</v>
      </c>
      <c r="AA82" s="68">
        <f t="shared" si="163"/>
        <v>12.86978660094578</v>
      </c>
      <c r="AB82" s="52" t="s">
        <v>170</v>
      </c>
      <c r="AC82">
        <f t="shared" si="166"/>
        <v>3.2199999999999998</v>
      </c>
      <c r="AD82">
        <f t="shared" si="167"/>
        <v>96.2</v>
      </c>
      <c r="AE82">
        <f t="shared" si="168"/>
        <v>0</v>
      </c>
      <c r="AF82">
        <f t="shared" si="169"/>
        <v>0</v>
      </c>
      <c r="AG82">
        <f t="shared" si="170"/>
        <v>13.660399999999997</v>
      </c>
      <c r="AH82">
        <f t="shared" si="171"/>
        <v>81.385199999999998</v>
      </c>
      <c r="AI82">
        <f t="shared" si="172"/>
        <v>0</v>
      </c>
      <c r="AJ82">
        <f t="shared" si="173"/>
        <v>0</v>
      </c>
      <c r="AK82">
        <f t="shared" si="174"/>
        <v>0</v>
      </c>
      <c r="AL82">
        <f t="shared" si="175"/>
        <v>34.3445544</v>
      </c>
      <c r="AM82">
        <f t="shared" si="176"/>
        <v>2.4985256399999995</v>
      </c>
    </row>
    <row r="83" spans="1:39" x14ac:dyDescent="0.25">
      <c r="A83" s="65" t="s">
        <v>46</v>
      </c>
      <c r="B83" s="61" t="s">
        <v>118</v>
      </c>
      <c r="C83" s="61">
        <v>0.73</v>
      </c>
      <c r="D83" s="61">
        <v>99.1</v>
      </c>
      <c r="E83" s="74">
        <v>0</v>
      </c>
      <c r="F83" s="74">
        <v>0</v>
      </c>
      <c r="G83" s="61">
        <v>1.84</v>
      </c>
      <c r="H83" s="61">
        <v>97.8</v>
      </c>
      <c r="I83" s="74">
        <v>0</v>
      </c>
      <c r="J83" s="74">
        <v>0</v>
      </c>
      <c r="K83" s="74">
        <v>0</v>
      </c>
      <c r="L83" s="61">
        <v>60.8</v>
      </c>
      <c r="M83" s="61">
        <v>22</v>
      </c>
      <c r="N83" s="66">
        <v>548</v>
      </c>
      <c r="O83" s="67">
        <f t="shared" si="154"/>
        <v>4.0004</v>
      </c>
      <c r="P83" s="67">
        <f t="shared" si="155"/>
        <v>543.06799999999998</v>
      </c>
      <c r="Q83" s="67">
        <f t="shared" ref="Q83:R83" si="207">E83*P83</f>
        <v>0</v>
      </c>
      <c r="R83" s="67">
        <f t="shared" si="207"/>
        <v>0</v>
      </c>
      <c r="S83" s="67">
        <f t="shared" si="157"/>
        <v>9.9924511999999996</v>
      </c>
      <c r="T83" s="67">
        <f t="shared" si="158"/>
        <v>531.12050399999998</v>
      </c>
      <c r="U83" s="67">
        <f t="shared" ref="U83:W83" si="208">I83*T83</f>
        <v>0</v>
      </c>
      <c r="V83" s="67">
        <f t="shared" si="208"/>
        <v>0</v>
      </c>
      <c r="W83" s="67">
        <f t="shared" si="208"/>
        <v>0</v>
      </c>
      <c r="X83" s="67">
        <f t="shared" si="160"/>
        <v>322.92126643199998</v>
      </c>
      <c r="Y83" s="67">
        <f t="shared" si="161"/>
        <v>116.84651087999998</v>
      </c>
      <c r="Z83" s="61" t="str">
        <f t="shared" si="162"/>
        <v>M</v>
      </c>
      <c r="AA83" s="68">
        <f t="shared" si="163"/>
        <v>9.0980320829605272</v>
      </c>
      <c r="AB83" s="52" t="s">
        <v>170</v>
      </c>
      <c r="AC83">
        <f t="shared" si="166"/>
        <v>0.73</v>
      </c>
      <c r="AD83">
        <f t="shared" si="167"/>
        <v>99.1</v>
      </c>
      <c r="AE83">
        <f t="shared" si="168"/>
        <v>0</v>
      </c>
      <c r="AF83">
        <f t="shared" si="169"/>
        <v>0</v>
      </c>
      <c r="AG83">
        <f t="shared" si="170"/>
        <v>1.8234399999999997</v>
      </c>
      <c r="AH83">
        <f t="shared" si="171"/>
        <v>96.919799999999995</v>
      </c>
      <c r="AI83">
        <f t="shared" si="172"/>
        <v>0</v>
      </c>
      <c r="AJ83">
        <f t="shared" si="173"/>
        <v>0</v>
      </c>
      <c r="AK83">
        <f t="shared" si="174"/>
        <v>0</v>
      </c>
      <c r="AL83">
        <f t="shared" si="175"/>
        <v>58.927238399999993</v>
      </c>
      <c r="AM83">
        <f t="shared" si="176"/>
        <v>21.322355999999999</v>
      </c>
    </row>
    <row r="84" spans="1:39" x14ac:dyDescent="0.25">
      <c r="A84" s="65" t="s">
        <v>46</v>
      </c>
      <c r="B84" s="61" t="s">
        <v>119</v>
      </c>
      <c r="C84" s="61">
        <v>7.1999999999999995E-2</v>
      </c>
      <c r="D84" s="61">
        <v>99.5</v>
      </c>
      <c r="E84" s="74">
        <v>0</v>
      </c>
      <c r="F84" s="74">
        <v>0</v>
      </c>
      <c r="G84" s="61">
        <v>0.24</v>
      </c>
      <c r="H84" s="61">
        <v>99.7</v>
      </c>
      <c r="I84" s="74">
        <v>0</v>
      </c>
      <c r="J84" s="74">
        <v>0</v>
      </c>
      <c r="K84" s="74">
        <v>0</v>
      </c>
      <c r="L84" s="61">
        <v>25.7</v>
      </c>
      <c r="M84" s="61">
        <v>69.2</v>
      </c>
      <c r="N84" s="66">
        <v>5550</v>
      </c>
      <c r="O84" s="67">
        <f t="shared" si="154"/>
        <v>3.9959999999999996</v>
      </c>
      <c r="P84" s="67">
        <f t="shared" si="155"/>
        <v>5522.25</v>
      </c>
      <c r="Q84" s="67">
        <f t="shared" ref="Q84:R84" si="209">E84*P84</f>
        <v>0</v>
      </c>
      <c r="R84" s="67">
        <f t="shared" si="209"/>
        <v>0</v>
      </c>
      <c r="S84" s="67">
        <f t="shared" si="157"/>
        <v>13.253399999999999</v>
      </c>
      <c r="T84" s="67">
        <f t="shared" si="158"/>
        <v>5505.683250000001</v>
      </c>
      <c r="U84" s="67">
        <f t="shared" ref="U84:W84" si="210">I84*T84</f>
        <v>0</v>
      </c>
      <c r="V84" s="67">
        <f t="shared" si="210"/>
        <v>0</v>
      </c>
      <c r="W84" s="67">
        <f t="shared" si="210"/>
        <v>0</v>
      </c>
      <c r="X84" s="67">
        <f t="shared" si="160"/>
        <v>1414.9605952500001</v>
      </c>
      <c r="Y84" s="67">
        <f t="shared" si="161"/>
        <v>3809.9328090000008</v>
      </c>
      <c r="Z84" s="61" t="str">
        <f t="shared" si="162"/>
        <v>L</v>
      </c>
      <c r="AA84" s="68">
        <f t="shared" si="163"/>
        <v>12.438272056124831</v>
      </c>
      <c r="AB84" s="52" t="s">
        <v>170</v>
      </c>
      <c r="AC84">
        <f t="shared" si="166"/>
        <v>7.1999999999999995E-2</v>
      </c>
      <c r="AD84">
        <f t="shared" si="167"/>
        <v>99.5</v>
      </c>
      <c r="AE84">
        <f t="shared" si="168"/>
        <v>0</v>
      </c>
      <c r="AF84">
        <f t="shared" si="169"/>
        <v>0</v>
      </c>
      <c r="AG84">
        <f t="shared" si="170"/>
        <v>0.23879999999999998</v>
      </c>
      <c r="AH84">
        <f t="shared" si="171"/>
        <v>99.201500000000024</v>
      </c>
      <c r="AI84">
        <f t="shared" si="172"/>
        <v>0</v>
      </c>
      <c r="AJ84">
        <f t="shared" si="173"/>
        <v>0</v>
      </c>
      <c r="AK84">
        <f t="shared" si="174"/>
        <v>0</v>
      </c>
      <c r="AL84">
        <f t="shared" si="175"/>
        <v>25.494785499999999</v>
      </c>
      <c r="AM84">
        <f t="shared" si="176"/>
        <v>68.647438000000022</v>
      </c>
    </row>
    <row r="85" spans="1:39" x14ac:dyDescent="0.25">
      <c r="A85" s="65" t="s">
        <v>46</v>
      </c>
      <c r="B85" s="61" t="s">
        <v>160</v>
      </c>
      <c r="C85" s="61">
        <v>0.11</v>
      </c>
      <c r="D85" s="61">
        <v>94</v>
      </c>
      <c r="E85" s="74">
        <v>0</v>
      </c>
      <c r="F85" s="74">
        <v>0</v>
      </c>
      <c r="G85" s="61">
        <v>2.74</v>
      </c>
      <c r="H85" s="61">
        <v>96.1</v>
      </c>
      <c r="I85" s="74">
        <v>0</v>
      </c>
      <c r="J85" s="74">
        <v>0</v>
      </c>
      <c r="K85" s="74">
        <v>0</v>
      </c>
      <c r="L85" s="61">
        <v>43.7</v>
      </c>
      <c r="M85" s="61">
        <v>43.8</v>
      </c>
      <c r="N85" s="66">
        <v>933</v>
      </c>
      <c r="O85" s="67">
        <f t="shared" si="154"/>
        <v>1.0263</v>
      </c>
      <c r="P85" s="67">
        <f t="shared" si="155"/>
        <v>877.02</v>
      </c>
      <c r="Q85" s="67">
        <f t="shared" ref="Q85:R85" si="211">E85*P85</f>
        <v>0</v>
      </c>
      <c r="R85" s="67">
        <f t="shared" si="211"/>
        <v>0</v>
      </c>
      <c r="S85" s="67">
        <f t="shared" si="157"/>
        <v>24.030348000000004</v>
      </c>
      <c r="T85" s="67">
        <f t="shared" si="158"/>
        <v>842.81621999999993</v>
      </c>
      <c r="U85" s="67">
        <f t="shared" ref="U85:W85" si="212">I85*T85</f>
        <v>0</v>
      </c>
      <c r="V85" s="67">
        <f t="shared" si="212"/>
        <v>0</v>
      </c>
      <c r="W85" s="67">
        <f t="shared" si="212"/>
        <v>0</v>
      </c>
      <c r="X85" s="67">
        <f t="shared" si="160"/>
        <v>368.31068813999997</v>
      </c>
      <c r="Y85" s="67">
        <f t="shared" si="161"/>
        <v>369.15350435999994</v>
      </c>
      <c r="Z85" s="61" t="str">
        <f t="shared" si="162"/>
        <v>M</v>
      </c>
      <c r="AA85" s="68">
        <f t="shared" si="163"/>
        <v>9.8657332708517593</v>
      </c>
      <c r="AB85" s="52" t="s">
        <v>170</v>
      </c>
      <c r="AC85">
        <f t="shared" si="166"/>
        <v>0.11</v>
      </c>
      <c r="AD85">
        <f t="shared" si="167"/>
        <v>94</v>
      </c>
      <c r="AE85">
        <f t="shared" si="168"/>
        <v>0</v>
      </c>
      <c r="AF85">
        <f t="shared" si="169"/>
        <v>0</v>
      </c>
      <c r="AG85">
        <f t="shared" si="170"/>
        <v>2.5756000000000006</v>
      </c>
      <c r="AH85">
        <f t="shared" si="171"/>
        <v>90.333999999999989</v>
      </c>
      <c r="AI85">
        <f t="shared" si="172"/>
        <v>0</v>
      </c>
      <c r="AJ85">
        <f t="shared" si="173"/>
        <v>0</v>
      </c>
      <c r="AK85">
        <f t="shared" si="174"/>
        <v>0</v>
      </c>
      <c r="AL85">
        <f t="shared" si="175"/>
        <v>39.475957999999991</v>
      </c>
      <c r="AM85">
        <f t="shared" si="176"/>
        <v>39.56629199999999</v>
      </c>
    </row>
    <row r="86" spans="1:39" x14ac:dyDescent="0.25">
      <c r="A86" s="65" t="s">
        <v>46</v>
      </c>
      <c r="B86" s="61" t="s">
        <v>103</v>
      </c>
      <c r="C86" s="61">
        <v>0.31</v>
      </c>
      <c r="D86" s="61">
        <v>99.2</v>
      </c>
      <c r="E86" s="74">
        <v>0</v>
      </c>
      <c r="F86" s="74">
        <v>0</v>
      </c>
      <c r="G86" s="61">
        <v>3.01</v>
      </c>
      <c r="H86" s="61">
        <v>96.7</v>
      </c>
      <c r="I86" s="74">
        <v>0</v>
      </c>
      <c r="J86" s="74">
        <v>0</v>
      </c>
      <c r="K86" s="74">
        <v>0</v>
      </c>
      <c r="L86" s="61">
        <v>71.2</v>
      </c>
      <c r="M86" s="61">
        <v>0.84</v>
      </c>
      <c r="N86" s="66">
        <v>2246</v>
      </c>
      <c r="O86" s="67">
        <f t="shared" si="154"/>
        <v>6.9626000000000001</v>
      </c>
      <c r="P86" s="67">
        <f t="shared" si="155"/>
        <v>2228.0320000000002</v>
      </c>
      <c r="Q86" s="67">
        <f t="shared" ref="Q86:R86" si="213">E86*P86</f>
        <v>0</v>
      </c>
      <c r="R86" s="67">
        <f t="shared" si="213"/>
        <v>0</v>
      </c>
      <c r="S86" s="67">
        <f t="shared" si="157"/>
        <v>67.063763199999997</v>
      </c>
      <c r="T86" s="67">
        <f t="shared" si="158"/>
        <v>2154.5069440000002</v>
      </c>
      <c r="U86" s="67">
        <f t="shared" ref="U86:W86" si="214">I86*T86</f>
        <v>0</v>
      </c>
      <c r="V86" s="67">
        <f t="shared" si="214"/>
        <v>0</v>
      </c>
      <c r="W86" s="67">
        <f t="shared" si="214"/>
        <v>0</v>
      </c>
      <c r="X86" s="67">
        <f t="shared" si="160"/>
        <v>1534.0089441280004</v>
      </c>
      <c r="Y86" s="67">
        <f t="shared" si="161"/>
        <v>18.097858329600001</v>
      </c>
      <c r="Z86" s="61" t="str">
        <f t="shared" si="162"/>
        <v>L</v>
      </c>
      <c r="AA86" s="68">
        <f t="shared" si="163"/>
        <v>11.133142212400601</v>
      </c>
      <c r="AB86" s="52" t="s">
        <v>170</v>
      </c>
      <c r="AC86">
        <f t="shared" si="166"/>
        <v>0.31</v>
      </c>
      <c r="AD86">
        <f t="shared" si="167"/>
        <v>99.200000000000017</v>
      </c>
      <c r="AE86">
        <f t="shared" si="168"/>
        <v>0</v>
      </c>
      <c r="AF86">
        <f t="shared" si="169"/>
        <v>0</v>
      </c>
      <c r="AG86">
        <f t="shared" si="170"/>
        <v>2.9859199999999997</v>
      </c>
      <c r="AH86">
        <f t="shared" si="171"/>
        <v>95.926400000000015</v>
      </c>
      <c r="AI86">
        <f t="shared" si="172"/>
        <v>0</v>
      </c>
      <c r="AJ86">
        <f t="shared" si="173"/>
        <v>0</v>
      </c>
      <c r="AK86">
        <f t="shared" si="174"/>
        <v>0</v>
      </c>
      <c r="AL86">
        <f t="shared" si="175"/>
        <v>68.299596800000018</v>
      </c>
      <c r="AM86">
        <f t="shared" si="176"/>
        <v>0.80578176000000012</v>
      </c>
    </row>
    <row r="87" spans="1:39" x14ac:dyDescent="0.25">
      <c r="A87" s="65" t="s">
        <v>46</v>
      </c>
      <c r="B87" s="61" t="s">
        <v>120</v>
      </c>
      <c r="C87" s="61">
        <v>1.32</v>
      </c>
      <c r="D87" s="61">
        <v>98.5</v>
      </c>
      <c r="E87" s="74">
        <v>0</v>
      </c>
      <c r="F87" s="74">
        <v>0</v>
      </c>
      <c r="G87" s="61">
        <v>0.68</v>
      </c>
      <c r="H87" s="61">
        <v>99.2</v>
      </c>
      <c r="I87" s="74">
        <v>0</v>
      </c>
      <c r="J87" s="74">
        <v>0</v>
      </c>
      <c r="K87" s="74">
        <v>0</v>
      </c>
      <c r="L87" s="61">
        <v>53.6</v>
      </c>
      <c r="M87" s="61">
        <v>2.64</v>
      </c>
      <c r="N87" s="66">
        <v>3563</v>
      </c>
      <c r="O87" s="67">
        <f t="shared" si="154"/>
        <v>47.031599999999997</v>
      </c>
      <c r="P87" s="67">
        <f t="shared" si="155"/>
        <v>3509.5549999999998</v>
      </c>
      <c r="Q87" s="67">
        <f t="shared" ref="Q87:R87" si="215">E87*P87</f>
        <v>0</v>
      </c>
      <c r="R87" s="67">
        <f t="shared" si="215"/>
        <v>0</v>
      </c>
      <c r="S87" s="67">
        <f t="shared" si="157"/>
        <v>23.864974000000004</v>
      </c>
      <c r="T87" s="67">
        <f t="shared" si="158"/>
        <v>3481.4785599999996</v>
      </c>
      <c r="U87" s="67">
        <f t="shared" ref="U87:W87" si="216">I87*T87</f>
        <v>0</v>
      </c>
      <c r="V87" s="67">
        <f t="shared" si="216"/>
        <v>0</v>
      </c>
      <c r="W87" s="67">
        <f t="shared" si="216"/>
        <v>0</v>
      </c>
      <c r="X87" s="67">
        <f t="shared" si="160"/>
        <v>1866.0725081599999</v>
      </c>
      <c r="Y87" s="67">
        <f t="shared" si="161"/>
        <v>91.911033983999985</v>
      </c>
      <c r="Z87" s="61" t="str">
        <f t="shared" si="162"/>
        <v>L</v>
      </c>
      <c r="AA87" s="68">
        <f t="shared" si="163"/>
        <v>11.798876768133299</v>
      </c>
      <c r="AB87" s="52" t="s">
        <v>170</v>
      </c>
      <c r="AC87">
        <f t="shared" si="166"/>
        <v>1.32</v>
      </c>
      <c r="AD87">
        <f t="shared" si="167"/>
        <v>98.5</v>
      </c>
      <c r="AE87">
        <f t="shared" si="168"/>
        <v>0</v>
      </c>
      <c r="AF87">
        <f t="shared" si="169"/>
        <v>0</v>
      </c>
      <c r="AG87">
        <f t="shared" si="170"/>
        <v>0.66980000000000006</v>
      </c>
      <c r="AH87">
        <f t="shared" si="171"/>
        <v>97.711999999999989</v>
      </c>
      <c r="AI87">
        <f t="shared" si="172"/>
        <v>0</v>
      </c>
      <c r="AJ87">
        <f t="shared" si="173"/>
        <v>0</v>
      </c>
      <c r="AK87">
        <f t="shared" si="174"/>
        <v>0</v>
      </c>
      <c r="AL87">
        <f t="shared" si="175"/>
        <v>52.373631999999994</v>
      </c>
      <c r="AM87">
        <f t="shared" si="176"/>
        <v>2.5795967999999996</v>
      </c>
    </row>
    <row r="88" spans="1:39" x14ac:dyDescent="0.25">
      <c r="A88" s="65" t="s">
        <v>46</v>
      </c>
      <c r="B88" s="61" t="s">
        <v>36</v>
      </c>
      <c r="C88" s="61">
        <v>2.2000000000000002</v>
      </c>
      <c r="D88" s="61">
        <v>97.1</v>
      </c>
      <c r="E88" s="74">
        <v>0</v>
      </c>
      <c r="F88" s="74">
        <v>0</v>
      </c>
      <c r="G88" s="61">
        <v>1.89</v>
      </c>
      <c r="H88" s="61">
        <v>98.1</v>
      </c>
      <c r="I88" s="74">
        <v>0</v>
      </c>
      <c r="J88" s="74">
        <v>0</v>
      </c>
      <c r="K88" s="74">
        <v>0</v>
      </c>
      <c r="L88" s="61">
        <v>58.8</v>
      </c>
      <c r="M88" s="61">
        <v>8.08</v>
      </c>
      <c r="N88" s="66">
        <v>273</v>
      </c>
      <c r="O88" s="67">
        <f t="shared" si="154"/>
        <v>6.0060000000000002</v>
      </c>
      <c r="P88" s="67">
        <f t="shared" si="155"/>
        <v>265.08299999999997</v>
      </c>
      <c r="Q88" s="67">
        <f t="shared" ref="Q88:R88" si="217">E88*P88</f>
        <v>0</v>
      </c>
      <c r="R88" s="67">
        <f t="shared" si="217"/>
        <v>0</v>
      </c>
      <c r="S88" s="67">
        <f t="shared" si="157"/>
        <v>5.0100686999999997</v>
      </c>
      <c r="T88" s="67">
        <f t="shared" si="158"/>
        <v>260.04642299999995</v>
      </c>
      <c r="U88" s="67">
        <f t="shared" ref="U88:W88" si="218">I88*T88</f>
        <v>0</v>
      </c>
      <c r="V88" s="67">
        <f t="shared" si="218"/>
        <v>0</v>
      </c>
      <c r="W88" s="67">
        <f t="shared" si="218"/>
        <v>0</v>
      </c>
      <c r="X88" s="67">
        <f t="shared" si="160"/>
        <v>152.90729672399996</v>
      </c>
      <c r="Y88" s="67">
        <f t="shared" si="161"/>
        <v>21.011750978399995</v>
      </c>
      <c r="Z88" s="61" t="str">
        <f t="shared" si="162"/>
        <v>M</v>
      </c>
      <c r="AA88" s="68">
        <f t="shared" si="163"/>
        <v>8.0927571409198524</v>
      </c>
      <c r="AB88" s="52" t="s">
        <v>170</v>
      </c>
      <c r="AC88">
        <f t="shared" si="166"/>
        <v>2.2000000000000002</v>
      </c>
      <c r="AD88">
        <f t="shared" si="167"/>
        <v>97.09999999999998</v>
      </c>
      <c r="AE88">
        <f t="shared" si="168"/>
        <v>0</v>
      </c>
      <c r="AF88">
        <f t="shared" si="169"/>
        <v>0</v>
      </c>
      <c r="AG88">
        <f t="shared" si="170"/>
        <v>1.8351899999999997</v>
      </c>
      <c r="AH88">
        <f t="shared" si="171"/>
        <v>95.255099999999985</v>
      </c>
      <c r="AI88">
        <f t="shared" si="172"/>
        <v>0</v>
      </c>
      <c r="AJ88">
        <f t="shared" si="173"/>
        <v>0</v>
      </c>
      <c r="AK88">
        <f t="shared" si="174"/>
        <v>0</v>
      </c>
      <c r="AL88">
        <f t="shared" si="175"/>
        <v>56.009998799999984</v>
      </c>
      <c r="AM88">
        <f t="shared" si="176"/>
        <v>7.6966120799999977</v>
      </c>
    </row>
    <row r="89" spans="1:39" x14ac:dyDescent="0.25">
      <c r="A89" s="65" t="s">
        <v>46</v>
      </c>
      <c r="B89" s="61" t="s">
        <v>104</v>
      </c>
      <c r="C89" s="61">
        <v>0.46</v>
      </c>
      <c r="D89" s="61">
        <v>99.5</v>
      </c>
      <c r="E89" s="74">
        <v>0</v>
      </c>
      <c r="F89" s="74">
        <v>0</v>
      </c>
      <c r="G89" s="61">
        <v>0.64</v>
      </c>
      <c r="H89" s="61">
        <v>99.3</v>
      </c>
      <c r="I89" s="74">
        <v>0</v>
      </c>
      <c r="J89" s="74">
        <v>0</v>
      </c>
      <c r="K89" s="74">
        <v>0</v>
      </c>
      <c r="L89" s="61">
        <v>17.8</v>
      </c>
      <c r="M89" s="61">
        <v>6.52</v>
      </c>
      <c r="N89" s="66">
        <v>1737</v>
      </c>
      <c r="O89" s="67">
        <f t="shared" si="154"/>
        <v>7.9901999999999997</v>
      </c>
      <c r="P89" s="67">
        <f t="shared" si="155"/>
        <v>1728.3150000000001</v>
      </c>
      <c r="Q89" s="67">
        <f t="shared" ref="Q89:R89" si="219">E89*P89</f>
        <v>0</v>
      </c>
      <c r="R89" s="67">
        <f t="shared" si="219"/>
        <v>0</v>
      </c>
      <c r="S89" s="67">
        <f t="shared" si="157"/>
        <v>11.061216000000002</v>
      </c>
      <c r="T89" s="67">
        <f t="shared" si="158"/>
        <v>1716.216795</v>
      </c>
      <c r="U89" s="67">
        <f t="shared" ref="U89:W89" si="220">I89*T89</f>
        <v>0</v>
      </c>
      <c r="V89" s="67">
        <f t="shared" si="220"/>
        <v>0</v>
      </c>
      <c r="W89" s="67">
        <f t="shared" si="220"/>
        <v>0</v>
      </c>
      <c r="X89" s="67">
        <f t="shared" si="160"/>
        <v>305.48658950999999</v>
      </c>
      <c r="Y89" s="67">
        <f t="shared" si="161"/>
        <v>111.89733503399999</v>
      </c>
      <c r="Z89" s="61" t="str">
        <f t="shared" si="162"/>
        <v>L</v>
      </c>
      <c r="AA89" s="68">
        <f t="shared" si="163"/>
        <v>10.762382038710394</v>
      </c>
      <c r="AB89" s="52" t="s">
        <v>170</v>
      </c>
      <c r="AC89">
        <f t="shared" si="166"/>
        <v>0.45999999999999996</v>
      </c>
      <c r="AD89">
        <f t="shared" si="167"/>
        <v>99.5</v>
      </c>
      <c r="AE89">
        <f t="shared" si="168"/>
        <v>0</v>
      </c>
      <c r="AF89">
        <f t="shared" si="169"/>
        <v>0</v>
      </c>
      <c r="AG89">
        <f t="shared" si="170"/>
        <v>0.63680000000000014</v>
      </c>
      <c r="AH89">
        <f t="shared" si="171"/>
        <v>98.8035</v>
      </c>
      <c r="AI89">
        <f t="shared" si="172"/>
        <v>0</v>
      </c>
      <c r="AJ89">
        <f t="shared" si="173"/>
        <v>0</v>
      </c>
      <c r="AK89">
        <f t="shared" si="174"/>
        <v>0</v>
      </c>
      <c r="AL89">
        <f t="shared" si="175"/>
        <v>17.587022999999999</v>
      </c>
      <c r="AM89">
        <f t="shared" si="176"/>
        <v>6.4419881999999999</v>
      </c>
    </row>
    <row r="90" spans="1:39" x14ac:dyDescent="0.25">
      <c r="A90" s="65" t="s">
        <v>46</v>
      </c>
      <c r="B90" s="61" t="s">
        <v>78</v>
      </c>
      <c r="C90" s="61">
        <v>0.18</v>
      </c>
      <c r="D90" s="61">
        <v>99.3</v>
      </c>
      <c r="E90" s="74">
        <v>0</v>
      </c>
      <c r="F90" s="74">
        <v>0</v>
      </c>
      <c r="G90" s="61">
        <v>0.47</v>
      </c>
      <c r="H90" s="61">
        <v>99.1</v>
      </c>
      <c r="I90" s="74">
        <v>0</v>
      </c>
      <c r="J90" s="74">
        <v>0</v>
      </c>
      <c r="K90" s="74">
        <v>0</v>
      </c>
      <c r="L90" s="61">
        <v>14.2</v>
      </c>
      <c r="M90" s="61">
        <v>80.900000000000006</v>
      </c>
      <c r="N90" s="66">
        <v>3397</v>
      </c>
      <c r="O90" s="67">
        <f t="shared" si="154"/>
        <v>6.1145999999999994</v>
      </c>
      <c r="P90" s="67">
        <f t="shared" si="155"/>
        <v>3373.2209999999995</v>
      </c>
      <c r="Q90" s="67">
        <f t="shared" ref="Q90:R90" si="221">E90*P90</f>
        <v>0</v>
      </c>
      <c r="R90" s="67">
        <f t="shared" si="221"/>
        <v>0</v>
      </c>
      <c r="S90" s="67">
        <f t="shared" si="157"/>
        <v>15.854138699999996</v>
      </c>
      <c r="T90" s="67">
        <f t="shared" si="158"/>
        <v>3342.8620109999993</v>
      </c>
      <c r="U90" s="67">
        <f t="shared" ref="U90:W90" si="222">I90*T90</f>
        <v>0</v>
      </c>
      <c r="V90" s="67">
        <f t="shared" si="222"/>
        <v>0</v>
      </c>
      <c r="W90" s="67">
        <f t="shared" si="222"/>
        <v>0</v>
      </c>
      <c r="X90" s="67">
        <f t="shared" si="160"/>
        <v>474.68640556199983</v>
      </c>
      <c r="Y90" s="67">
        <f t="shared" si="161"/>
        <v>2704.3753668989998</v>
      </c>
      <c r="Z90" s="61" t="str">
        <f t="shared" si="162"/>
        <v>L</v>
      </c>
      <c r="AA90" s="68">
        <f t="shared" si="163"/>
        <v>11.730045502879202</v>
      </c>
      <c r="AB90" s="52" t="s">
        <v>170</v>
      </c>
      <c r="AC90">
        <f t="shared" si="166"/>
        <v>0.17999999999999997</v>
      </c>
      <c r="AD90">
        <f t="shared" si="167"/>
        <v>99.299999999999983</v>
      </c>
      <c r="AE90">
        <f t="shared" si="168"/>
        <v>0</v>
      </c>
      <c r="AF90">
        <f t="shared" si="169"/>
        <v>0</v>
      </c>
      <c r="AG90">
        <f t="shared" si="170"/>
        <v>0.46670999999999985</v>
      </c>
      <c r="AH90">
        <f t="shared" si="171"/>
        <v>98.406299999999973</v>
      </c>
      <c r="AI90">
        <f t="shared" si="172"/>
        <v>0</v>
      </c>
      <c r="AJ90">
        <f t="shared" si="173"/>
        <v>0</v>
      </c>
      <c r="AK90">
        <f t="shared" si="174"/>
        <v>0</v>
      </c>
      <c r="AL90">
        <f t="shared" si="175"/>
        <v>13.973694599999995</v>
      </c>
      <c r="AM90">
        <f t="shared" si="176"/>
        <v>79.610696699999991</v>
      </c>
    </row>
    <row r="91" spans="1:39" x14ac:dyDescent="0.25">
      <c r="A91" s="65" t="s">
        <v>46</v>
      </c>
      <c r="B91" s="61" t="s">
        <v>159</v>
      </c>
      <c r="C91" s="61">
        <v>6.82</v>
      </c>
      <c r="D91" s="61">
        <v>92.7</v>
      </c>
      <c r="E91" s="74">
        <v>0</v>
      </c>
      <c r="F91" s="74">
        <v>0</v>
      </c>
      <c r="G91" s="61">
        <v>2.72</v>
      </c>
      <c r="H91" s="61">
        <v>96.9</v>
      </c>
      <c r="I91" s="74">
        <v>0</v>
      </c>
      <c r="J91" s="74">
        <v>0</v>
      </c>
      <c r="K91" s="74">
        <v>0</v>
      </c>
      <c r="L91" s="61">
        <v>52.5</v>
      </c>
      <c r="M91" s="61">
        <v>0.35</v>
      </c>
      <c r="N91" s="66">
        <v>1905</v>
      </c>
      <c r="O91" s="67">
        <f t="shared" si="154"/>
        <v>129.92099999999999</v>
      </c>
      <c r="P91" s="67">
        <f t="shared" si="155"/>
        <v>1765.9349999999999</v>
      </c>
      <c r="Q91" s="67">
        <f t="shared" ref="Q91:R91" si="223">E91*P91</f>
        <v>0</v>
      </c>
      <c r="R91" s="67">
        <f t="shared" si="223"/>
        <v>0</v>
      </c>
      <c r="S91" s="67">
        <f t="shared" si="157"/>
        <v>48.033432000000005</v>
      </c>
      <c r="T91" s="67">
        <f t="shared" si="158"/>
        <v>1711.1910150000001</v>
      </c>
      <c r="U91" s="67">
        <f t="shared" ref="U91:W91" si="224">I91*T91</f>
        <v>0</v>
      </c>
      <c r="V91" s="67">
        <f t="shared" si="224"/>
        <v>0</v>
      </c>
      <c r="W91" s="67">
        <f t="shared" si="224"/>
        <v>0</v>
      </c>
      <c r="X91" s="67">
        <f t="shared" si="160"/>
        <v>898.37528287500015</v>
      </c>
      <c r="Y91" s="67">
        <f t="shared" si="161"/>
        <v>5.9891685525000007</v>
      </c>
      <c r="Z91" s="61" t="str">
        <f t="shared" si="162"/>
        <v>L</v>
      </c>
      <c r="AA91" s="68">
        <f t="shared" si="163"/>
        <v>10.895575282380685</v>
      </c>
      <c r="AB91" s="52" t="s">
        <v>170</v>
      </c>
      <c r="AC91">
        <f t="shared" si="166"/>
        <v>6.8199999999999994</v>
      </c>
      <c r="AD91">
        <f t="shared" si="167"/>
        <v>92.699999999999989</v>
      </c>
      <c r="AE91">
        <f t="shared" si="168"/>
        <v>0</v>
      </c>
      <c r="AF91">
        <f t="shared" si="169"/>
        <v>0</v>
      </c>
      <c r="AG91">
        <f t="shared" si="170"/>
        <v>2.5214400000000001</v>
      </c>
      <c r="AH91">
        <f t="shared" si="171"/>
        <v>89.826300000000003</v>
      </c>
      <c r="AI91">
        <f t="shared" si="172"/>
        <v>0</v>
      </c>
      <c r="AJ91">
        <f t="shared" si="173"/>
        <v>0</v>
      </c>
      <c r="AK91">
        <f t="shared" si="174"/>
        <v>0</v>
      </c>
      <c r="AL91">
        <f t="shared" si="175"/>
        <v>47.158807500000009</v>
      </c>
      <c r="AM91">
        <f t="shared" si="176"/>
        <v>0.31439205000000003</v>
      </c>
    </row>
    <row r="92" spans="1:39" x14ac:dyDescent="0.25">
      <c r="A92" s="65" t="s">
        <v>46</v>
      </c>
      <c r="B92" s="61" t="s">
        <v>87</v>
      </c>
      <c r="C92" s="61">
        <v>1.1299999999999999</v>
      </c>
      <c r="D92" s="61">
        <v>94.9</v>
      </c>
      <c r="E92" s="74">
        <v>0</v>
      </c>
      <c r="F92" s="74">
        <v>0</v>
      </c>
      <c r="G92" s="61">
        <v>3.57</v>
      </c>
      <c r="H92" s="61">
        <v>96.4</v>
      </c>
      <c r="I92" s="74">
        <v>0</v>
      </c>
      <c r="J92" s="74">
        <v>0</v>
      </c>
      <c r="K92" s="74">
        <v>0</v>
      </c>
      <c r="L92" s="61">
        <v>50</v>
      </c>
      <c r="M92" s="61">
        <v>5.56</v>
      </c>
      <c r="N92" s="66">
        <v>177</v>
      </c>
      <c r="O92" s="67">
        <f t="shared" si="154"/>
        <v>2.0000999999999998</v>
      </c>
      <c r="P92" s="67">
        <f t="shared" si="155"/>
        <v>167.97299999999998</v>
      </c>
      <c r="Q92" s="67">
        <f t="shared" ref="Q92:R92" si="225">E92*P92</f>
        <v>0</v>
      </c>
      <c r="R92" s="67">
        <f t="shared" si="225"/>
        <v>0</v>
      </c>
      <c r="S92" s="67">
        <f t="shared" si="157"/>
        <v>5.9966360999999999</v>
      </c>
      <c r="T92" s="67">
        <f t="shared" si="158"/>
        <v>161.925972</v>
      </c>
      <c r="U92" s="67">
        <f t="shared" ref="U92:W92" si="226">I92*T92</f>
        <v>0</v>
      </c>
      <c r="V92" s="67">
        <f t="shared" si="226"/>
        <v>0</v>
      </c>
      <c r="W92" s="67">
        <f t="shared" si="226"/>
        <v>0</v>
      </c>
      <c r="X92" s="67">
        <f t="shared" si="160"/>
        <v>80.962986000000001</v>
      </c>
      <c r="Y92" s="67">
        <f t="shared" si="161"/>
        <v>9.0030840431999994</v>
      </c>
      <c r="Z92" s="61" t="str">
        <f t="shared" si="162"/>
        <v>M</v>
      </c>
      <c r="AA92" s="68">
        <f t="shared" si="163"/>
        <v>7.4676055500829976</v>
      </c>
      <c r="AB92" s="52" t="s">
        <v>170</v>
      </c>
      <c r="AC92">
        <f t="shared" si="166"/>
        <v>1.1299999999999999</v>
      </c>
      <c r="AD92">
        <f t="shared" si="167"/>
        <v>94.899999999999991</v>
      </c>
      <c r="AE92">
        <f t="shared" si="168"/>
        <v>0</v>
      </c>
      <c r="AF92">
        <f t="shared" si="169"/>
        <v>0</v>
      </c>
      <c r="AG92">
        <f t="shared" si="170"/>
        <v>3.3879299999999999</v>
      </c>
      <c r="AH92">
        <f t="shared" si="171"/>
        <v>91.483599999999996</v>
      </c>
      <c r="AI92">
        <f t="shared" si="172"/>
        <v>0</v>
      </c>
      <c r="AJ92">
        <f t="shared" si="173"/>
        <v>0</v>
      </c>
      <c r="AK92">
        <f t="shared" si="174"/>
        <v>0</v>
      </c>
      <c r="AL92">
        <f t="shared" si="175"/>
        <v>45.741799999999998</v>
      </c>
      <c r="AM92">
        <f t="shared" si="176"/>
        <v>5.0864881599999991</v>
      </c>
    </row>
    <row r="93" spans="1:39" x14ac:dyDescent="0.25">
      <c r="A93" s="65" t="s">
        <v>46</v>
      </c>
      <c r="B93" s="61" t="s">
        <v>92</v>
      </c>
      <c r="C93" s="61">
        <v>0.96</v>
      </c>
      <c r="D93" s="61">
        <v>99</v>
      </c>
      <c r="E93" s="74">
        <v>0</v>
      </c>
      <c r="F93" s="74">
        <v>0</v>
      </c>
      <c r="G93" s="61">
        <v>6.43</v>
      </c>
      <c r="H93" s="61">
        <v>92.3</v>
      </c>
      <c r="I93" s="74">
        <v>0</v>
      </c>
      <c r="J93" s="74">
        <v>0</v>
      </c>
      <c r="K93" s="74">
        <v>0</v>
      </c>
      <c r="L93" s="61">
        <v>46.7</v>
      </c>
      <c r="M93" s="61">
        <v>19.2</v>
      </c>
      <c r="N93" s="66">
        <v>314</v>
      </c>
      <c r="O93" s="67">
        <f t="shared" si="154"/>
        <v>3.0144000000000002</v>
      </c>
      <c r="P93" s="67">
        <f t="shared" si="155"/>
        <v>310.86</v>
      </c>
      <c r="Q93" s="67">
        <f t="shared" ref="Q93:R93" si="227">E93*P93</f>
        <v>0</v>
      </c>
      <c r="R93" s="67">
        <f t="shared" si="227"/>
        <v>0</v>
      </c>
      <c r="S93" s="67">
        <f t="shared" si="157"/>
        <v>19.988298</v>
      </c>
      <c r="T93" s="67">
        <f t="shared" si="158"/>
        <v>286.92378000000002</v>
      </c>
      <c r="U93" s="67">
        <f t="shared" ref="U93:W93" si="228">I93*T93</f>
        <v>0</v>
      </c>
      <c r="V93" s="67">
        <f t="shared" si="228"/>
        <v>0</v>
      </c>
      <c r="W93" s="67">
        <f t="shared" si="228"/>
        <v>0</v>
      </c>
      <c r="X93" s="67">
        <f t="shared" si="160"/>
        <v>133.99340526000003</v>
      </c>
      <c r="Y93" s="67">
        <f t="shared" si="161"/>
        <v>55.08936576</v>
      </c>
      <c r="Z93" s="61" t="str">
        <f t="shared" si="162"/>
        <v>M</v>
      </c>
      <c r="AA93" s="68">
        <f t="shared" si="163"/>
        <v>8.2946207488916261</v>
      </c>
      <c r="AB93" s="52" t="s">
        <v>170</v>
      </c>
      <c r="AC93">
        <f t="shared" si="166"/>
        <v>0.96000000000000008</v>
      </c>
      <c r="AD93">
        <f t="shared" si="167"/>
        <v>99</v>
      </c>
      <c r="AE93">
        <f t="shared" si="168"/>
        <v>0</v>
      </c>
      <c r="AF93">
        <f t="shared" si="169"/>
        <v>0</v>
      </c>
      <c r="AG93">
        <f t="shared" si="170"/>
        <v>6.3657000000000004</v>
      </c>
      <c r="AH93">
        <f t="shared" si="171"/>
        <v>91.37700000000001</v>
      </c>
      <c r="AI93">
        <f t="shared" si="172"/>
        <v>0</v>
      </c>
      <c r="AJ93">
        <f t="shared" si="173"/>
        <v>0</v>
      </c>
      <c r="AK93">
        <f t="shared" si="174"/>
        <v>0</v>
      </c>
      <c r="AL93">
        <f t="shared" si="175"/>
        <v>42.673059000000009</v>
      </c>
      <c r="AM93">
        <f t="shared" si="176"/>
        <v>17.544383999999997</v>
      </c>
    </row>
    <row r="94" spans="1:39" x14ac:dyDescent="0.25">
      <c r="A94" s="65" t="s">
        <v>46</v>
      </c>
      <c r="B94" s="61" t="s">
        <v>165</v>
      </c>
      <c r="C94" s="61">
        <v>0.79</v>
      </c>
      <c r="D94" s="61">
        <v>95.7</v>
      </c>
      <c r="E94" s="74">
        <v>0</v>
      </c>
      <c r="F94" s="74">
        <v>0</v>
      </c>
      <c r="G94" s="61">
        <v>2.48</v>
      </c>
      <c r="H94" s="61">
        <v>97.3</v>
      </c>
      <c r="I94" s="74">
        <v>0</v>
      </c>
      <c r="J94" s="74">
        <v>0</v>
      </c>
      <c r="K94" s="74">
        <v>0</v>
      </c>
      <c r="L94" s="61">
        <v>67.099999999999994</v>
      </c>
      <c r="M94" s="61">
        <v>14.6</v>
      </c>
      <c r="N94" s="66">
        <v>506</v>
      </c>
      <c r="O94" s="67">
        <f t="shared" si="154"/>
        <v>3.9974000000000003</v>
      </c>
      <c r="P94" s="67">
        <f t="shared" si="155"/>
        <v>484.24200000000002</v>
      </c>
      <c r="Q94" s="67">
        <f t="shared" ref="Q94:R94" si="229">E94*P94</f>
        <v>0</v>
      </c>
      <c r="R94" s="67">
        <f t="shared" si="229"/>
        <v>0</v>
      </c>
      <c r="S94" s="67">
        <f t="shared" si="157"/>
        <v>12.009201600000001</v>
      </c>
      <c r="T94" s="67">
        <f t="shared" si="158"/>
        <v>471.16746599999999</v>
      </c>
      <c r="U94" s="67">
        <f t="shared" ref="U94:W94" si="230">I94*T94</f>
        <v>0</v>
      </c>
      <c r="V94" s="67">
        <f t="shared" si="230"/>
        <v>0</v>
      </c>
      <c r="W94" s="67">
        <f t="shared" si="230"/>
        <v>0</v>
      </c>
      <c r="X94" s="67">
        <f t="shared" si="160"/>
        <v>316.15336968599996</v>
      </c>
      <c r="Y94" s="67">
        <f t="shared" si="161"/>
        <v>68.790450035999996</v>
      </c>
      <c r="Z94" s="61" t="str">
        <f t="shared" si="162"/>
        <v>M</v>
      </c>
      <c r="AA94" s="68">
        <f t="shared" si="163"/>
        <v>8.9829935746943104</v>
      </c>
      <c r="AB94" s="52" t="s">
        <v>170</v>
      </c>
      <c r="AC94">
        <f t="shared" si="166"/>
        <v>0.79</v>
      </c>
      <c r="AD94">
        <f t="shared" si="167"/>
        <v>95.7</v>
      </c>
      <c r="AE94">
        <f t="shared" si="168"/>
        <v>0</v>
      </c>
      <c r="AF94">
        <f t="shared" si="169"/>
        <v>0</v>
      </c>
      <c r="AG94">
        <f t="shared" si="170"/>
        <v>2.3733599999999999</v>
      </c>
      <c r="AH94">
        <f t="shared" si="171"/>
        <v>93.116100000000003</v>
      </c>
      <c r="AI94">
        <f t="shared" si="172"/>
        <v>0</v>
      </c>
      <c r="AJ94">
        <f t="shared" si="173"/>
        <v>0</v>
      </c>
      <c r="AK94">
        <f t="shared" si="174"/>
        <v>0</v>
      </c>
      <c r="AL94">
        <f t="shared" si="175"/>
        <v>62.480903099999999</v>
      </c>
      <c r="AM94">
        <f t="shared" si="176"/>
        <v>13.594950600000001</v>
      </c>
    </row>
    <row r="95" spans="1:39" x14ac:dyDescent="0.25">
      <c r="A95" s="65" t="s">
        <v>46</v>
      </c>
      <c r="B95" s="61" t="s">
        <v>123</v>
      </c>
      <c r="C95" s="61">
        <v>0.76</v>
      </c>
      <c r="D95" s="61">
        <v>95.1</v>
      </c>
      <c r="E95" s="74">
        <v>0</v>
      </c>
      <c r="F95" s="74">
        <v>0</v>
      </c>
      <c r="G95" s="61">
        <v>1.6</v>
      </c>
      <c r="H95" s="61">
        <v>98</v>
      </c>
      <c r="I95" s="74">
        <v>0</v>
      </c>
      <c r="J95" s="74">
        <v>0</v>
      </c>
      <c r="K95" s="74">
        <v>0</v>
      </c>
      <c r="L95" s="61">
        <v>33.9</v>
      </c>
      <c r="M95" s="61">
        <v>35.9</v>
      </c>
      <c r="N95" s="66">
        <v>263</v>
      </c>
      <c r="O95" s="67">
        <f t="shared" si="154"/>
        <v>1.9987999999999999</v>
      </c>
      <c r="P95" s="67">
        <f t="shared" si="155"/>
        <v>250.113</v>
      </c>
      <c r="Q95" s="67">
        <f t="shared" ref="Q95:R95" si="231">E95*P95</f>
        <v>0</v>
      </c>
      <c r="R95" s="67">
        <f t="shared" si="231"/>
        <v>0</v>
      </c>
      <c r="S95" s="67">
        <f t="shared" si="157"/>
        <v>4.0018080000000005</v>
      </c>
      <c r="T95" s="67">
        <f t="shared" si="158"/>
        <v>245.11073999999999</v>
      </c>
      <c r="U95" s="67">
        <f t="shared" ref="U95:W95" si="232">I95*T95</f>
        <v>0</v>
      </c>
      <c r="V95" s="67">
        <f t="shared" si="232"/>
        <v>0</v>
      </c>
      <c r="W95" s="67">
        <f t="shared" si="232"/>
        <v>0</v>
      </c>
      <c r="X95" s="67">
        <f t="shared" si="160"/>
        <v>83.092540859999986</v>
      </c>
      <c r="Y95" s="67">
        <f t="shared" si="161"/>
        <v>87.994755659999996</v>
      </c>
      <c r="Z95" s="61" t="str">
        <f t="shared" si="162"/>
        <v>M</v>
      </c>
      <c r="AA95" s="68">
        <f t="shared" si="163"/>
        <v>8.0389189892923021</v>
      </c>
      <c r="AB95" s="52" t="s">
        <v>170</v>
      </c>
      <c r="AC95">
        <f t="shared" si="166"/>
        <v>0.76</v>
      </c>
      <c r="AD95">
        <f t="shared" si="167"/>
        <v>95.1</v>
      </c>
      <c r="AE95">
        <f t="shared" si="168"/>
        <v>0</v>
      </c>
      <c r="AF95">
        <f t="shared" si="169"/>
        <v>0</v>
      </c>
      <c r="AG95">
        <f t="shared" si="170"/>
        <v>1.5216000000000003</v>
      </c>
      <c r="AH95">
        <f t="shared" si="171"/>
        <v>93.197999999999993</v>
      </c>
      <c r="AI95">
        <f t="shared" si="172"/>
        <v>0</v>
      </c>
      <c r="AJ95">
        <f t="shared" si="173"/>
        <v>0</v>
      </c>
      <c r="AK95">
        <f t="shared" si="174"/>
        <v>0</v>
      </c>
      <c r="AL95">
        <f t="shared" si="175"/>
        <v>31.594121999999995</v>
      </c>
      <c r="AM95">
        <f t="shared" si="176"/>
        <v>33.458081999999997</v>
      </c>
    </row>
    <row r="96" spans="1:39" x14ac:dyDescent="0.25">
      <c r="A96" s="65" t="s">
        <v>46</v>
      </c>
      <c r="B96" s="61" t="s">
        <v>41</v>
      </c>
      <c r="C96" s="61">
        <v>0.36</v>
      </c>
      <c r="D96" s="61">
        <v>99.6</v>
      </c>
      <c r="E96" s="74">
        <v>0</v>
      </c>
      <c r="F96" s="74">
        <v>0</v>
      </c>
      <c r="G96" s="61">
        <v>3.58</v>
      </c>
      <c r="H96" s="61">
        <v>96.1</v>
      </c>
      <c r="I96" s="74">
        <v>0</v>
      </c>
      <c r="J96" s="74">
        <v>0</v>
      </c>
      <c r="K96" s="74">
        <v>0</v>
      </c>
      <c r="L96" s="61">
        <v>16</v>
      </c>
      <c r="M96" s="61">
        <v>7.09</v>
      </c>
      <c r="N96" s="66">
        <v>280</v>
      </c>
      <c r="O96" s="67">
        <f t="shared" si="154"/>
        <v>1.008</v>
      </c>
      <c r="P96" s="67">
        <f t="shared" si="155"/>
        <v>278.88</v>
      </c>
      <c r="Q96" s="67">
        <f t="shared" ref="Q96:R96" si="233">E96*P96</f>
        <v>0</v>
      </c>
      <c r="R96" s="67">
        <f t="shared" si="233"/>
        <v>0</v>
      </c>
      <c r="S96" s="67">
        <f t="shared" si="157"/>
        <v>9.9839040000000008</v>
      </c>
      <c r="T96" s="67">
        <f t="shared" si="158"/>
        <v>268.00367999999997</v>
      </c>
      <c r="U96" s="67">
        <f t="shared" ref="U96:W96" si="234">I96*T96</f>
        <v>0</v>
      </c>
      <c r="V96" s="67">
        <f t="shared" si="234"/>
        <v>0</v>
      </c>
      <c r="W96" s="67">
        <f t="shared" si="234"/>
        <v>0</v>
      </c>
      <c r="X96" s="67">
        <f t="shared" si="160"/>
        <v>42.880588799999998</v>
      </c>
      <c r="Y96" s="67">
        <f t="shared" si="161"/>
        <v>19.001460911999999</v>
      </c>
      <c r="Z96" s="61" t="str">
        <f t="shared" si="162"/>
        <v>M</v>
      </c>
      <c r="AA96" s="68">
        <f t="shared" si="163"/>
        <v>8.1292830169449655</v>
      </c>
      <c r="AB96" s="52" t="s">
        <v>170</v>
      </c>
      <c r="AC96">
        <f t="shared" si="166"/>
        <v>0.36</v>
      </c>
      <c r="AD96">
        <f t="shared" si="167"/>
        <v>99.6</v>
      </c>
      <c r="AE96">
        <f t="shared" si="168"/>
        <v>0</v>
      </c>
      <c r="AF96">
        <f t="shared" si="169"/>
        <v>0</v>
      </c>
      <c r="AG96">
        <f t="shared" si="170"/>
        <v>3.5656800000000004</v>
      </c>
      <c r="AH96">
        <f t="shared" si="171"/>
        <v>95.715599999999995</v>
      </c>
      <c r="AI96">
        <f t="shared" si="172"/>
        <v>0</v>
      </c>
      <c r="AJ96">
        <f t="shared" si="173"/>
        <v>0</v>
      </c>
      <c r="AK96">
        <f t="shared" si="174"/>
        <v>0</v>
      </c>
      <c r="AL96">
        <f t="shared" si="175"/>
        <v>15.314496</v>
      </c>
      <c r="AM96">
        <f t="shared" si="176"/>
        <v>6.7862360400000004</v>
      </c>
    </row>
    <row r="97" spans="1:39" x14ac:dyDescent="0.25">
      <c r="A97" s="65" t="s">
        <v>98</v>
      </c>
      <c r="B97" s="61" t="s">
        <v>11</v>
      </c>
      <c r="C97" s="61">
        <v>6.93</v>
      </c>
      <c r="D97" s="61">
        <v>93.1</v>
      </c>
      <c r="E97" s="74">
        <v>0</v>
      </c>
      <c r="F97" s="74">
        <v>0</v>
      </c>
      <c r="G97" s="61">
        <v>3.19</v>
      </c>
      <c r="H97" s="61">
        <v>96.8</v>
      </c>
      <c r="I97" s="74">
        <v>0</v>
      </c>
      <c r="J97" s="74">
        <v>0</v>
      </c>
      <c r="K97" s="74">
        <v>0</v>
      </c>
      <c r="L97" s="61">
        <v>9.89</v>
      </c>
      <c r="M97" s="61">
        <v>0</v>
      </c>
      <c r="N97" s="66">
        <v>101</v>
      </c>
      <c r="O97" s="67">
        <f t="shared" si="154"/>
        <v>6.9992999999999999</v>
      </c>
      <c r="P97" s="67">
        <f t="shared" si="155"/>
        <v>94.030999999999992</v>
      </c>
      <c r="Q97" s="67">
        <f t="shared" ref="Q97:R97" si="235">E97*P97</f>
        <v>0</v>
      </c>
      <c r="R97" s="67">
        <f t="shared" si="235"/>
        <v>0</v>
      </c>
      <c r="S97" s="67">
        <f t="shared" si="157"/>
        <v>2.9995889</v>
      </c>
      <c r="T97" s="67">
        <f t="shared" si="158"/>
        <v>91.022007999999985</v>
      </c>
      <c r="U97" s="67">
        <f t="shared" ref="U97:W97" si="236">I97*T97</f>
        <v>0</v>
      </c>
      <c r="V97" s="67">
        <f t="shared" si="236"/>
        <v>0</v>
      </c>
      <c r="W97" s="67">
        <f t="shared" si="236"/>
        <v>0</v>
      </c>
      <c r="X97" s="67">
        <f t="shared" si="160"/>
        <v>9.0020765911999998</v>
      </c>
      <c r="Y97" s="67">
        <f t="shared" si="161"/>
        <v>0</v>
      </c>
      <c r="Z97" s="61" t="str">
        <f t="shared" si="162"/>
        <v>M</v>
      </c>
      <c r="AA97" s="68">
        <f t="shared" si="163"/>
        <v>6.6582114827517955</v>
      </c>
      <c r="AB97" s="52" t="s">
        <v>170</v>
      </c>
      <c r="AC97">
        <f t="shared" si="166"/>
        <v>6.93</v>
      </c>
      <c r="AD97">
        <f t="shared" si="167"/>
        <v>93.1</v>
      </c>
      <c r="AE97">
        <f t="shared" si="168"/>
        <v>0</v>
      </c>
      <c r="AF97">
        <f t="shared" si="169"/>
        <v>0</v>
      </c>
      <c r="AG97">
        <f t="shared" si="170"/>
        <v>2.9698899999999999</v>
      </c>
      <c r="AH97">
        <f t="shared" si="171"/>
        <v>90.120799999999988</v>
      </c>
      <c r="AI97">
        <f t="shared" si="172"/>
        <v>0</v>
      </c>
      <c r="AJ97">
        <f t="shared" si="173"/>
        <v>0</v>
      </c>
      <c r="AK97">
        <f t="shared" si="174"/>
        <v>0</v>
      </c>
      <c r="AL97">
        <f t="shared" si="175"/>
        <v>8.9129471200000001</v>
      </c>
      <c r="AM97">
        <f t="shared" si="176"/>
        <v>0</v>
      </c>
    </row>
    <row r="98" spans="1:39" x14ac:dyDescent="0.25">
      <c r="A98" s="65" t="s">
        <v>98</v>
      </c>
      <c r="B98" s="61" t="s">
        <v>14</v>
      </c>
      <c r="C98" s="61">
        <v>10.6</v>
      </c>
      <c r="D98" s="61">
        <v>87.2</v>
      </c>
      <c r="E98" s="74">
        <v>0</v>
      </c>
      <c r="F98" s="74">
        <v>0</v>
      </c>
      <c r="G98" s="61">
        <v>14.6</v>
      </c>
      <c r="H98" s="61">
        <v>85.4</v>
      </c>
      <c r="I98" s="74">
        <v>0</v>
      </c>
      <c r="J98" s="74">
        <v>0</v>
      </c>
      <c r="K98" s="74">
        <v>0</v>
      </c>
      <c r="L98" s="61">
        <v>4.29</v>
      </c>
      <c r="M98" s="61">
        <v>0</v>
      </c>
      <c r="N98" s="66">
        <v>94</v>
      </c>
      <c r="O98" s="67">
        <f t="shared" ref="O98:O127" si="237">N98*C98/100</f>
        <v>9.9640000000000004</v>
      </c>
      <c r="P98" s="67">
        <f t="shared" ref="P98:P127" si="238">N98*D98/100</f>
        <v>81.968000000000018</v>
      </c>
      <c r="Q98" s="67">
        <f t="shared" ref="Q98:R98" si="239">E98*P98</f>
        <v>0</v>
      </c>
      <c r="R98" s="67">
        <f t="shared" si="239"/>
        <v>0</v>
      </c>
      <c r="S98" s="67">
        <f t="shared" ref="S98:S127" si="240">P98*G98/100</f>
        <v>11.967328000000002</v>
      </c>
      <c r="T98" s="67">
        <f t="shared" ref="T98:T127" si="241">P98*H98/100</f>
        <v>70.000672000000023</v>
      </c>
      <c r="U98" s="67">
        <f t="shared" ref="U98:W98" si="242">I98*T98</f>
        <v>0</v>
      </c>
      <c r="V98" s="67">
        <f t="shared" si="242"/>
        <v>0</v>
      </c>
      <c r="W98" s="67">
        <f t="shared" si="242"/>
        <v>0</v>
      </c>
      <c r="X98" s="67">
        <f t="shared" ref="X98:X127" si="243">T98*L98/100</f>
        <v>3.0030288288000007</v>
      </c>
      <c r="Y98" s="67">
        <f t="shared" ref="Y98:Y127" si="244">T98*M98/100</f>
        <v>0</v>
      </c>
      <c r="Z98" s="61" t="str">
        <f t="shared" ref="Z98:Z127" si="245">IF(N98&gt;10000,"XL",IF(N98&gt;1000,"L",IF(N98&gt;100,"M","S")))</f>
        <v>S</v>
      </c>
      <c r="AA98" s="68">
        <f t="shared" si="163"/>
        <v>6.5545888516776376</v>
      </c>
      <c r="AB98" s="52" t="s">
        <v>170</v>
      </c>
      <c r="AC98">
        <f t="shared" si="166"/>
        <v>10.600000000000001</v>
      </c>
      <c r="AD98">
        <f t="shared" si="167"/>
        <v>87.200000000000017</v>
      </c>
      <c r="AE98">
        <f t="shared" si="168"/>
        <v>0</v>
      </c>
      <c r="AF98">
        <f t="shared" si="169"/>
        <v>0</v>
      </c>
      <c r="AG98">
        <f t="shared" si="170"/>
        <v>12.731200000000001</v>
      </c>
      <c r="AH98">
        <f t="shared" si="171"/>
        <v>74.46880000000003</v>
      </c>
      <c r="AI98">
        <f t="shared" si="172"/>
        <v>0</v>
      </c>
      <c r="AJ98">
        <f t="shared" si="173"/>
        <v>0</v>
      </c>
      <c r="AK98">
        <f t="shared" si="174"/>
        <v>0</v>
      </c>
      <c r="AL98">
        <f t="shared" si="175"/>
        <v>3.1947115200000007</v>
      </c>
      <c r="AM98">
        <f t="shared" si="176"/>
        <v>0</v>
      </c>
    </row>
    <row r="99" spans="1:39" x14ac:dyDescent="0.25">
      <c r="A99" s="65" t="s">
        <v>98</v>
      </c>
      <c r="B99" s="61" t="s">
        <v>15</v>
      </c>
      <c r="C99" s="61">
        <v>4.95</v>
      </c>
      <c r="D99" s="61">
        <v>94.1</v>
      </c>
      <c r="E99" s="74">
        <v>0</v>
      </c>
      <c r="F99" s="74">
        <v>0</v>
      </c>
      <c r="G99" s="61">
        <v>22.1</v>
      </c>
      <c r="H99" s="61">
        <v>77.900000000000006</v>
      </c>
      <c r="I99" s="74">
        <v>0</v>
      </c>
      <c r="J99" s="74">
        <v>0</v>
      </c>
      <c r="K99" s="74">
        <v>0</v>
      </c>
      <c r="L99" s="61">
        <v>0</v>
      </c>
      <c r="M99" s="61">
        <v>1.35</v>
      </c>
      <c r="N99" s="66">
        <v>101</v>
      </c>
      <c r="O99" s="67">
        <f t="shared" si="237"/>
        <v>4.9995000000000003</v>
      </c>
      <c r="P99" s="67">
        <f t="shared" si="238"/>
        <v>95.040999999999983</v>
      </c>
      <c r="Q99" s="67">
        <f t="shared" ref="Q99:R99" si="246">E99*P99</f>
        <v>0</v>
      </c>
      <c r="R99" s="67">
        <f t="shared" si="246"/>
        <v>0</v>
      </c>
      <c r="S99" s="67">
        <f t="shared" si="240"/>
        <v>21.004060999999997</v>
      </c>
      <c r="T99" s="67">
        <f t="shared" si="241"/>
        <v>74.03693899999999</v>
      </c>
      <c r="U99" s="67">
        <f t="shared" ref="U99:W99" si="247">I99*T99</f>
        <v>0</v>
      </c>
      <c r="V99" s="67">
        <f t="shared" si="247"/>
        <v>0</v>
      </c>
      <c r="W99" s="67">
        <f t="shared" si="247"/>
        <v>0</v>
      </c>
      <c r="X99" s="67">
        <f t="shared" si="243"/>
        <v>0</v>
      </c>
      <c r="Y99" s="67">
        <f t="shared" si="244"/>
        <v>0.99949867649999991</v>
      </c>
      <c r="Z99" s="61" t="str">
        <f t="shared" si="245"/>
        <v>M</v>
      </c>
      <c r="AA99" s="68">
        <f t="shared" si="163"/>
        <v>6.6582114827517955</v>
      </c>
      <c r="AB99" s="52" t="s">
        <v>170</v>
      </c>
      <c r="AC99">
        <f t="shared" si="166"/>
        <v>4.95</v>
      </c>
      <c r="AD99">
        <f t="shared" si="167"/>
        <v>94.09999999999998</v>
      </c>
      <c r="AE99">
        <f t="shared" si="168"/>
        <v>0</v>
      </c>
      <c r="AF99">
        <f t="shared" si="169"/>
        <v>0</v>
      </c>
      <c r="AG99">
        <f t="shared" si="170"/>
        <v>20.796099999999999</v>
      </c>
      <c r="AH99">
        <f t="shared" si="171"/>
        <v>73.303899999999985</v>
      </c>
      <c r="AI99">
        <f t="shared" si="172"/>
        <v>0</v>
      </c>
      <c r="AJ99">
        <f t="shared" si="173"/>
        <v>0</v>
      </c>
      <c r="AK99">
        <f t="shared" si="174"/>
        <v>0</v>
      </c>
      <c r="AL99">
        <f t="shared" si="175"/>
        <v>0</v>
      </c>
      <c r="AM99">
        <f t="shared" si="176"/>
        <v>0.98960264999999981</v>
      </c>
    </row>
    <row r="100" spans="1:39" x14ac:dyDescent="0.25">
      <c r="A100" s="65" t="s">
        <v>98</v>
      </c>
      <c r="B100" s="61" t="s">
        <v>48</v>
      </c>
      <c r="C100" s="61">
        <v>0.95</v>
      </c>
      <c r="D100" s="61">
        <v>93.7</v>
      </c>
      <c r="E100" s="74">
        <v>0</v>
      </c>
      <c r="F100" s="74">
        <v>0</v>
      </c>
      <c r="G100" s="61">
        <v>1.35</v>
      </c>
      <c r="H100" s="61">
        <v>97</v>
      </c>
      <c r="I100" s="74">
        <v>0</v>
      </c>
      <c r="J100" s="74">
        <v>0</v>
      </c>
      <c r="K100" s="74">
        <v>0</v>
      </c>
      <c r="L100" s="61">
        <v>30.7</v>
      </c>
      <c r="M100" s="61">
        <v>42.2</v>
      </c>
      <c r="N100" s="66">
        <v>316</v>
      </c>
      <c r="O100" s="67">
        <f t="shared" si="237"/>
        <v>3.0019999999999998</v>
      </c>
      <c r="P100" s="67">
        <f t="shared" si="238"/>
        <v>296.09199999999998</v>
      </c>
      <c r="Q100" s="67">
        <f t="shared" ref="Q100:R100" si="248">E100*P100</f>
        <v>0</v>
      </c>
      <c r="R100" s="67">
        <f t="shared" si="248"/>
        <v>0</v>
      </c>
      <c r="S100" s="67">
        <f t="shared" si="240"/>
        <v>3.997242</v>
      </c>
      <c r="T100" s="67">
        <f t="shared" si="241"/>
        <v>287.20923999999997</v>
      </c>
      <c r="U100" s="67">
        <f t="shared" ref="U100:W100" si="249">I100*T100</f>
        <v>0</v>
      </c>
      <c r="V100" s="67">
        <f t="shared" si="249"/>
        <v>0</v>
      </c>
      <c r="W100" s="67">
        <f t="shared" si="249"/>
        <v>0</v>
      </c>
      <c r="X100" s="67">
        <f t="shared" si="243"/>
        <v>88.173236679999988</v>
      </c>
      <c r="Y100" s="67">
        <f t="shared" si="244"/>
        <v>121.20229927999999</v>
      </c>
      <c r="Z100" s="61" t="str">
        <f t="shared" si="245"/>
        <v>M</v>
      </c>
      <c r="AA100" s="68">
        <f t="shared" si="163"/>
        <v>8.303780748177104</v>
      </c>
      <c r="AB100" s="52" t="s">
        <v>170</v>
      </c>
      <c r="AC100">
        <f t="shared" si="166"/>
        <v>0.95</v>
      </c>
      <c r="AD100">
        <f t="shared" si="167"/>
        <v>93.699999999999989</v>
      </c>
      <c r="AE100">
        <f t="shared" si="168"/>
        <v>0</v>
      </c>
      <c r="AF100">
        <f t="shared" si="169"/>
        <v>0</v>
      </c>
      <c r="AG100">
        <f t="shared" si="170"/>
        <v>1.26495</v>
      </c>
      <c r="AH100">
        <f t="shared" si="171"/>
        <v>90.888999999999982</v>
      </c>
      <c r="AI100">
        <f t="shared" si="172"/>
        <v>0</v>
      </c>
      <c r="AJ100">
        <f t="shared" si="173"/>
        <v>0</v>
      </c>
      <c r="AK100">
        <f t="shared" si="174"/>
        <v>0</v>
      </c>
      <c r="AL100">
        <f t="shared" si="175"/>
        <v>27.902922999999998</v>
      </c>
      <c r="AM100">
        <f t="shared" si="176"/>
        <v>38.355157999999996</v>
      </c>
    </row>
    <row r="101" spans="1:39" x14ac:dyDescent="0.25">
      <c r="A101" s="65" t="s">
        <v>98</v>
      </c>
      <c r="B101" s="61" t="s">
        <v>73</v>
      </c>
      <c r="C101" s="61">
        <v>0.86</v>
      </c>
      <c r="D101" s="61">
        <v>99.1</v>
      </c>
      <c r="E101" s="74">
        <v>0</v>
      </c>
      <c r="F101" s="74">
        <v>0</v>
      </c>
      <c r="G101" s="61">
        <v>6.09</v>
      </c>
      <c r="H101" s="61">
        <v>93.9</v>
      </c>
      <c r="I101" s="74">
        <v>0</v>
      </c>
      <c r="J101" s="74">
        <v>0</v>
      </c>
      <c r="K101" s="74">
        <v>0</v>
      </c>
      <c r="L101" s="61">
        <v>22.2</v>
      </c>
      <c r="M101" s="61">
        <v>16.7</v>
      </c>
      <c r="N101" s="66">
        <v>116</v>
      </c>
      <c r="O101" s="67">
        <f t="shared" si="237"/>
        <v>0.99760000000000004</v>
      </c>
      <c r="P101" s="67">
        <f t="shared" si="238"/>
        <v>114.95599999999999</v>
      </c>
      <c r="Q101" s="67">
        <f t="shared" ref="Q101:R101" si="250">E101*P101</f>
        <v>0</v>
      </c>
      <c r="R101" s="67">
        <f t="shared" si="250"/>
        <v>0</v>
      </c>
      <c r="S101" s="67">
        <f t="shared" si="240"/>
        <v>7.0008203999999985</v>
      </c>
      <c r="T101" s="67">
        <f t="shared" si="241"/>
        <v>107.94368399999999</v>
      </c>
      <c r="U101" s="67">
        <f t="shared" ref="U101:W101" si="251">I101*T101</f>
        <v>0</v>
      </c>
      <c r="V101" s="67">
        <f t="shared" si="251"/>
        <v>0</v>
      </c>
      <c r="W101" s="67">
        <f t="shared" si="251"/>
        <v>0</v>
      </c>
      <c r="X101" s="67">
        <f t="shared" si="243"/>
        <v>23.963497847999996</v>
      </c>
      <c r="Y101" s="67">
        <f t="shared" si="244"/>
        <v>18.026595227999998</v>
      </c>
      <c r="Z101" s="61" t="str">
        <f t="shared" si="245"/>
        <v>M</v>
      </c>
      <c r="AA101" s="68">
        <f t="shared" si="163"/>
        <v>6.8579809951275719</v>
      </c>
      <c r="AB101" s="52" t="s">
        <v>170</v>
      </c>
      <c r="AC101">
        <f t="shared" si="166"/>
        <v>0.86</v>
      </c>
      <c r="AD101">
        <f t="shared" si="167"/>
        <v>99.1</v>
      </c>
      <c r="AE101">
        <f t="shared" si="168"/>
        <v>0</v>
      </c>
      <c r="AF101">
        <f t="shared" si="169"/>
        <v>0</v>
      </c>
      <c r="AG101">
        <f t="shared" si="170"/>
        <v>6.0351899999999983</v>
      </c>
      <c r="AH101">
        <f t="shared" si="171"/>
        <v>93.054899999999989</v>
      </c>
      <c r="AI101">
        <f t="shared" si="172"/>
        <v>0</v>
      </c>
      <c r="AJ101">
        <f t="shared" si="173"/>
        <v>0</v>
      </c>
      <c r="AK101">
        <f t="shared" si="174"/>
        <v>0</v>
      </c>
      <c r="AL101">
        <f t="shared" si="175"/>
        <v>20.658187799999997</v>
      </c>
      <c r="AM101">
        <f t="shared" si="176"/>
        <v>15.540168299999998</v>
      </c>
    </row>
    <row r="102" spans="1:39" x14ac:dyDescent="0.25">
      <c r="A102" s="65" t="s">
        <v>98</v>
      </c>
      <c r="B102" s="61" t="s">
        <v>20</v>
      </c>
      <c r="C102" s="61">
        <v>0.83</v>
      </c>
      <c r="D102" s="61">
        <v>97.5</v>
      </c>
      <c r="E102" s="74">
        <v>0</v>
      </c>
      <c r="F102" s="74">
        <v>0</v>
      </c>
      <c r="G102" s="61">
        <v>2.54</v>
      </c>
      <c r="H102" s="61">
        <v>97.5</v>
      </c>
      <c r="I102" s="74">
        <v>0</v>
      </c>
      <c r="J102" s="74">
        <v>0</v>
      </c>
      <c r="K102" s="74">
        <v>0</v>
      </c>
      <c r="L102" s="61">
        <v>26.1</v>
      </c>
      <c r="M102" s="61">
        <v>6.09</v>
      </c>
      <c r="N102" s="66">
        <v>121</v>
      </c>
      <c r="O102" s="67">
        <f t="shared" si="237"/>
        <v>1.0043</v>
      </c>
      <c r="P102" s="67">
        <f t="shared" si="238"/>
        <v>117.97499999999999</v>
      </c>
      <c r="Q102" s="67">
        <f t="shared" ref="Q102:R102" si="252">E102*P102</f>
        <v>0</v>
      </c>
      <c r="R102" s="67">
        <f t="shared" si="252"/>
        <v>0</v>
      </c>
      <c r="S102" s="67">
        <f t="shared" si="240"/>
        <v>2.9965649999999999</v>
      </c>
      <c r="T102" s="67">
        <f t="shared" si="241"/>
        <v>115.02562500000001</v>
      </c>
      <c r="U102" s="67">
        <f t="shared" ref="U102:W102" si="253">I102*T102</f>
        <v>0</v>
      </c>
      <c r="V102" s="67">
        <f t="shared" si="253"/>
        <v>0</v>
      </c>
      <c r="W102" s="67">
        <f t="shared" si="253"/>
        <v>0</v>
      </c>
      <c r="X102" s="67">
        <f t="shared" si="243"/>
        <v>30.021688125000004</v>
      </c>
      <c r="Y102" s="67">
        <f t="shared" si="244"/>
        <v>7.0050605625000006</v>
      </c>
      <c r="Z102" s="61" t="str">
        <f t="shared" si="245"/>
        <v>M</v>
      </c>
      <c r="AA102" s="68">
        <f t="shared" si="163"/>
        <v>6.9188632372745955</v>
      </c>
      <c r="AB102" s="52" t="s">
        <v>170</v>
      </c>
      <c r="AC102">
        <f t="shared" si="166"/>
        <v>0.83</v>
      </c>
      <c r="AD102">
        <f t="shared" si="167"/>
        <v>97.5</v>
      </c>
      <c r="AE102">
        <f t="shared" si="168"/>
        <v>0</v>
      </c>
      <c r="AF102">
        <f t="shared" si="169"/>
        <v>0</v>
      </c>
      <c r="AG102">
        <f t="shared" si="170"/>
        <v>2.4764999999999997</v>
      </c>
      <c r="AH102">
        <f t="shared" si="171"/>
        <v>95.0625</v>
      </c>
      <c r="AI102">
        <f t="shared" si="172"/>
        <v>0</v>
      </c>
      <c r="AJ102">
        <f t="shared" si="173"/>
        <v>0</v>
      </c>
      <c r="AK102">
        <f t="shared" si="174"/>
        <v>0</v>
      </c>
      <c r="AL102">
        <f t="shared" si="175"/>
        <v>24.811312500000003</v>
      </c>
      <c r="AM102">
        <f t="shared" si="176"/>
        <v>5.789306250000001</v>
      </c>
    </row>
    <row r="103" spans="1:39" x14ac:dyDescent="0.25">
      <c r="A103" s="65" t="s">
        <v>98</v>
      </c>
      <c r="B103" s="61" t="s">
        <v>50</v>
      </c>
      <c r="C103" s="61">
        <v>0.72</v>
      </c>
      <c r="D103" s="61">
        <v>98.6</v>
      </c>
      <c r="E103" s="74">
        <v>0</v>
      </c>
      <c r="F103" s="74">
        <v>0</v>
      </c>
      <c r="G103" s="61">
        <v>1.27</v>
      </c>
      <c r="H103" s="61">
        <v>98.4</v>
      </c>
      <c r="I103" s="74">
        <v>0</v>
      </c>
      <c r="J103" s="74">
        <v>0</v>
      </c>
      <c r="K103" s="74">
        <v>0</v>
      </c>
      <c r="L103" s="61">
        <v>17.5</v>
      </c>
      <c r="M103" s="61">
        <v>75.400000000000006</v>
      </c>
      <c r="N103" s="66">
        <v>3204</v>
      </c>
      <c r="O103" s="67">
        <f t="shared" si="237"/>
        <v>23.0688</v>
      </c>
      <c r="P103" s="67">
        <f t="shared" si="238"/>
        <v>3159.1439999999998</v>
      </c>
      <c r="Q103" s="67">
        <f t="shared" ref="Q103:R103" si="254">E103*P103</f>
        <v>0</v>
      </c>
      <c r="R103" s="67">
        <f t="shared" si="254"/>
        <v>0</v>
      </c>
      <c r="S103" s="67">
        <f t="shared" si="240"/>
        <v>40.121128799999994</v>
      </c>
      <c r="T103" s="67">
        <f t="shared" si="241"/>
        <v>3108.5976959999998</v>
      </c>
      <c r="U103" s="67">
        <f t="shared" ref="U103:W103" si="255">I103*T103</f>
        <v>0</v>
      </c>
      <c r="V103" s="67">
        <f t="shared" si="255"/>
        <v>0</v>
      </c>
      <c r="W103" s="67">
        <f t="shared" si="255"/>
        <v>0</v>
      </c>
      <c r="X103" s="67">
        <f t="shared" si="243"/>
        <v>544.00459679999994</v>
      </c>
      <c r="Y103" s="67">
        <f t="shared" si="244"/>
        <v>2343.8826627839999</v>
      </c>
      <c r="Z103" s="61" t="str">
        <f t="shared" si="245"/>
        <v>L</v>
      </c>
      <c r="AA103" s="68">
        <f t="shared" si="163"/>
        <v>11.645658432408711</v>
      </c>
      <c r="AB103" s="52" t="s">
        <v>170</v>
      </c>
      <c r="AC103">
        <f t="shared" si="166"/>
        <v>0.72</v>
      </c>
      <c r="AD103">
        <f t="shared" si="167"/>
        <v>98.6</v>
      </c>
      <c r="AE103">
        <f t="shared" si="168"/>
        <v>0</v>
      </c>
      <c r="AF103">
        <f t="shared" si="169"/>
        <v>0</v>
      </c>
      <c r="AG103">
        <f t="shared" si="170"/>
        <v>1.2522199999999999</v>
      </c>
      <c r="AH103">
        <f t="shared" si="171"/>
        <v>97.022400000000005</v>
      </c>
      <c r="AI103">
        <f t="shared" si="172"/>
        <v>0</v>
      </c>
      <c r="AJ103">
        <f t="shared" si="173"/>
        <v>0</v>
      </c>
      <c r="AK103">
        <f t="shared" si="174"/>
        <v>0</v>
      </c>
      <c r="AL103">
        <f t="shared" si="175"/>
        <v>16.978919999999999</v>
      </c>
      <c r="AM103">
        <f t="shared" si="176"/>
        <v>73.15488959999999</v>
      </c>
    </row>
    <row r="104" spans="1:39" x14ac:dyDescent="0.25">
      <c r="A104" s="65" t="s">
        <v>98</v>
      </c>
      <c r="B104" s="61" t="s">
        <v>23</v>
      </c>
      <c r="C104" s="61">
        <v>2.25</v>
      </c>
      <c r="D104" s="61">
        <v>94.9</v>
      </c>
      <c r="E104" s="74">
        <v>0</v>
      </c>
      <c r="F104" s="74">
        <v>0</v>
      </c>
      <c r="G104" s="61">
        <v>5.92</v>
      </c>
      <c r="H104" s="61">
        <v>93.5</v>
      </c>
      <c r="I104" s="74">
        <v>0</v>
      </c>
      <c r="J104" s="74">
        <v>0</v>
      </c>
      <c r="K104" s="74">
        <v>0</v>
      </c>
      <c r="L104" s="61">
        <v>53.2</v>
      </c>
      <c r="M104" s="61">
        <v>12</v>
      </c>
      <c r="N104" s="66">
        <v>178</v>
      </c>
      <c r="O104" s="67">
        <f t="shared" si="237"/>
        <v>4.0049999999999999</v>
      </c>
      <c r="P104" s="67">
        <f t="shared" si="238"/>
        <v>168.922</v>
      </c>
      <c r="Q104" s="67">
        <f t="shared" ref="Q104:R104" si="256">E104*P104</f>
        <v>0</v>
      </c>
      <c r="R104" s="67">
        <f t="shared" si="256"/>
        <v>0</v>
      </c>
      <c r="S104" s="67">
        <f t="shared" si="240"/>
        <v>10.0001824</v>
      </c>
      <c r="T104" s="67">
        <f t="shared" si="241"/>
        <v>157.94207</v>
      </c>
      <c r="U104" s="67">
        <f t="shared" ref="U104:W104" si="257">I104*T104</f>
        <v>0</v>
      </c>
      <c r="V104" s="67">
        <f t="shared" si="257"/>
        <v>0</v>
      </c>
      <c r="W104" s="67">
        <f t="shared" si="257"/>
        <v>0</v>
      </c>
      <c r="X104" s="67">
        <f t="shared" si="243"/>
        <v>84.025181239999995</v>
      </c>
      <c r="Y104" s="67">
        <f t="shared" si="244"/>
        <v>18.9530484</v>
      </c>
      <c r="Z104" s="61" t="str">
        <f t="shared" si="245"/>
        <v>M</v>
      </c>
      <c r="AA104" s="68">
        <f t="shared" si="163"/>
        <v>7.4757334309663976</v>
      </c>
      <c r="AB104" s="52" t="s">
        <v>170</v>
      </c>
      <c r="AC104">
        <f t="shared" si="166"/>
        <v>2.25</v>
      </c>
      <c r="AD104">
        <f t="shared" si="167"/>
        <v>94.899999999999991</v>
      </c>
      <c r="AE104">
        <f t="shared" si="168"/>
        <v>0</v>
      </c>
      <c r="AF104">
        <f t="shared" si="169"/>
        <v>0</v>
      </c>
      <c r="AG104">
        <f t="shared" si="170"/>
        <v>5.61808</v>
      </c>
      <c r="AH104">
        <f t="shared" si="171"/>
        <v>88.731499999999997</v>
      </c>
      <c r="AI104">
        <f t="shared" si="172"/>
        <v>0</v>
      </c>
      <c r="AJ104">
        <f t="shared" si="173"/>
        <v>0</v>
      </c>
      <c r="AK104">
        <f t="shared" si="174"/>
        <v>0</v>
      </c>
      <c r="AL104">
        <f t="shared" si="175"/>
        <v>47.205157999999997</v>
      </c>
      <c r="AM104">
        <f t="shared" si="176"/>
        <v>10.647779999999999</v>
      </c>
    </row>
    <row r="105" spans="1:39" x14ac:dyDescent="0.25">
      <c r="A105" s="65" t="s">
        <v>98</v>
      </c>
      <c r="B105" s="61" t="s">
        <v>24</v>
      </c>
      <c r="C105" s="61">
        <v>1.03</v>
      </c>
      <c r="D105" s="61">
        <v>98.5</v>
      </c>
      <c r="E105" s="74">
        <v>0</v>
      </c>
      <c r="F105" s="74">
        <v>0</v>
      </c>
      <c r="G105" s="61">
        <v>3.73</v>
      </c>
      <c r="H105" s="61">
        <v>94.8</v>
      </c>
      <c r="I105" s="74">
        <v>0</v>
      </c>
      <c r="J105" s="74">
        <v>0</v>
      </c>
      <c r="K105" s="74">
        <v>0</v>
      </c>
      <c r="L105" s="61">
        <v>14.3</v>
      </c>
      <c r="M105" s="61">
        <v>71.900000000000006</v>
      </c>
      <c r="N105" s="66">
        <v>681</v>
      </c>
      <c r="O105" s="67">
        <f t="shared" si="237"/>
        <v>7.0143000000000004</v>
      </c>
      <c r="P105" s="67">
        <f t="shared" si="238"/>
        <v>670.78499999999997</v>
      </c>
      <c r="Q105" s="67">
        <f t="shared" ref="Q105:R105" si="258">E105*P105</f>
        <v>0</v>
      </c>
      <c r="R105" s="67">
        <f t="shared" si="258"/>
        <v>0</v>
      </c>
      <c r="S105" s="67">
        <f t="shared" si="240"/>
        <v>25.020280499999998</v>
      </c>
      <c r="T105" s="67">
        <f t="shared" si="241"/>
        <v>635.90418</v>
      </c>
      <c r="U105" s="67">
        <f t="shared" ref="U105:W105" si="259">I105*T105</f>
        <v>0</v>
      </c>
      <c r="V105" s="67">
        <f t="shared" si="259"/>
        <v>0</v>
      </c>
      <c r="W105" s="67">
        <f t="shared" si="259"/>
        <v>0</v>
      </c>
      <c r="X105" s="67">
        <f t="shared" si="243"/>
        <v>90.934297740000005</v>
      </c>
      <c r="Y105" s="67">
        <f t="shared" si="244"/>
        <v>457.21510542000004</v>
      </c>
      <c r="Z105" s="61" t="str">
        <f t="shared" si="245"/>
        <v>M</v>
      </c>
      <c r="AA105" s="68">
        <f t="shared" si="163"/>
        <v>9.4115109880120702</v>
      </c>
      <c r="AB105" s="52" t="s">
        <v>170</v>
      </c>
      <c r="AC105">
        <f t="shared" si="166"/>
        <v>1.03</v>
      </c>
      <c r="AD105">
        <f t="shared" si="167"/>
        <v>98.5</v>
      </c>
      <c r="AE105">
        <f t="shared" si="168"/>
        <v>0</v>
      </c>
      <c r="AF105">
        <f t="shared" si="169"/>
        <v>0</v>
      </c>
      <c r="AG105">
        <f t="shared" si="170"/>
        <v>3.6740499999999994</v>
      </c>
      <c r="AH105">
        <f t="shared" si="171"/>
        <v>93.378</v>
      </c>
      <c r="AI105">
        <f t="shared" si="172"/>
        <v>0</v>
      </c>
      <c r="AJ105">
        <f t="shared" si="173"/>
        <v>0</v>
      </c>
      <c r="AK105">
        <f t="shared" si="174"/>
        <v>0</v>
      </c>
      <c r="AL105">
        <f t="shared" si="175"/>
        <v>13.353054</v>
      </c>
      <c r="AM105">
        <f t="shared" si="176"/>
        <v>67.138782000000006</v>
      </c>
    </row>
    <row r="106" spans="1:39" x14ac:dyDescent="0.25">
      <c r="A106" s="65" t="s">
        <v>98</v>
      </c>
      <c r="B106" s="61" t="s">
        <v>90</v>
      </c>
      <c r="C106" s="61">
        <v>0.35</v>
      </c>
      <c r="D106" s="61">
        <v>99.6</v>
      </c>
      <c r="E106" s="74">
        <v>0</v>
      </c>
      <c r="F106" s="74">
        <v>0</v>
      </c>
      <c r="G106" s="61">
        <v>0.33</v>
      </c>
      <c r="H106" s="61">
        <v>99.6</v>
      </c>
      <c r="I106" s="74">
        <v>0</v>
      </c>
      <c r="J106" s="74">
        <v>0</v>
      </c>
      <c r="K106" s="74">
        <v>0</v>
      </c>
      <c r="L106" s="61">
        <v>13.2</v>
      </c>
      <c r="M106" s="61">
        <v>80.8</v>
      </c>
      <c r="N106" s="66">
        <v>3382</v>
      </c>
      <c r="O106" s="67">
        <f t="shared" si="237"/>
        <v>11.836999999999998</v>
      </c>
      <c r="P106" s="67">
        <f t="shared" si="238"/>
        <v>3368.4719999999998</v>
      </c>
      <c r="Q106" s="67">
        <f t="shared" ref="Q106:R106" si="260">E106*P106</f>
        <v>0</v>
      </c>
      <c r="R106" s="67">
        <f t="shared" si="260"/>
        <v>0</v>
      </c>
      <c r="S106" s="67">
        <f t="shared" si="240"/>
        <v>11.1159576</v>
      </c>
      <c r="T106" s="67">
        <f t="shared" si="241"/>
        <v>3354.9981119999993</v>
      </c>
      <c r="U106" s="67">
        <f t="shared" ref="U106:W106" si="261">I106*T106</f>
        <v>0</v>
      </c>
      <c r="V106" s="67">
        <f t="shared" si="261"/>
        <v>0</v>
      </c>
      <c r="W106" s="67">
        <f t="shared" si="261"/>
        <v>0</v>
      </c>
      <c r="X106" s="67">
        <f t="shared" si="243"/>
        <v>442.85975078399991</v>
      </c>
      <c r="Y106" s="67">
        <f t="shared" si="244"/>
        <v>2710.8384744959994</v>
      </c>
      <c r="Z106" s="61" t="str">
        <f t="shared" si="245"/>
        <v>L</v>
      </c>
      <c r="AA106" s="68">
        <f t="shared" si="163"/>
        <v>11.723660944409984</v>
      </c>
      <c r="AB106" s="52" t="s">
        <v>170</v>
      </c>
      <c r="AC106">
        <f t="shared" si="166"/>
        <v>0.34999999999999992</v>
      </c>
      <c r="AD106">
        <f t="shared" si="167"/>
        <v>99.6</v>
      </c>
      <c r="AE106">
        <f t="shared" si="168"/>
        <v>0</v>
      </c>
      <c r="AF106">
        <f t="shared" si="169"/>
        <v>0</v>
      </c>
      <c r="AG106">
        <f t="shared" si="170"/>
        <v>0.32867999999999997</v>
      </c>
      <c r="AH106">
        <f t="shared" si="171"/>
        <v>99.201599999999985</v>
      </c>
      <c r="AI106">
        <f t="shared" si="172"/>
        <v>0</v>
      </c>
      <c r="AJ106">
        <f t="shared" si="173"/>
        <v>0</v>
      </c>
      <c r="AK106">
        <f t="shared" si="174"/>
        <v>0</v>
      </c>
      <c r="AL106">
        <f t="shared" si="175"/>
        <v>13.094611199999997</v>
      </c>
      <c r="AM106">
        <f t="shared" si="176"/>
        <v>80.154892799999985</v>
      </c>
    </row>
    <row r="107" spans="1:39" x14ac:dyDescent="0.25">
      <c r="A107" s="65" t="s">
        <v>98</v>
      </c>
      <c r="B107" s="61" t="s">
        <v>55</v>
      </c>
      <c r="C107" s="61">
        <v>0.78</v>
      </c>
      <c r="D107" s="61">
        <v>97.1</v>
      </c>
      <c r="E107" s="74">
        <v>0</v>
      </c>
      <c r="F107" s="74">
        <v>0</v>
      </c>
      <c r="G107" s="61">
        <v>7.55</v>
      </c>
      <c r="H107" s="61">
        <v>90.7</v>
      </c>
      <c r="I107" s="74">
        <v>0</v>
      </c>
      <c r="J107" s="74">
        <v>0</v>
      </c>
      <c r="K107" s="74">
        <v>0</v>
      </c>
      <c r="L107" s="61">
        <v>7.33</v>
      </c>
      <c r="M107" s="61">
        <v>82.9</v>
      </c>
      <c r="N107" s="66">
        <v>1023</v>
      </c>
      <c r="O107" s="67">
        <f t="shared" si="237"/>
        <v>7.9794000000000009</v>
      </c>
      <c r="P107" s="67">
        <f t="shared" si="238"/>
        <v>993.33299999999986</v>
      </c>
      <c r="Q107" s="67">
        <f t="shared" ref="Q107:R107" si="262">E107*P107</f>
        <v>0</v>
      </c>
      <c r="R107" s="67">
        <f t="shared" si="262"/>
        <v>0</v>
      </c>
      <c r="S107" s="67">
        <f t="shared" si="240"/>
        <v>74.996641499999981</v>
      </c>
      <c r="T107" s="67">
        <f t="shared" si="241"/>
        <v>900.9530309999999</v>
      </c>
      <c r="U107" s="67">
        <f t="shared" ref="U107:W107" si="263">I107*T107</f>
        <v>0</v>
      </c>
      <c r="V107" s="67">
        <f t="shared" si="263"/>
        <v>0</v>
      </c>
      <c r="W107" s="67">
        <f t="shared" si="263"/>
        <v>0</v>
      </c>
      <c r="X107" s="67">
        <f t="shared" si="243"/>
        <v>66.039857172299989</v>
      </c>
      <c r="Y107" s="67">
        <f t="shared" si="244"/>
        <v>746.89006269899994</v>
      </c>
      <c r="Z107" s="61" t="str">
        <f t="shared" si="245"/>
        <v>L</v>
      </c>
      <c r="AA107" s="68">
        <f t="shared" si="163"/>
        <v>9.9985904297453292</v>
      </c>
      <c r="AB107" s="52" t="s">
        <v>170</v>
      </c>
      <c r="AC107">
        <f t="shared" si="166"/>
        <v>0.78</v>
      </c>
      <c r="AD107">
        <f t="shared" si="167"/>
        <v>97.09999999999998</v>
      </c>
      <c r="AE107">
        <f t="shared" si="168"/>
        <v>0</v>
      </c>
      <c r="AF107">
        <f t="shared" si="169"/>
        <v>0</v>
      </c>
      <c r="AG107">
        <f t="shared" si="170"/>
        <v>7.3310499999999985</v>
      </c>
      <c r="AH107">
        <f t="shared" si="171"/>
        <v>88.069699999999997</v>
      </c>
      <c r="AI107">
        <f t="shared" si="172"/>
        <v>0</v>
      </c>
      <c r="AJ107">
        <f t="shared" si="173"/>
        <v>0</v>
      </c>
      <c r="AK107">
        <f t="shared" si="174"/>
        <v>0</v>
      </c>
      <c r="AL107">
        <f t="shared" si="175"/>
        <v>6.4555090099999992</v>
      </c>
      <c r="AM107">
        <f t="shared" si="176"/>
        <v>73.0097813</v>
      </c>
    </row>
    <row r="108" spans="1:39" x14ac:dyDescent="0.25">
      <c r="A108" s="65" t="s">
        <v>98</v>
      </c>
      <c r="B108" s="61" t="s">
        <v>27</v>
      </c>
      <c r="C108" s="61">
        <v>31.8</v>
      </c>
      <c r="D108" s="61">
        <v>68.2</v>
      </c>
      <c r="E108" s="74">
        <v>0</v>
      </c>
      <c r="F108" s="74">
        <v>0</v>
      </c>
      <c r="G108" s="61">
        <v>4</v>
      </c>
      <c r="H108" s="61">
        <v>96</v>
      </c>
      <c r="I108" s="74">
        <v>0</v>
      </c>
      <c r="J108" s="74">
        <v>0</v>
      </c>
      <c r="K108" s="74">
        <v>0</v>
      </c>
      <c r="L108" s="61">
        <v>8.33</v>
      </c>
      <c r="M108" s="61">
        <v>1.39</v>
      </c>
      <c r="N108" s="66">
        <v>110</v>
      </c>
      <c r="O108" s="67">
        <f t="shared" si="237"/>
        <v>34.979999999999997</v>
      </c>
      <c r="P108" s="67">
        <f t="shared" si="238"/>
        <v>75.02</v>
      </c>
      <c r="Q108" s="67">
        <f t="shared" ref="Q108:R108" si="264">E108*P108</f>
        <v>0</v>
      </c>
      <c r="R108" s="67">
        <f t="shared" si="264"/>
        <v>0</v>
      </c>
      <c r="S108" s="67">
        <f t="shared" si="240"/>
        <v>3.0007999999999999</v>
      </c>
      <c r="T108" s="67">
        <f t="shared" si="241"/>
        <v>72.019199999999998</v>
      </c>
      <c r="U108" s="67">
        <f t="shared" ref="U108:W108" si="265">I108*T108</f>
        <v>0</v>
      </c>
      <c r="V108" s="67">
        <f t="shared" si="265"/>
        <v>0</v>
      </c>
      <c r="W108" s="67">
        <f t="shared" si="265"/>
        <v>0</v>
      </c>
      <c r="X108" s="67">
        <f t="shared" si="243"/>
        <v>5.9991993600000004</v>
      </c>
      <c r="Y108" s="67">
        <f t="shared" si="244"/>
        <v>1.00106688</v>
      </c>
      <c r="Z108" s="61" t="str">
        <f t="shared" si="245"/>
        <v>M</v>
      </c>
      <c r="AA108" s="68">
        <f t="shared" si="163"/>
        <v>6.7813597135246599</v>
      </c>
      <c r="AB108" s="52" t="s">
        <v>170</v>
      </c>
      <c r="AC108">
        <f t="shared" si="166"/>
        <v>31.799999999999994</v>
      </c>
      <c r="AD108">
        <f t="shared" si="167"/>
        <v>68.199999999999989</v>
      </c>
      <c r="AE108">
        <f t="shared" si="168"/>
        <v>0</v>
      </c>
      <c r="AF108">
        <f t="shared" si="169"/>
        <v>0</v>
      </c>
      <c r="AG108">
        <f t="shared" si="170"/>
        <v>2.7279999999999998</v>
      </c>
      <c r="AH108">
        <f t="shared" si="171"/>
        <v>65.471999999999994</v>
      </c>
      <c r="AI108">
        <f t="shared" si="172"/>
        <v>0</v>
      </c>
      <c r="AJ108">
        <f t="shared" si="173"/>
        <v>0</v>
      </c>
      <c r="AK108">
        <f t="shared" si="174"/>
        <v>0</v>
      </c>
      <c r="AL108">
        <f t="shared" si="175"/>
        <v>5.4538175999999998</v>
      </c>
      <c r="AM108">
        <f t="shared" si="176"/>
        <v>0.9100608</v>
      </c>
    </row>
    <row r="109" spans="1:39" x14ac:dyDescent="0.25">
      <c r="A109" s="65" t="s">
        <v>98</v>
      </c>
      <c r="B109" s="61" t="s">
        <v>30</v>
      </c>
      <c r="C109" s="61">
        <v>0.63</v>
      </c>
      <c r="D109" s="61">
        <v>99.3</v>
      </c>
      <c r="E109" s="74">
        <v>0</v>
      </c>
      <c r="F109" s="74">
        <v>0</v>
      </c>
      <c r="G109" s="61">
        <v>0.69</v>
      </c>
      <c r="H109" s="61">
        <v>99.2</v>
      </c>
      <c r="I109" s="74">
        <v>0</v>
      </c>
      <c r="J109" s="74">
        <v>0</v>
      </c>
      <c r="K109" s="74">
        <v>0</v>
      </c>
      <c r="L109" s="61">
        <v>27.2</v>
      </c>
      <c r="M109" s="61">
        <v>64.400000000000006</v>
      </c>
      <c r="N109" s="66">
        <v>2054</v>
      </c>
      <c r="O109" s="67">
        <f t="shared" si="237"/>
        <v>12.940199999999999</v>
      </c>
      <c r="P109" s="67">
        <f t="shared" si="238"/>
        <v>2039.6219999999998</v>
      </c>
      <c r="Q109" s="67">
        <f t="shared" ref="Q109:R109" si="266">E109*P109</f>
        <v>0</v>
      </c>
      <c r="R109" s="67">
        <f t="shared" si="266"/>
        <v>0</v>
      </c>
      <c r="S109" s="67">
        <f t="shared" si="240"/>
        <v>14.073391799999998</v>
      </c>
      <c r="T109" s="67">
        <f t="shared" si="241"/>
        <v>2023.305024</v>
      </c>
      <c r="U109" s="67">
        <f t="shared" ref="U109:W109" si="267">I109*T109</f>
        <v>0</v>
      </c>
      <c r="V109" s="67">
        <f t="shared" si="267"/>
        <v>0</v>
      </c>
      <c r="W109" s="67">
        <f t="shared" si="267"/>
        <v>0</v>
      </c>
      <c r="X109" s="67">
        <f t="shared" si="243"/>
        <v>550.33896652800001</v>
      </c>
      <c r="Y109" s="67">
        <f t="shared" si="244"/>
        <v>1303.0084354560001</v>
      </c>
      <c r="Z109" s="61" t="str">
        <f t="shared" si="245"/>
        <v>L</v>
      </c>
      <c r="AA109" s="68">
        <f t="shared" si="163"/>
        <v>11.004220466318195</v>
      </c>
      <c r="AB109" s="52" t="s">
        <v>170</v>
      </c>
      <c r="AC109">
        <f t="shared" si="166"/>
        <v>0.62999999999999989</v>
      </c>
      <c r="AD109">
        <f t="shared" si="167"/>
        <v>99.299999999999983</v>
      </c>
      <c r="AE109">
        <f t="shared" si="168"/>
        <v>0</v>
      </c>
      <c r="AF109">
        <f t="shared" si="169"/>
        <v>0</v>
      </c>
      <c r="AG109">
        <f t="shared" si="170"/>
        <v>0.68516999999999983</v>
      </c>
      <c r="AH109">
        <f t="shared" si="171"/>
        <v>98.505600000000001</v>
      </c>
      <c r="AI109">
        <f t="shared" si="172"/>
        <v>0</v>
      </c>
      <c r="AJ109">
        <f t="shared" si="173"/>
        <v>0</v>
      </c>
      <c r="AK109">
        <f t="shared" si="174"/>
        <v>0</v>
      </c>
      <c r="AL109">
        <f t="shared" si="175"/>
        <v>26.793523200000003</v>
      </c>
      <c r="AM109">
        <f t="shared" si="176"/>
        <v>63.4376064</v>
      </c>
    </row>
    <row r="110" spans="1:39" x14ac:dyDescent="0.25">
      <c r="A110" s="65" t="s">
        <v>98</v>
      </c>
      <c r="B110" s="61" t="s">
        <v>32</v>
      </c>
      <c r="C110" s="61">
        <v>0.49</v>
      </c>
      <c r="D110" s="61">
        <v>99.3</v>
      </c>
      <c r="E110" s="74">
        <v>0</v>
      </c>
      <c r="F110" s="74">
        <v>0</v>
      </c>
      <c r="G110" s="61">
        <v>0.99</v>
      </c>
      <c r="H110" s="61">
        <v>98.9</v>
      </c>
      <c r="I110" s="74">
        <v>0</v>
      </c>
      <c r="J110" s="74">
        <v>0</v>
      </c>
      <c r="K110" s="74">
        <v>0</v>
      </c>
      <c r="L110" s="61">
        <v>44.8</v>
      </c>
      <c r="M110" s="61">
        <v>47.4</v>
      </c>
      <c r="N110" s="66">
        <v>1837</v>
      </c>
      <c r="O110" s="67">
        <f t="shared" si="237"/>
        <v>9.0013000000000005</v>
      </c>
      <c r="P110" s="67">
        <f t="shared" si="238"/>
        <v>1824.1410000000001</v>
      </c>
      <c r="Q110" s="67">
        <f t="shared" ref="Q110:R110" si="268">E110*P110</f>
        <v>0</v>
      </c>
      <c r="R110" s="67">
        <f t="shared" si="268"/>
        <v>0</v>
      </c>
      <c r="S110" s="67">
        <f t="shared" si="240"/>
        <v>18.058995899999999</v>
      </c>
      <c r="T110" s="67">
        <f t="shared" si="241"/>
        <v>1804.0754490000002</v>
      </c>
      <c r="U110" s="67">
        <f t="shared" ref="U110:W110" si="269">I110*T110</f>
        <v>0</v>
      </c>
      <c r="V110" s="67">
        <f t="shared" si="269"/>
        <v>0</v>
      </c>
      <c r="W110" s="67">
        <f t="shared" si="269"/>
        <v>0</v>
      </c>
      <c r="X110" s="67">
        <f t="shared" si="243"/>
        <v>808.22580115200003</v>
      </c>
      <c r="Y110" s="67">
        <f t="shared" si="244"/>
        <v>855.131762826</v>
      </c>
      <c r="Z110" s="61" t="str">
        <f t="shared" si="245"/>
        <v>L</v>
      </c>
      <c r="AA110" s="68">
        <f t="shared" si="163"/>
        <v>10.843135911111348</v>
      </c>
      <c r="AB110" s="52" t="s">
        <v>170</v>
      </c>
      <c r="AC110">
        <f t="shared" si="166"/>
        <v>0.49000000000000005</v>
      </c>
      <c r="AD110">
        <f t="shared" si="167"/>
        <v>99.3</v>
      </c>
      <c r="AE110">
        <f t="shared" si="168"/>
        <v>0</v>
      </c>
      <c r="AF110">
        <f t="shared" si="169"/>
        <v>0</v>
      </c>
      <c r="AG110">
        <f t="shared" si="170"/>
        <v>0.98307</v>
      </c>
      <c r="AH110">
        <f t="shared" si="171"/>
        <v>98.207700000000003</v>
      </c>
      <c r="AI110">
        <f t="shared" si="172"/>
        <v>0</v>
      </c>
      <c r="AJ110">
        <f t="shared" si="173"/>
        <v>0</v>
      </c>
      <c r="AK110">
        <f t="shared" si="174"/>
        <v>0</v>
      </c>
      <c r="AL110">
        <f t="shared" si="175"/>
        <v>43.997049600000004</v>
      </c>
      <c r="AM110">
        <f t="shared" si="176"/>
        <v>46.550449799999996</v>
      </c>
    </row>
    <row r="111" spans="1:39" x14ac:dyDescent="0.25">
      <c r="A111" s="65" t="s">
        <v>98</v>
      </c>
      <c r="B111" s="61" t="s">
        <v>33</v>
      </c>
      <c r="C111" s="61">
        <v>0.66</v>
      </c>
      <c r="D111" s="61">
        <v>99</v>
      </c>
      <c r="E111" s="74">
        <v>0</v>
      </c>
      <c r="F111" s="74">
        <v>0</v>
      </c>
      <c r="G111" s="61">
        <v>0.48</v>
      </c>
      <c r="H111" s="61">
        <v>99.3</v>
      </c>
      <c r="I111" s="74">
        <v>0</v>
      </c>
      <c r="J111" s="74">
        <v>0</v>
      </c>
      <c r="K111" s="74">
        <v>0</v>
      </c>
      <c r="L111" s="61">
        <v>7.82</v>
      </c>
      <c r="M111" s="61">
        <v>87.7</v>
      </c>
      <c r="N111" s="66">
        <v>3802</v>
      </c>
      <c r="O111" s="67">
        <f t="shared" si="237"/>
        <v>25.093200000000003</v>
      </c>
      <c r="P111" s="67">
        <f t="shared" si="238"/>
        <v>3763.98</v>
      </c>
      <c r="Q111" s="67">
        <f t="shared" ref="Q111:R111" si="270">E111*P111</f>
        <v>0</v>
      </c>
      <c r="R111" s="67">
        <f t="shared" si="270"/>
        <v>0</v>
      </c>
      <c r="S111" s="67">
        <f t="shared" si="240"/>
        <v>18.067104</v>
      </c>
      <c r="T111" s="67">
        <f t="shared" si="241"/>
        <v>3737.6321399999997</v>
      </c>
      <c r="U111" s="67">
        <f t="shared" ref="U111:W111" si="271">I111*T111</f>
        <v>0</v>
      </c>
      <c r="V111" s="67">
        <f t="shared" si="271"/>
        <v>0</v>
      </c>
      <c r="W111" s="67">
        <f t="shared" si="271"/>
        <v>0</v>
      </c>
      <c r="X111" s="67">
        <f t="shared" si="243"/>
        <v>292.282833348</v>
      </c>
      <c r="Y111" s="67">
        <f t="shared" si="244"/>
        <v>3277.9033867799999</v>
      </c>
      <c r="Z111" s="61" t="str">
        <f t="shared" si="245"/>
        <v>L</v>
      </c>
      <c r="AA111" s="68">
        <f t="shared" si="163"/>
        <v>11.892542816648554</v>
      </c>
      <c r="AB111" s="52" t="s">
        <v>170</v>
      </c>
      <c r="AC111">
        <f t="shared" si="166"/>
        <v>0.66</v>
      </c>
      <c r="AD111">
        <f t="shared" si="167"/>
        <v>99</v>
      </c>
      <c r="AE111">
        <f t="shared" si="168"/>
        <v>0</v>
      </c>
      <c r="AF111">
        <f t="shared" si="169"/>
        <v>0</v>
      </c>
      <c r="AG111">
        <f t="shared" si="170"/>
        <v>0.47520000000000001</v>
      </c>
      <c r="AH111">
        <f t="shared" si="171"/>
        <v>98.306999999999988</v>
      </c>
      <c r="AI111">
        <f t="shared" si="172"/>
        <v>0</v>
      </c>
      <c r="AJ111">
        <f t="shared" si="173"/>
        <v>0</v>
      </c>
      <c r="AK111">
        <f t="shared" si="174"/>
        <v>0</v>
      </c>
      <c r="AL111">
        <f t="shared" si="175"/>
        <v>7.6876074000000001</v>
      </c>
      <c r="AM111">
        <f t="shared" si="176"/>
        <v>86.215238999999997</v>
      </c>
    </row>
    <row r="112" spans="1:39" x14ac:dyDescent="0.25">
      <c r="A112" s="65" t="s">
        <v>98</v>
      </c>
      <c r="B112" s="61" t="s">
        <v>58</v>
      </c>
      <c r="C112" s="61">
        <v>0.47</v>
      </c>
      <c r="D112" s="61">
        <v>99.5</v>
      </c>
      <c r="E112" s="74">
        <v>0</v>
      </c>
      <c r="F112" s="74">
        <v>0</v>
      </c>
      <c r="G112" s="61">
        <v>2.02</v>
      </c>
      <c r="H112" s="61">
        <v>97.5</v>
      </c>
      <c r="I112" s="74">
        <v>0</v>
      </c>
      <c r="J112" s="74">
        <v>0</v>
      </c>
      <c r="K112" s="74">
        <v>0</v>
      </c>
      <c r="L112" s="61">
        <v>45.4</v>
      </c>
      <c r="M112" s="61">
        <v>42.9</v>
      </c>
      <c r="N112" s="66">
        <v>845</v>
      </c>
      <c r="O112" s="67">
        <f t="shared" si="237"/>
        <v>3.9714999999999998</v>
      </c>
      <c r="P112" s="67">
        <f t="shared" si="238"/>
        <v>840.77499999999998</v>
      </c>
      <c r="Q112" s="67">
        <f t="shared" ref="Q112:R112" si="272">E112*P112</f>
        <v>0</v>
      </c>
      <c r="R112" s="67">
        <f t="shared" si="272"/>
        <v>0</v>
      </c>
      <c r="S112" s="67">
        <f t="shared" si="240"/>
        <v>16.983654999999999</v>
      </c>
      <c r="T112" s="67">
        <f t="shared" si="241"/>
        <v>819.75562500000001</v>
      </c>
      <c r="U112" s="67">
        <f t="shared" ref="U112:W112" si="273">I112*T112</f>
        <v>0</v>
      </c>
      <c r="V112" s="67">
        <f t="shared" si="273"/>
        <v>0</v>
      </c>
      <c r="W112" s="67">
        <f t="shared" si="273"/>
        <v>0</v>
      </c>
      <c r="X112" s="67">
        <f t="shared" si="243"/>
        <v>372.16905375000005</v>
      </c>
      <c r="Y112" s="67">
        <f t="shared" si="244"/>
        <v>351.67516312499998</v>
      </c>
      <c r="Z112" s="61" t="str">
        <f t="shared" si="245"/>
        <v>M</v>
      </c>
      <c r="AA112" s="68">
        <f t="shared" si="163"/>
        <v>9.722807531169547</v>
      </c>
      <c r="AB112" s="52" t="s">
        <v>170</v>
      </c>
      <c r="AC112">
        <f t="shared" si="166"/>
        <v>0.47000000000000003</v>
      </c>
      <c r="AD112">
        <f t="shared" si="167"/>
        <v>99.5</v>
      </c>
      <c r="AE112">
        <f t="shared" si="168"/>
        <v>0</v>
      </c>
      <c r="AF112">
        <f t="shared" si="169"/>
        <v>0</v>
      </c>
      <c r="AG112">
        <f t="shared" si="170"/>
        <v>2.0099</v>
      </c>
      <c r="AH112">
        <f t="shared" si="171"/>
        <v>97.012500000000003</v>
      </c>
      <c r="AI112">
        <f t="shared" si="172"/>
        <v>0</v>
      </c>
      <c r="AJ112">
        <f t="shared" si="173"/>
        <v>0</v>
      </c>
      <c r="AK112">
        <f t="shared" si="174"/>
        <v>0</v>
      </c>
      <c r="AL112">
        <f t="shared" si="175"/>
        <v>44.043675000000007</v>
      </c>
      <c r="AM112">
        <f t="shared" si="176"/>
        <v>41.618362500000003</v>
      </c>
    </row>
    <row r="113" spans="1:39" x14ac:dyDescent="0.25">
      <c r="A113" s="65" t="s">
        <v>98</v>
      </c>
      <c r="B113" s="61" t="s">
        <v>34</v>
      </c>
      <c r="C113" s="61">
        <v>0.42</v>
      </c>
      <c r="D113" s="61">
        <v>99.4</v>
      </c>
      <c r="E113" s="74">
        <v>0</v>
      </c>
      <c r="F113" s="74">
        <v>0</v>
      </c>
      <c r="G113" s="61">
        <v>0.28999999999999998</v>
      </c>
      <c r="H113" s="61">
        <v>99.7</v>
      </c>
      <c r="I113" s="74">
        <v>0</v>
      </c>
      <c r="J113" s="74">
        <v>0</v>
      </c>
      <c r="K113" s="74">
        <v>0</v>
      </c>
      <c r="L113" s="61">
        <v>30.2</v>
      </c>
      <c r="M113" s="61">
        <v>63.5</v>
      </c>
      <c r="N113" s="66">
        <v>3777</v>
      </c>
      <c r="O113" s="67">
        <f t="shared" si="237"/>
        <v>15.863399999999999</v>
      </c>
      <c r="P113" s="67">
        <f t="shared" si="238"/>
        <v>3754.3380000000006</v>
      </c>
      <c r="Q113" s="67">
        <f t="shared" ref="Q113:R113" si="274">E113*P113</f>
        <v>0</v>
      </c>
      <c r="R113" s="67">
        <f t="shared" si="274"/>
        <v>0</v>
      </c>
      <c r="S113" s="67">
        <f t="shared" si="240"/>
        <v>10.887580200000002</v>
      </c>
      <c r="T113" s="67">
        <f t="shared" si="241"/>
        <v>3743.0749860000005</v>
      </c>
      <c r="U113" s="67">
        <f t="shared" ref="U113:W113" si="275">I113*T113</f>
        <v>0</v>
      </c>
      <c r="V113" s="67">
        <f t="shared" si="275"/>
        <v>0</v>
      </c>
      <c r="W113" s="67">
        <f t="shared" si="275"/>
        <v>0</v>
      </c>
      <c r="X113" s="67">
        <f t="shared" si="243"/>
        <v>1130.4086457720002</v>
      </c>
      <c r="Y113" s="67">
        <f t="shared" si="244"/>
        <v>2376.8526161100003</v>
      </c>
      <c r="Z113" s="61" t="str">
        <f t="shared" si="245"/>
        <v>L</v>
      </c>
      <c r="AA113" s="68">
        <f t="shared" si="163"/>
        <v>11.883025068440174</v>
      </c>
      <c r="AB113" s="52" t="s">
        <v>170</v>
      </c>
      <c r="AC113">
        <f t="shared" si="166"/>
        <v>0.42</v>
      </c>
      <c r="AD113">
        <f t="shared" si="167"/>
        <v>99.40000000000002</v>
      </c>
      <c r="AE113">
        <f t="shared" si="168"/>
        <v>0</v>
      </c>
      <c r="AF113">
        <f t="shared" si="169"/>
        <v>0</v>
      </c>
      <c r="AG113">
        <f t="shared" si="170"/>
        <v>0.28826000000000002</v>
      </c>
      <c r="AH113">
        <f t="shared" si="171"/>
        <v>99.101800000000011</v>
      </c>
      <c r="AI113">
        <f t="shared" si="172"/>
        <v>0</v>
      </c>
      <c r="AJ113">
        <f t="shared" si="173"/>
        <v>0</v>
      </c>
      <c r="AK113">
        <f t="shared" si="174"/>
        <v>0</v>
      </c>
      <c r="AL113">
        <f t="shared" si="175"/>
        <v>29.928743600000008</v>
      </c>
      <c r="AM113">
        <f t="shared" si="176"/>
        <v>62.929643000000013</v>
      </c>
    </row>
    <row r="114" spans="1:39" x14ac:dyDescent="0.25">
      <c r="A114" s="65" t="s">
        <v>98</v>
      </c>
      <c r="B114" s="61" t="s">
        <v>59</v>
      </c>
      <c r="C114" s="61">
        <v>7.04</v>
      </c>
      <c r="D114" s="61">
        <v>93</v>
      </c>
      <c r="E114" s="74">
        <v>0</v>
      </c>
      <c r="F114" s="74">
        <v>0</v>
      </c>
      <c r="G114" s="61">
        <v>6.06</v>
      </c>
      <c r="H114" s="61">
        <v>90.9</v>
      </c>
      <c r="I114" s="74">
        <v>0</v>
      </c>
      <c r="J114" s="74">
        <v>0</v>
      </c>
      <c r="K114" s="74">
        <v>0</v>
      </c>
      <c r="L114" s="61">
        <v>5</v>
      </c>
      <c r="M114" s="61">
        <v>0</v>
      </c>
      <c r="N114" s="66">
        <v>71</v>
      </c>
      <c r="O114" s="67">
        <f t="shared" si="237"/>
        <v>4.9984000000000002</v>
      </c>
      <c r="P114" s="67">
        <f t="shared" si="238"/>
        <v>66.03</v>
      </c>
      <c r="Q114" s="67">
        <f t="shared" ref="Q114:R114" si="276">E114*P114</f>
        <v>0</v>
      </c>
      <c r="R114" s="67">
        <f t="shared" si="276"/>
        <v>0</v>
      </c>
      <c r="S114" s="67">
        <f t="shared" si="240"/>
        <v>4.0014180000000001</v>
      </c>
      <c r="T114" s="67">
        <f t="shared" si="241"/>
        <v>60.021270000000001</v>
      </c>
      <c r="U114" s="67">
        <f t="shared" ref="U114:W114" si="277">I114*T114</f>
        <v>0</v>
      </c>
      <c r="V114" s="67">
        <f t="shared" si="277"/>
        <v>0</v>
      </c>
      <c r="W114" s="67">
        <f t="shared" si="277"/>
        <v>0</v>
      </c>
      <c r="X114" s="67">
        <f t="shared" si="243"/>
        <v>3.0010635000000003</v>
      </c>
      <c r="Y114" s="67">
        <f t="shared" si="244"/>
        <v>0</v>
      </c>
      <c r="Z114" s="61" t="str">
        <f t="shared" si="245"/>
        <v>S</v>
      </c>
      <c r="AA114" s="68">
        <f t="shared" si="163"/>
        <v>6.1497471195046822</v>
      </c>
      <c r="AB114" s="52" t="s">
        <v>170</v>
      </c>
      <c r="AC114">
        <f t="shared" si="166"/>
        <v>7.04</v>
      </c>
      <c r="AD114">
        <f t="shared" si="167"/>
        <v>93</v>
      </c>
      <c r="AE114">
        <f t="shared" si="168"/>
        <v>0</v>
      </c>
      <c r="AF114">
        <f t="shared" si="169"/>
        <v>0</v>
      </c>
      <c r="AG114">
        <f t="shared" si="170"/>
        <v>5.6358000000000006</v>
      </c>
      <c r="AH114">
        <f t="shared" si="171"/>
        <v>84.537000000000006</v>
      </c>
      <c r="AI114">
        <f t="shared" si="172"/>
        <v>0</v>
      </c>
      <c r="AJ114">
        <f t="shared" si="173"/>
        <v>0</v>
      </c>
      <c r="AK114">
        <f t="shared" si="174"/>
        <v>0</v>
      </c>
      <c r="AL114">
        <f t="shared" si="175"/>
        <v>4.2268500000000007</v>
      </c>
      <c r="AM114">
        <f t="shared" si="176"/>
        <v>0</v>
      </c>
    </row>
    <row r="115" spans="1:39" x14ac:dyDescent="0.25">
      <c r="A115" s="65" t="s">
        <v>98</v>
      </c>
      <c r="B115" s="61" t="s">
        <v>60</v>
      </c>
      <c r="C115" s="61">
        <v>0.74</v>
      </c>
      <c r="D115" s="61">
        <v>99.1</v>
      </c>
      <c r="E115" s="74">
        <v>0</v>
      </c>
      <c r="F115" s="74">
        <v>0</v>
      </c>
      <c r="G115" s="61">
        <v>1.56</v>
      </c>
      <c r="H115" s="61">
        <v>97.6</v>
      </c>
      <c r="I115" s="74">
        <v>0</v>
      </c>
      <c r="J115" s="74">
        <v>0</v>
      </c>
      <c r="K115" s="74">
        <v>0</v>
      </c>
      <c r="L115" s="61">
        <v>4.17</v>
      </c>
      <c r="M115" s="61">
        <v>89.4</v>
      </c>
      <c r="N115" s="66">
        <v>1489</v>
      </c>
      <c r="O115" s="67">
        <f t="shared" si="237"/>
        <v>11.018599999999999</v>
      </c>
      <c r="P115" s="67">
        <f t="shared" si="238"/>
        <v>1475.5989999999999</v>
      </c>
      <c r="Q115" s="67">
        <f t="shared" ref="Q115:R115" si="278">E115*P115</f>
        <v>0</v>
      </c>
      <c r="R115" s="67">
        <f t="shared" si="278"/>
        <v>0</v>
      </c>
      <c r="S115" s="67">
        <f t="shared" si="240"/>
        <v>23.019344400000001</v>
      </c>
      <c r="T115" s="67">
        <f t="shared" si="241"/>
        <v>1440.184624</v>
      </c>
      <c r="U115" s="67">
        <f t="shared" ref="U115:W115" si="279">I115*T115</f>
        <v>0</v>
      </c>
      <c r="V115" s="67">
        <f t="shared" si="279"/>
        <v>0</v>
      </c>
      <c r="W115" s="67">
        <f t="shared" si="279"/>
        <v>0</v>
      </c>
      <c r="X115" s="67">
        <f t="shared" si="243"/>
        <v>60.055698820799996</v>
      </c>
      <c r="Y115" s="67">
        <f t="shared" si="244"/>
        <v>1287.5250538560001</v>
      </c>
      <c r="Z115" s="61" t="str">
        <f t="shared" si="245"/>
        <v>L</v>
      </c>
      <c r="AA115" s="68">
        <f t="shared" si="163"/>
        <v>10.5401280385821</v>
      </c>
      <c r="AB115" s="52" t="s">
        <v>170</v>
      </c>
      <c r="AC115">
        <f t="shared" si="166"/>
        <v>0.74</v>
      </c>
      <c r="AD115">
        <f t="shared" si="167"/>
        <v>99.1</v>
      </c>
      <c r="AE115">
        <f t="shared" si="168"/>
        <v>0</v>
      </c>
      <c r="AF115">
        <f t="shared" si="169"/>
        <v>0</v>
      </c>
      <c r="AG115">
        <f t="shared" si="170"/>
        <v>1.54596</v>
      </c>
      <c r="AH115">
        <f t="shared" si="171"/>
        <v>96.721599999999995</v>
      </c>
      <c r="AI115">
        <f t="shared" si="172"/>
        <v>0</v>
      </c>
      <c r="AJ115">
        <f t="shared" si="173"/>
        <v>0</v>
      </c>
      <c r="AK115">
        <f t="shared" si="174"/>
        <v>0</v>
      </c>
      <c r="AL115">
        <f t="shared" si="175"/>
        <v>4.0332907200000001</v>
      </c>
      <c r="AM115">
        <f t="shared" si="176"/>
        <v>86.469110400000005</v>
      </c>
    </row>
    <row r="116" spans="1:39" x14ac:dyDescent="0.25">
      <c r="A116" s="65" t="s">
        <v>98</v>
      </c>
      <c r="B116" s="61" t="s">
        <v>96</v>
      </c>
      <c r="C116" s="61">
        <v>4.8899999999999997</v>
      </c>
      <c r="D116" s="61">
        <v>91.7</v>
      </c>
      <c r="E116" s="74">
        <v>0</v>
      </c>
      <c r="F116" s="74">
        <v>0</v>
      </c>
      <c r="G116" s="61">
        <v>2</v>
      </c>
      <c r="H116" s="61">
        <v>98</v>
      </c>
      <c r="I116" s="74">
        <v>0</v>
      </c>
      <c r="J116" s="74">
        <v>0</v>
      </c>
      <c r="K116" s="74">
        <v>0</v>
      </c>
      <c r="L116" s="61">
        <v>63.9</v>
      </c>
      <c r="M116" s="61">
        <v>13.6</v>
      </c>
      <c r="N116" s="66">
        <v>327</v>
      </c>
      <c r="O116" s="67">
        <f t="shared" si="237"/>
        <v>15.9903</v>
      </c>
      <c r="P116" s="67">
        <f t="shared" si="238"/>
        <v>299.85900000000004</v>
      </c>
      <c r="Q116" s="67">
        <f t="shared" ref="Q116:R116" si="280">E116*P116</f>
        <v>0</v>
      </c>
      <c r="R116" s="67">
        <f t="shared" si="280"/>
        <v>0</v>
      </c>
      <c r="S116" s="67">
        <f t="shared" si="240"/>
        <v>5.9971800000000011</v>
      </c>
      <c r="T116" s="67">
        <f t="shared" si="241"/>
        <v>293.86182000000002</v>
      </c>
      <c r="U116" s="67">
        <f t="shared" ref="U116:W116" si="281">I116*T116</f>
        <v>0</v>
      </c>
      <c r="V116" s="67">
        <f t="shared" si="281"/>
        <v>0</v>
      </c>
      <c r="W116" s="67">
        <f t="shared" si="281"/>
        <v>0</v>
      </c>
      <c r="X116" s="67">
        <f t="shared" si="243"/>
        <v>187.77770297999999</v>
      </c>
      <c r="Y116" s="67">
        <f t="shared" si="244"/>
        <v>39.965207520000007</v>
      </c>
      <c r="Z116" s="61" t="str">
        <f t="shared" si="245"/>
        <v>M</v>
      </c>
      <c r="AA116" s="68">
        <f t="shared" si="163"/>
        <v>8.353146825498083</v>
      </c>
      <c r="AB116" s="52" t="s">
        <v>170</v>
      </c>
      <c r="AC116">
        <f t="shared" si="166"/>
        <v>4.8899999999999997</v>
      </c>
      <c r="AD116">
        <f t="shared" si="167"/>
        <v>91.700000000000017</v>
      </c>
      <c r="AE116">
        <f t="shared" si="168"/>
        <v>0</v>
      </c>
      <c r="AF116">
        <f t="shared" si="169"/>
        <v>0</v>
      </c>
      <c r="AG116">
        <f t="shared" si="170"/>
        <v>1.8340000000000003</v>
      </c>
      <c r="AH116">
        <f t="shared" si="171"/>
        <v>89.866000000000014</v>
      </c>
      <c r="AI116">
        <f t="shared" si="172"/>
        <v>0</v>
      </c>
      <c r="AJ116">
        <f t="shared" si="173"/>
        <v>0</v>
      </c>
      <c r="AK116">
        <f t="shared" si="174"/>
        <v>0</v>
      </c>
      <c r="AL116">
        <f t="shared" si="175"/>
        <v>57.424374</v>
      </c>
      <c r="AM116">
        <f t="shared" si="176"/>
        <v>12.221776000000002</v>
      </c>
    </row>
    <row r="117" spans="1:39" x14ac:dyDescent="0.25">
      <c r="A117" s="65" t="s">
        <v>98</v>
      </c>
      <c r="B117" s="61" t="s">
        <v>61</v>
      </c>
      <c r="C117" s="61">
        <v>0.09</v>
      </c>
      <c r="D117" s="61">
        <v>99.8</v>
      </c>
      <c r="E117" s="74">
        <v>0</v>
      </c>
      <c r="F117" s="74">
        <v>0</v>
      </c>
      <c r="G117" s="61">
        <v>0.32</v>
      </c>
      <c r="H117" s="61">
        <v>99.7</v>
      </c>
      <c r="I117" s="74">
        <v>0</v>
      </c>
      <c r="J117" s="74">
        <v>0</v>
      </c>
      <c r="K117" s="74">
        <v>0</v>
      </c>
      <c r="L117" s="61">
        <v>8.3800000000000008</v>
      </c>
      <c r="M117" s="61">
        <v>6.3</v>
      </c>
      <c r="N117" s="66">
        <v>2219</v>
      </c>
      <c r="O117" s="67">
        <f t="shared" si="237"/>
        <v>1.9970999999999999</v>
      </c>
      <c r="P117" s="67">
        <f t="shared" si="238"/>
        <v>2214.5619999999999</v>
      </c>
      <c r="Q117" s="67">
        <f t="shared" ref="Q117:R117" si="282">E117*P117</f>
        <v>0</v>
      </c>
      <c r="R117" s="67">
        <f t="shared" si="282"/>
        <v>0</v>
      </c>
      <c r="S117" s="67">
        <f t="shared" si="240"/>
        <v>7.0865984000000006</v>
      </c>
      <c r="T117" s="67">
        <f t="shared" si="241"/>
        <v>2207.918314</v>
      </c>
      <c r="U117" s="67">
        <f t="shared" ref="U117:W117" si="283">I117*T117</f>
        <v>0</v>
      </c>
      <c r="V117" s="67">
        <f t="shared" si="283"/>
        <v>0</v>
      </c>
      <c r="W117" s="67">
        <f t="shared" si="283"/>
        <v>0</v>
      </c>
      <c r="X117" s="67">
        <f t="shared" si="243"/>
        <v>185.02355471320004</v>
      </c>
      <c r="Y117" s="67">
        <f t="shared" si="244"/>
        <v>139.09885378199999</v>
      </c>
      <c r="Z117" s="61" t="str">
        <f t="shared" si="245"/>
        <v>L</v>
      </c>
      <c r="AA117" s="68">
        <f t="shared" si="163"/>
        <v>11.115693952197011</v>
      </c>
      <c r="AB117" s="52" t="s">
        <v>170</v>
      </c>
      <c r="AC117">
        <f t="shared" si="166"/>
        <v>0.09</v>
      </c>
      <c r="AD117">
        <f t="shared" si="167"/>
        <v>99.8</v>
      </c>
      <c r="AE117">
        <f t="shared" si="168"/>
        <v>0</v>
      </c>
      <c r="AF117">
        <f t="shared" si="169"/>
        <v>0</v>
      </c>
      <c r="AG117">
        <f t="shared" si="170"/>
        <v>0.31936000000000003</v>
      </c>
      <c r="AH117">
        <f t="shared" si="171"/>
        <v>99.500600000000006</v>
      </c>
      <c r="AI117">
        <f t="shared" si="172"/>
        <v>0</v>
      </c>
      <c r="AJ117">
        <f t="shared" si="173"/>
        <v>0</v>
      </c>
      <c r="AK117">
        <f t="shared" si="174"/>
        <v>0</v>
      </c>
      <c r="AL117">
        <f t="shared" si="175"/>
        <v>8.3381502800000025</v>
      </c>
      <c r="AM117">
        <f t="shared" si="176"/>
        <v>6.2685377999999998</v>
      </c>
    </row>
    <row r="118" spans="1:39" x14ac:dyDescent="0.25">
      <c r="A118" s="65" t="s">
        <v>98</v>
      </c>
      <c r="B118" s="61" t="s">
        <v>35</v>
      </c>
      <c r="C118" s="61">
        <v>1.19</v>
      </c>
      <c r="D118" s="61">
        <v>98.6</v>
      </c>
      <c r="E118" s="74">
        <v>0</v>
      </c>
      <c r="F118" s="74">
        <v>0</v>
      </c>
      <c r="G118" s="61">
        <v>0.81</v>
      </c>
      <c r="H118" s="61">
        <v>99</v>
      </c>
      <c r="I118" s="74">
        <v>0</v>
      </c>
      <c r="J118" s="74">
        <v>0</v>
      </c>
      <c r="K118" s="74">
        <v>0</v>
      </c>
      <c r="L118" s="61">
        <v>30.2</v>
      </c>
      <c r="M118" s="61">
        <v>59.8</v>
      </c>
      <c r="N118" s="66">
        <v>1761</v>
      </c>
      <c r="O118" s="67">
        <f t="shared" si="237"/>
        <v>20.955899999999996</v>
      </c>
      <c r="P118" s="67">
        <f t="shared" si="238"/>
        <v>1736.3459999999998</v>
      </c>
      <c r="Q118" s="67">
        <f t="shared" ref="Q118:R118" si="284">E118*P118</f>
        <v>0</v>
      </c>
      <c r="R118" s="67">
        <f t="shared" si="284"/>
        <v>0</v>
      </c>
      <c r="S118" s="67">
        <f t="shared" si="240"/>
        <v>14.064402599999999</v>
      </c>
      <c r="T118" s="67">
        <f t="shared" si="241"/>
        <v>1718.98254</v>
      </c>
      <c r="U118" s="67">
        <f t="shared" ref="U118:W118" si="285">I118*T118</f>
        <v>0</v>
      </c>
      <c r="V118" s="67">
        <f t="shared" si="285"/>
        <v>0</v>
      </c>
      <c r="W118" s="67">
        <f t="shared" si="285"/>
        <v>0</v>
      </c>
      <c r="X118" s="67">
        <f t="shared" si="243"/>
        <v>519.13272708</v>
      </c>
      <c r="Y118" s="67">
        <f t="shared" si="244"/>
        <v>1027.95155892</v>
      </c>
      <c r="Z118" s="61" t="str">
        <f t="shared" si="245"/>
        <v>L</v>
      </c>
      <c r="AA118" s="68">
        <f t="shared" si="163"/>
        <v>10.782179193831208</v>
      </c>
      <c r="AB118" s="52" t="s">
        <v>170</v>
      </c>
      <c r="AC118">
        <f t="shared" si="166"/>
        <v>1.1899999999999997</v>
      </c>
      <c r="AD118">
        <f t="shared" si="167"/>
        <v>98.6</v>
      </c>
      <c r="AE118">
        <f t="shared" si="168"/>
        <v>0</v>
      </c>
      <c r="AF118">
        <f t="shared" si="169"/>
        <v>0</v>
      </c>
      <c r="AG118">
        <f t="shared" si="170"/>
        <v>0.79866000000000004</v>
      </c>
      <c r="AH118">
        <f t="shared" si="171"/>
        <v>97.614000000000004</v>
      </c>
      <c r="AI118">
        <f t="shared" si="172"/>
        <v>0</v>
      </c>
      <c r="AJ118">
        <f t="shared" si="173"/>
        <v>0</v>
      </c>
      <c r="AK118">
        <f t="shared" si="174"/>
        <v>0</v>
      </c>
      <c r="AL118">
        <f t="shared" si="175"/>
        <v>29.479428000000002</v>
      </c>
      <c r="AM118">
        <f t="shared" si="176"/>
        <v>58.373172000000004</v>
      </c>
    </row>
    <row r="119" spans="1:39" x14ac:dyDescent="0.25">
      <c r="A119" s="65" t="s">
        <v>98</v>
      </c>
      <c r="B119" s="61" t="s">
        <v>63</v>
      </c>
      <c r="C119" s="61">
        <v>1.73</v>
      </c>
      <c r="D119" s="61">
        <v>97.7</v>
      </c>
      <c r="E119" s="74">
        <v>0</v>
      </c>
      <c r="F119" s="74">
        <v>0</v>
      </c>
      <c r="G119" s="61">
        <v>4.7300000000000004</v>
      </c>
      <c r="H119" s="61">
        <v>94.7</v>
      </c>
      <c r="I119" s="74">
        <v>0</v>
      </c>
      <c r="J119" s="74">
        <v>0</v>
      </c>
      <c r="K119" s="74">
        <v>0</v>
      </c>
      <c r="L119" s="61">
        <v>40</v>
      </c>
      <c r="M119" s="61">
        <v>17.5</v>
      </c>
      <c r="N119" s="66">
        <v>173</v>
      </c>
      <c r="O119" s="67">
        <f t="shared" si="237"/>
        <v>2.9929000000000001</v>
      </c>
      <c r="P119" s="67">
        <f t="shared" si="238"/>
        <v>169.02100000000002</v>
      </c>
      <c r="Q119" s="67">
        <f t="shared" ref="Q119:R119" si="286">E119*P119</f>
        <v>0</v>
      </c>
      <c r="R119" s="67">
        <f t="shared" si="286"/>
        <v>0</v>
      </c>
      <c r="S119" s="67">
        <f t="shared" si="240"/>
        <v>7.9946933000000016</v>
      </c>
      <c r="T119" s="67">
        <f t="shared" si="241"/>
        <v>160.06288700000002</v>
      </c>
      <c r="U119" s="67">
        <f t="shared" ref="U119:W119" si="287">I119*T119</f>
        <v>0</v>
      </c>
      <c r="V119" s="67">
        <f t="shared" si="287"/>
        <v>0</v>
      </c>
      <c r="W119" s="67">
        <f t="shared" si="287"/>
        <v>0</v>
      </c>
      <c r="X119" s="67">
        <f t="shared" si="243"/>
        <v>64.02515480000001</v>
      </c>
      <c r="Y119" s="67">
        <f t="shared" si="244"/>
        <v>28.011005225000005</v>
      </c>
      <c r="Z119" s="61" t="str">
        <f t="shared" si="245"/>
        <v>M</v>
      </c>
      <c r="AA119" s="68">
        <f t="shared" si="163"/>
        <v>7.4346282276367255</v>
      </c>
      <c r="AB119" s="52" t="s">
        <v>170</v>
      </c>
      <c r="AC119">
        <f t="shared" si="166"/>
        <v>1.73</v>
      </c>
      <c r="AD119">
        <f t="shared" si="167"/>
        <v>97.7</v>
      </c>
      <c r="AE119">
        <f t="shared" si="168"/>
        <v>0</v>
      </c>
      <c r="AF119">
        <f t="shared" si="169"/>
        <v>0</v>
      </c>
      <c r="AG119">
        <f t="shared" si="170"/>
        <v>4.6212100000000005</v>
      </c>
      <c r="AH119">
        <f t="shared" si="171"/>
        <v>92.521900000000016</v>
      </c>
      <c r="AI119">
        <f t="shared" si="172"/>
        <v>0</v>
      </c>
      <c r="AJ119">
        <f t="shared" si="173"/>
        <v>0</v>
      </c>
      <c r="AK119">
        <f t="shared" si="174"/>
        <v>0</v>
      </c>
      <c r="AL119">
        <f t="shared" si="175"/>
        <v>37.008760000000009</v>
      </c>
      <c r="AM119">
        <f t="shared" si="176"/>
        <v>16.191332500000001</v>
      </c>
    </row>
    <row r="120" spans="1:39" x14ac:dyDescent="0.25">
      <c r="A120" s="65" t="s">
        <v>98</v>
      </c>
      <c r="B120" s="61" t="s">
        <v>87</v>
      </c>
      <c r="C120" s="61">
        <v>2.46</v>
      </c>
      <c r="D120" s="61">
        <v>97.1</v>
      </c>
      <c r="E120" s="74">
        <v>0</v>
      </c>
      <c r="F120" s="74">
        <v>0</v>
      </c>
      <c r="G120" s="61">
        <v>5.07</v>
      </c>
      <c r="H120" s="61">
        <v>93.8</v>
      </c>
      <c r="I120" s="74">
        <v>0</v>
      </c>
      <c r="J120" s="74">
        <v>0</v>
      </c>
      <c r="K120" s="74">
        <v>0</v>
      </c>
      <c r="L120" s="61">
        <v>0.49</v>
      </c>
      <c r="M120" s="61">
        <v>80.3</v>
      </c>
      <c r="N120" s="66">
        <v>447</v>
      </c>
      <c r="O120" s="67">
        <f t="shared" si="237"/>
        <v>10.996199999999998</v>
      </c>
      <c r="P120" s="67">
        <f t="shared" si="238"/>
        <v>434.03699999999998</v>
      </c>
      <c r="Q120" s="67">
        <f t="shared" ref="Q120:R120" si="288">E120*P120</f>
        <v>0</v>
      </c>
      <c r="R120" s="67">
        <f t="shared" si="288"/>
        <v>0</v>
      </c>
      <c r="S120" s="67">
        <f t="shared" si="240"/>
        <v>22.0056759</v>
      </c>
      <c r="T120" s="67">
        <f t="shared" si="241"/>
        <v>407.12670599999996</v>
      </c>
      <c r="U120" s="67">
        <f t="shared" ref="U120:W120" si="289">I120*T120</f>
        <v>0</v>
      </c>
      <c r="V120" s="67">
        <f t="shared" si="289"/>
        <v>0</v>
      </c>
      <c r="W120" s="67">
        <f t="shared" si="289"/>
        <v>0</v>
      </c>
      <c r="X120" s="67">
        <f t="shared" si="243"/>
        <v>1.9949208593999999</v>
      </c>
      <c r="Y120" s="67">
        <f t="shared" si="244"/>
        <v>326.92274491799998</v>
      </c>
      <c r="Z120" s="61" t="str">
        <f t="shared" si="245"/>
        <v>M</v>
      </c>
      <c r="AA120" s="68">
        <f t="shared" si="163"/>
        <v>8.8041310211833181</v>
      </c>
      <c r="AB120" s="52" t="s">
        <v>170</v>
      </c>
      <c r="AC120">
        <f t="shared" si="166"/>
        <v>2.4599999999999995</v>
      </c>
      <c r="AD120">
        <f t="shared" si="167"/>
        <v>97.1</v>
      </c>
      <c r="AE120">
        <f t="shared" si="168"/>
        <v>0</v>
      </c>
      <c r="AF120">
        <f t="shared" si="169"/>
        <v>0</v>
      </c>
      <c r="AG120">
        <f t="shared" si="170"/>
        <v>4.9229700000000003</v>
      </c>
      <c r="AH120">
        <f t="shared" si="171"/>
        <v>91.079799999999992</v>
      </c>
      <c r="AI120">
        <f t="shared" si="172"/>
        <v>0</v>
      </c>
      <c r="AJ120">
        <f t="shared" si="173"/>
        <v>0</v>
      </c>
      <c r="AK120">
        <f t="shared" si="174"/>
        <v>0</v>
      </c>
      <c r="AL120">
        <f t="shared" si="175"/>
        <v>0.44629101999999998</v>
      </c>
      <c r="AM120">
        <f t="shared" si="176"/>
        <v>73.13707939999999</v>
      </c>
    </row>
    <row r="121" spans="1:39" x14ac:dyDescent="0.25">
      <c r="A121" s="65" t="s">
        <v>98</v>
      </c>
      <c r="B121" s="61" t="s">
        <v>65</v>
      </c>
      <c r="C121" s="61">
        <v>3.14</v>
      </c>
      <c r="D121" s="61">
        <v>96.9</v>
      </c>
      <c r="E121" s="74">
        <v>0</v>
      </c>
      <c r="F121" s="74">
        <v>0</v>
      </c>
      <c r="G121" s="61">
        <v>6.49</v>
      </c>
      <c r="H121" s="61">
        <v>93.5</v>
      </c>
      <c r="I121" s="74">
        <v>0</v>
      </c>
      <c r="J121" s="74">
        <v>0</v>
      </c>
      <c r="K121" s="74">
        <v>0</v>
      </c>
      <c r="L121" s="61">
        <v>45.1</v>
      </c>
      <c r="M121" s="61">
        <v>5.56</v>
      </c>
      <c r="N121" s="66">
        <v>159</v>
      </c>
      <c r="O121" s="67">
        <f t="shared" si="237"/>
        <v>4.9926000000000004</v>
      </c>
      <c r="P121" s="67">
        <f t="shared" si="238"/>
        <v>154.071</v>
      </c>
      <c r="Q121" s="67">
        <f t="shared" ref="Q121:R121" si="290">E121*P121</f>
        <v>0</v>
      </c>
      <c r="R121" s="67">
        <f t="shared" si="290"/>
        <v>0</v>
      </c>
      <c r="S121" s="67">
        <f t="shared" si="240"/>
        <v>9.9992079</v>
      </c>
      <c r="T121" s="67">
        <f t="shared" si="241"/>
        <v>144.05638499999998</v>
      </c>
      <c r="U121" s="67">
        <f t="shared" ref="U121:W121" si="291">I121*T121</f>
        <v>0</v>
      </c>
      <c r="V121" s="67">
        <f t="shared" si="291"/>
        <v>0</v>
      </c>
      <c r="W121" s="67">
        <f t="shared" si="291"/>
        <v>0</v>
      </c>
      <c r="X121" s="67">
        <f t="shared" si="243"/>
        <v>64.969429634999983</v>
      </c>
      <c r="Y121" s="67">
        <f t="shared" si="244"/>
        <v>8.0095350059999983</v>
      </c>
      <c r="Z121" s="61" t="str">
        <f t="shared" si="245"/>
        <v>M</v>
      </c>
      <c r="AA121" s="68">
        <f t="shared" si="163"/>
        <v>7.3128829552843557</v>
      </c>
      <c r="AB121" s="52" t="s">
        <v>170</v>
      </c>
      <c r="AC121">
        <f t="shared" si="166"/>
        <v>3.1400000000000006</v>
      </c>
      <c r="AD121">
        <f t="shared" si="167"/>
        <v>96.899999999999991</v>
      </c>
      <c r="AE121">
        <f t="shared" si="168"/>
        <v>0</v>
      </c>
      <c r="AF121">
        <f t="shared" si="169"/>
        <v>0</v>
      </c>
      <c r="AG121">
        <f t="shared" si="170"/>
        <v>6.2888099999999998</v>
      </c>
      <c r="AH121">
        <f t="shared" si="171"/>
        <v>90.601499999999987</v>
      </c>
      <c r="AI121">
        <f t="shared" si="172"/>
        <v>0</v>
      </c>
      <c r="AJ121">
        <f t="shared" si="173"/>
        <v>0</v>
      </c>
      <c r="AK121">
        <f t="shared" si="174"/>
        <v>0</v>
      </c>
      <c r="AL121">
        <f t="shared" si="175"/>
        <v>40.861276499999988</v>
      </c>
      <c r="AM121">
        <f t="shared" si="176"/>
        <v>5.037443399999999</v>
      </c>
    </row>
    <row r="122" spans="1:39" x14ac:dyDescent="0.25">
      <c r="A122" s="65" t="s">
        <v>98</v>
      </c>
      <c r="B122" s="61" t="s">
        <v>79</v>
      </c>
      <c r="C122" s="61">
        <v>3.03</v>
      </c>
      <c r="D122" s="61">
        <v>93.9</v>
      </c>
      <c r="E122" s="74">
        <v>0</v>
      </c>
      <c r="F122" s="74">
        <v>0</v>
      </c>
      <c r="G122" s="61">
        <v>10.8</v>
      </c>
      <c r="H122" s="61">
        <v>88.2</v>
      </c>
      <c r="I122" s="74">
        <v>0</v>
      </c>
      <c r="J122" s="74">
        <v>0</v>
      </c>
      <c r="K122" s="74">
        <v>0</v>
      </c>
      <c r="L122" s="61">
        <v>3.66</v>
      </c>
      <c r="M122" s="61">
        <v>0</v>
      </c>
      <c r="N122" s="66">
        <v>99</v>
      </c>
      <c r="O122" s="67">
        <f t="shared" si="237"/>
        <v>2.9996999999999998</v>
      </c>
      <c r="P122" s="67">
        <f t="shared" si="238"/>
        <v>92.960999999999999</v>
      </c>
      <c r="Q122" s="67">
        <f t="shared" ref="Q122:R122" si="292">E122*P122</f>
        <v>0</v>
      </c>
      <c r="R122" s="67">
        <f t="shared" si="292"/>
        <v>0</v>
      </c>
      <c r="S122" s="67">
        <f t="shared" si="240"/>
        <v>10.039788000000001</v>
      </c>
      <c r="T122" s="67">
        <f t="shared" si="241"/>
        <v>81.991602</v>
      </c>
      <c r="U122" s="67">
        <f t="shared" ref="U122:W122" si="293">I122*T122</f>
        <v>0</v>
      </c>
      <c r="V122" s="67">
        <f t="shared" si="293"/>
        <v>0</v>
      </c>
      <c r="W122" s="67">
        <f t="shared" si="293"/>
        <v>0</v>
      </c>
      <c r="X122" s="67">
        <f t="shared" si="243"/>
        <v>3.0008926331999999</v>
      </c>
      <c r="Y122" s="67">
        <f t="shared" si="244"/>
        <v>0</v>
      </c>
      <c r="Z122" s="61" t="str">
        <f t="shared" si="245"/>
        <v>S</v>
      </c>
      <c r="AA122" s="68">
        <f t="shared" si="163"/>
        <v>6.6293566200796095</v>
      </c>
      <c r="AB122" s="52" t="s">
        <v>170</v>
      </c>
      <c r="AC122">
        <f t="shared" si="166"/>
        <v>3.03</v>
      </c>
      <c r="AD122">
        <f t="shared" si="167"/>
        <v>93.899999999999991</v>
      </c>
      <c r="AE122">
        <f t="shared" si="168"/>
        <v>0</v>
      </c>
      <c r="AF122">
        <f t="shared" si="169"/>
        <v>0</v>
      </c>
      <c r="AG122">
        <f t="shared" si="170"/>
        <v>10.141200000000001</v>
      </c>
      <c r="AH122">
        <f t="shared" si="171"/>
        <v>82.819800000000001</v>
      </c>
      <c r="AI122">
        <f t="shared" si="172"/>
        <v>0</v>
      </c>
      <c r="AJ122">
        <f t="shared" si="173"/>
        <v>0</v>
      </c>
      <c r="AK122">
        <f t="shared" si="174"/>
        <v>0</v>
      </c>
      <c r="AL122">
        <f t="shared" si="175"/>
        <v>3.0312046800000001</v>
      </c>
      <c r="AM122">
        <f t="shared" si="176"/>
        <v>0</v>
      </c>
    </row>
    <row r="123" spans="1:39" x14ac:dyDescent="0.25">
      <c r="A123" s="65" t="s">
        <v>98</v>
      </c>
      <c r="B123" s="61" t="s">
        <v>92</v>
      </c>
      <c r="C123" s="61">
        <v>0.6</v>
      </c>
      <c r="D123" s="61">
        <v>97.6</v>
      </c>
      <c r="E123" s="74">
        <v>0</v>
      </c>
      <c r="F123" s="74">
        <v>0</v>
      </c>
      <c r="G123" s="61">
        <v>5.57</v>
      </c>
      <c r="H123" s="61">
        <v>93.5</v>
      </c>
      <c r="I123" s="74">
        <v>0</v>
      </c>
      <c r="J123" s="74">
        <v>0</v>
      </c>
      <c r="K123" s="74">
        <v>0</v>
      </c>
      <c r="L123" s="61">
        <v>41.1</v>
      </c>
      <c r="M123" s="61">
        <v>33.799999999999997</v>
      </c>
      <c r="N123" s="66">
        <v>331</v>
      </c>
      <c r="O123" s="67">
        <f t="shared" si="237"/>
        <v>1.986</v>
      </c>
      <c r="P123" s="67">
        <f t="shared" si="238"/>
        <v>323.05599999999998</v>
      </c>
      <c r="Q123" s="67">
        <f t="shared" ref="Q123:R123" si="294">E123*P123</f>
        <v>0</v>
      </c>
      <c r="R123" s="67">
        <f t="shared" si="294"/>
        <v>0</v>
      </c>
      <c r="S123" s="67">
        <f t="shared" si="240"/>
        <v>17.9942192</v>
      </c>
      <c r="T123" s="67">
        <f t="shared" si="241"/>
        <v>302.05735999999996</v>
      </c>
      <c r="U123" s="67">
        <f t="shared" ref="U123:W123" si="295">I123*T123</f>
        <v>0</v>
      </c>
      <c r="V123" s="67">
        <f t="shared" si="295"/>
        <v>0</v>
      </c>
      <c r="W123" s="67">
        <f t="shared" si="295"/>
        <v>0</v>
      </c>
      <c r="X123" s="67">
        <f t="shared" si="243"/>
        <v>124.14557495999999</v>
      </c>
      <c r="Y123" s="67">
        <f t="shared" si="244"/>
        <v>102.09538767999999</v>
      </c>
      <c r="Z123" s="61" t="str">
        <f t="shared" si="245"/>
        <v>M</v>
      </c>
      <c r="AA123" s="68">
        <f t="shared" si="163"/>
        <v>8.3706874068072175</v>
      </c>
      <c r="AB123" s="52" t="s">
        <v>170</v>
      </c>
      <c r="AC123">
        <f t="shared" si="166"/>
        <v>0.6</v>
      </c>
      <c r="AD123">
        <f t="shared" si="167"/>
        <v>97.6</v>
      </c>
      <c r="AE123">
        <f t="shared" si="168"/>
        <v>0</v>
      </c>
      <c r="AF123">
        <f t="shared" si="169"/>
        <v>0</v>
      </c>
      <c r="AG123">
        <f t="shared" si="170"/>
        <v>5.4363200000000003</v>
      </c>
      <c r="AH123">
        <f t="shared" si="171"/>
        <v>91.255999999999986</v>
      </c>
      <c r="AI123">
        <f t="shared" si="172"/>
        <v>0</v>
      </c>
      <c r="AJ123">
        <f t="shared" si="173"/>
        <v>0</v>
      </c>
      <c r="AK123">
        <f t="shared" si="174"/>
        <v>0</v>
      </c>
      <c r="AL123">
        <f t="shared" si="175"/>
        <v>37.506215999999995</v>
      </c>
      <c r="AM123">
        <f t="shared" si="176"/>
        <v>30.844528</v>
      </c>
    </row>
    <row r="124" spans="1:39" x14ac:dyDescent="0.25">
      <c r="A124" s="65" t="s">
        <v>98</v>
      </c>
      <c r="B124" s="61" t="s">
        <v>68</v>
      </c>
      <c r="C124" s="61">
        <v>0.41</v>
      </c>
      <c r="D124" s="61">
        <v>99.4</v>
      </c>
      <c r="E124" s="74">
        <v>0</v>
      </c>
      <c r="F124" s="74">
        <v>0</v>
      </c>
      <c r="G124" s="61">
        <v>2.4700000000000002</v>
      </c>
      <c r="H124" s="61">
        <v>97</v>
      </c>
      <c r="I124" s="74">
        <v>0</v>
      </c>
      <c r="J124" s="74">
        <v>0</v>
      </c>
      <c r="K124" s="74">
        <v>0</v>
      </c>
      <c r="L124" s="61">
        <v>8.4700000000000006</v>
      </c>
      <c r="M124" s="61">
        <v>75.400000000000006</v>
      </c>
      <c r="N124" s="66">
        <v>979</v>
      </c>
      <c r="O124" s="67">
        <f t="shared" si="237"/>
        <v>4.0138999999999996</v>
      </c>
      <c r="P124" s="67">
        <f t="shared" si="238"/>
        <v>973.12600000000009</v>
      </c>
      <c r="Q124" s="67">
        <f t="shared" ref="Q124:R124" si="296">E124*P124</f>
        <v>0</v>
      </c>
      <c r="R124" s="67">
        <f t="shared" si="296"/>
        <v>0</v>
      </c>
      <c r="S124" s="67">
        <f t="shared" si="240"/>
        <v>24.036212200000005</v>
      </c>
      <c r="T124" s="67">
        <f t="shared" si="241"/>
        <v>943.93222000000014</v>
      </c>
      <c r="U124" s="67">
        <f t="shared" ref="U124:W124" si="297">I124*T124</f>
        <v>0</v>
      </c>
      <c r="V124" s="67">
        <f t="shared" si="297"/>
        <v>0</v>
      </c>
      <c r="W124" s="67">
        <f t="shared" si="297"/>
        <v>0</v>
      </c>
      <c r="X124" s="67">
        <f t="shared" si="243"/>
        <v>79.951059034000025</v>
      </c>
      <c r="Y124" s="67">
        <f t="shared" si="244"/>
        <v>711.7248938800002</v>
      </c>
      <c r="Z124" s="61" t="str">
        <f t="shared" si="245"/>
        <v>M</v>
      </c>
      <c r="AA124" s="68">
        <f t="shared" si="163"/>
        <v>9.935165049603695</v>
      </c>
      <c r="AB124" s="52" t="s">
        <v>170</v>
      </c>
      <c r="AC124">
        <f t="shared" si="166"/>
        <v>0.40999999999999992</v>
      </c>
      <c r="AD124">
        <f t="shared" si="167"/>
        <v>99.4</v>
      </c>
      <c r="AE124">
        <f t="shared" si="168"/>
        <v>0</v>
      </c>
      <c r="AF124">
        <f t="shared" si="169"/>
        <v>0</v>
      </c>
      <c r="AG124">
        <f t="shared" si="170"/>
        <v>2.4551800000000004</v>
      </c>
      <c r="AH124">
        <f t="shared" si="171"/>
        <v>96.418000000000021</v>
      </c>
      <c r="AI124">
        <f t="shared" si="172"/>
        <v>0</v>
      </c>
      <c r="AJ124">
        <f t="shared" si="173"/>
        <v>0</v>
      </c>
      <c r="AK124">
        <f t="shared" si="174"/>
        <v>0</v>
      </c>
      <c r="AL124">
        <f t="shared" si="175"/>
        <v>8.1666046000000012</v>
      </c>
      <c r="AM124">
        <f t="shared" si="176"/>
        <v>72.699172000000019</v>
      </c>
    </row>
    <row r="125" spans="1:39" x14ac:dyDescent="0.25">
      <c r="A125" s="65" t="s">
        <v>98</v>
      </c>
      <c r="B125" s="61" t="s">
        <v>40</v>
      </c>
      <c r="C125" s="61">
        <v>0.61</v>
      </c>
      <c r="D125" s="61">
        <v>98.9</v>
      </c>
      <c r="E125" s="74">
        <v>0</v>
      </c>
      <c r="F125" s="74">
        <v>0</v>
      </c>
      <c r="G125" s="61">
        <v>3.19</v>
      </c>
      <c r="H125" s="61">
        <v>95.5</v>
      </c>
      <c r="I125" s="74">
        <v>0</v>
      </c>
      <c r="J125" s="74">
        <v>0</v>
      </c>
      <c r="K125" s="74">
        <v>0</v>
      </c>
      <c r="L125" s="61">
        <v>46.4</v>
      </c>
      <c r="M125" s="61">
        <v>41.9</v>
      </c>
      <c r="N125" s="66">
        <v>1143</v>
      </c>
      <c r="O125" s="67">
        <f t="shared" si="237"/>
        <v>6.9723000000000006</v>
      </c>
      <c r="P125" s="67">
        <f t="shared" si="238"/>
        <v>1130.4270000000001</v>
      </c>
      <c r="Q125" s="67">
        <f t="shared" ref="Q125:R125" si="298">E125*P125</f>
        <v>0</v>
      </c>
      <c r="R125" s="67">
        <f t="shared" si="298"/>
        <v>0</v>
      </c>
      <c r="S125" s="67">
        <f t="shared" si="240"/>
        <v>36.060621300000001</v>
      </c>
      <c r="T125" s="67">
        <f t="shared" si="241"/>
        <v>1079.5577850000002</v>
      </c>
      <c r="U125" s="67">
        <f t="shared" ref="U125:W125" si="299">I125*T125</f>
        <v>0</v>
      </c>
      <c r="V125" s="67">
        <f t="shared" si="299"/>
        <v>0</v>
      </c>
      <c r="W125" s="67">
        <f t="shared" si="299"/>
        <v>0</v>
      </c>
      <c r="X125" s="67">
        <f t="shared" si="243"/>
        <v>500.91481224000012</v>
      </c>
      <c r="Y125" s="67">
        <f t="shared" si="244"/>
        <v>452.33471191500007</v>
      </c>
      <c r="Z125" s="61" t="str">
        <f t="shared" si="245"/>
        <v>L</v>
      </c>
      <c r="AA125" s="68">
        <f t="shared" si="163"/>
        <v>10.158609688214478</v>
      </c>
      <c r="AB125" s="52" t="s">
        <v>170</v>
      </c>
      <c r="AC125">
        <f t="shared" si="166"/>
        <v>0.61</v>
      </c>
      <c r="AD125">
        <f t="shared" si="167"/>
        <v>98.9</v>
      </c>
      <c r="AE125">
        <f t="shared" si="168"/>
        <v>0</v>
      </c>
      <c r="AF125">
        <f t="shared" si="169"/>
        <v>0</v>
      </c>
      <c r="AG125">
        <f t="shared" si="170"/>
        <v>3.1549100000000005</v>
      </c>
      <c r="AH125">
        <f t="shared" si="171"/>
        <v>94.449500000000015</v>
      </c>
      <c r="AI125">
        <f t="shared" si="172"/>
        <v>0</v>
      </c>
      <c r="AJ125">
        <f t="shared" si="173"/>
        <v>0</v>
      </c>
      <c r="AK125">
        <f t="shared" si="174"/>
        <v>0</v>
      </c>
      <c r="AL125">
        <f t="shared" si="175"/>
        <v>43.824568000000006</v>
      </c>
      <c r="AM125">
        <f t="shared" si="176"/>
        <v>39.574340500000005</v>
      </c>
    </row>
    <row r="126" spans="1:39" x14ac:dyDescent="0.25">
      <c r="A126" s="65" t="s">
        <v>98</v>
      </c>
      <c r="B126" s="61" t="s">
        <v>80</v>
      </c>
      <c r="C126" s="61">
        <v>0.41</v>
      </c>
      <c r="D126" s="61">
        <v>99.5</v>
      </c>
      <c r="E126" s="74">
        <v>0</v>
      </c>
      <c r="F126" s="74">
        <v>0</v>
      </c>
      <c r="G126" s="61">
        <v>2.59</v>
      </c>
      <c r="H126" s="61">
        <v>95.6</v>
      </c>
      <c r="I126" s="74">
        <v>0</v>
      </c>
      <c r="J126" s="74">
        <v>0</v>
      </c>
      <c r="K126" s="74">
        <v>0</v>
      </c>
      <c r="L126" s="61">
        <v>2.09</v>
      </c>
      <c r="M126" s="61">
        <v>91.6</v>
      </c>
      <c r="N126" s="66">
        <v>1709</v>
      </c>
      <c r="O126" s="67">
        <f t="shared" si="237"/>
        <v>7.006899999999999</v>
      </c>
      <c r="P126" s="67">
        <f t="shared" si="238"/>
        <v>1700.4549999999999</v>
      </c>
      <c r="Q126" s="67">
        <f t="shared" ref="Q126:R126" si="300">E126*P126</f>
        <v>0</v>
      </c>
      <c r="R126" s="67">
        <f t="shared" si="300"/>
        <v>0</v>
      </c>
      <c r="S126" s="67">
        <f t="shared" si="240"/>
        <v>44.041784499999991</v>
      </c>
      <c r="T126" s="67">
        <f t="shared" si="241"/>
        <v>1625.6349799999998</v>
      </c>
      <c r="U126" s="67">
        <f t="shared" ref="U126:W126" si="301">I126*T126</f>
        <v>0</v>
      </c>
      <c r="V126" s="67">
        <f t="shared" si="301"/>
        <v>0</v>
      </c>
      <c r="W126" s="67">
        <f t="shared" si="301"/>
        <v>0</v>
      </c>
      <c r="X126" s="67">
        <f t="shared" si="243"/>
        <v>33.975771081999994</v>
      </c>
      <c r="Y126" s="67">
        <f t="shared" si="244"/>
        <v>1489.0816416799996</v>
      </c>
      <c r="Z126" s="61" t="str">
        <f t="shared" si="245"/>
        <v>L</v>
      </c>
      <c r="AA126" s="68">
        <f t="shared" si="163"/>
        <v>10.73893668167614</v>
      </c>
      <c r="AB126" s="52" t="s">
        <v>170</v>
      </c>
      <c r="AC126">
        <f t="shared" si="166"/>
        <v>0.40999999999999992</v>
      </c>
      <c r="AD126">
        <f t="shared" si="167"/>
        <v>99.5</v>
      </c>
      <c r="AE126">
        <f t="shared" si="168"/>
        <v>0</v>
      </c>
      <c r="AF126">
        <f t="shared" si="169"/>
        <v>0</v>
      </c>
      <c r="AG126">
        <f t="shared" si="170"/>
        <v>2.5770499999999994</v>
      </c>
      <c r="AH126">
        <f t="shared" si="171"/>
        <v>95.121999999999986</v>
      </c>
      <c r="AI126">
        <f t="shared" si="172"/>
        <v>0</v>
      </c>
      <c r="AJ126">
        <f t="shared" si="173"/>
        <v>0</v>
      </c>
      <c r="AK126">
        <f t="shared" si="174"/>
        <v>0</v>
      </c>
      <c r="AL126">
        <f t="shared" si="175"/>
        <v>1.9880497999999998</v>
      </c>
      <c r="AM126">
        <f t="shared" si="176"/>
        <v>87.131751999999977</v>
      </c>
    </row>
    <row r="127" spans="1:39" ht="16.5" thickBot="1" x14ac:dyDescent="0.3">
      <c r="A127" s="69" t="s">
        <v>98</v>
      </c>
      <c r="B127" s="70" t="s">
        <v>169</v>
      </c>
      <c r="C127" s="70">
        <v>0.99</v>
      </c>
      <c r="D127" s="70">
        <v>97</v>
      </c>
      <c r="E127" s="74">
        <v>0</v>
      </c>
      <c r="F127" s="74">
        <v>0</v>
      </c>
      <c r="G127" s="70">
        <v>2.0299999999999998</v>
      </c>
      <c r="H127" s="70">
        <v>97.3</v>
      </c>
      <c r="I127" s="74">
        <v>0</v>
      </c>
      <c r="J127" s="74">
        <v>0</v>
      </c>
      <c r="K127" s="74">
        <v>0</v>
      </c>
      <c r="L127" s="70">
        <v>45.3</v>
      </c>
      <c r="M127" s="70">
        <v>21.3</v>
      </c>
      <c r="N127" s="71">
        <v>304</v>
      </c>
      <c r="O127" s="72">
        <f t="shared" si="237"/>
        <v>3.0095999999999998</v>
      </c>
      <c r="P127" s="72">
        <f t="shared" si="238"/>
        <v>294.88</v>
      </c>
      <c r="Q127" s="67">
        <f t="shared" ref="Q127:R127" si="302">E127*P127</f>
        <v>0</v>
      </c>
      <c r="R127" s="67">
        <f t="shared" si="302"/>
        <v>0</v>
      </c>
      <c r="S127" s="72">
        <f t="shared" si="240"/>
        <v>5.9860639999999989</v>
      </c>
      <c r="T127" s="72">
        <f t="shared" si="241"/>
        <v>286.91824000000003</v>
      </c>
      <c r="U127" s="67">
        <f t="shared" ref="U127:W127" si="303">I127*T127</f>
        <v>0</v>
      </c>
      <c r="V127" s="67">
        <f t="shared" si="303"/>
        <v>0</v>
      </c>
      <c r="W127" s="67">
        <f t="shared" si="303"/>
        <v>0</v>
      </c>
      <c r="X127" s="72">
        <f t="shared" si="243"/>
        <v>129.97396272</v>
      </c>
      <c r="Y127" s="72">
        <f t="shared" si="244"/>
        <v>61.11358512000001</v>
      </c>
      <c r="Z127" s="70" t="str">
        <f t="shared" si="245"/>
        <v>M</v>
      </c>
      <c r="AA127" s="73">
        <f t="shared" si="163"/>
        <v>8.2479275134435852</v>
      </c>
      <c r="AB127" s="52" t="s">
        <v>170</v>
      </c>
      <c r="AC127">
        <f t="shared" si="166"/>
        <v>0.98999999999999988</v>
      </c>
      <c r="AD127">
        <f t="shared" si="167"/>
        <v>97</v>
      </c>
      <c r="AE127">
        <f t="shared" si="168"/>
        <v>0</v>
      </c>
      <c r="AF127">
        <f t="shared" si="169"/>
        <v>0</v>
      </c>
      <c r="AG127">
        <f t="shared" si="170"/>
        <v>1.9690999999999996</v>
      </c>
      <c r="AH127">
        <f t="shared" si="171"/>
        <v>94.381</v>
      </c>
      <c r="AI127">
        <f t="shared" si="172"/>
        <v>0</v>
      </c>
      <c r="AJ127">
        <f t="shared" si="173"/>
        <v>0</v>
      </c>
      <c r="AK127">
        <f t="shared" si="174"/>
        <v>0</v>
      </c>
      <c r="AL127">
        <f t="shared" si="175"/>
        <v>42.754593</v>
      </c>
      <c r="AM127">
        <f t="shared" si="176"/>
        <v>20.103153000000002</v>
      </c>
    </row>
    <row r="128" spans="1:39" x14ac:dyDescent="0.25">
      <c r="A128" s="2" t="s">
        <v>10</v>
      </c>
      <c r="B128" s="1" t="s">
        <v>72</v>
      </c>
      <c r="C128" s="61">
        <v>1.44</v>
      </c>
      <c r="D128" s="66">
        <v>98.5</v>
      </c>
      <c r="E128" s="66">
        <v>0</v>
      </c>
      <c r="F128" s="66">
        <v>91.9</v>
      </c>
      <c r="G128" s="66">
        <v>10.100000000000001</v>
      </c>
      <c r="H128" s="66">
        <v>88.9</v>
      </c>
      <c r="I128" s="66">
        <v>0.16999999999999998</v>
      </c>
      <c r="J128" s="85">
        <v>98.8</v>
      </c>
      <c r="K128" s="66">
        <v>0</v>
      </c>
      <c r="L128" s="66">
        <v>0</v>
      </c>
      <c r="M128" s="66">
        <v>0</v>
      </c>
      <c r="N128" s="75">
        <v>2157</v>
      </c>
      <c r="O128" s="67">
        <f>C128*N128/100</f>
        <v>31.0608</v>
      </c>
      <c r="P128" s="67">
        <f>D128*N128/100</f>
        <v>2124.645</v>
      </c>
      <c r="Q128" s="67">
        <f>E128*P128/100</f>
        <v>0</v>
      </c>
      <c r="R128" s="67">
        <f>F128*P128/100</f>
        <v>1952.5487550000003</v>
      </c>
      <c r="S128" s="67">
        <f>G128*R128/100</f>
        <v>197.20742425500003</v>
      </c>
      <c r="T128" s="67">
        <f>H128*R128/100</f>
        <v>1735.8158431950003</v>
      </c>
      <c r="U128" s="67">
        <f>I128*T128/100</f>
        <v>2.9508869334314998</v>
      </c>
      <c r="V128" s="67">
        <f>J128*T128/100</f>
        <v>1714.9860530766603</v>
      </c>
      <c r="W128" s="76">
        <f>K128*T128/100</f>
        <v>0</v>
      </c>
      <c r="X128" s="67">
        <f>L128*W128/100</f>
        <v>0</v>
      </c>
      <c r="Y128" s="67">
        <f>M128*X128/100</f>
        <v>0</v>
      </c>
      <c r="Z128" s="68" t="s">
        <v>150</v>
      </c>
      <c r="AA128" s="68">
        <f t="shared" si="163"/>
        <v>11.074810461160453</v>
      </c>
      <c r="AB128" s="84" t="s">
        <v>196</v>
      </c>
      <c r="AC128">
        <f t="shared" si="166"/>
        <v>1.44</v>
      </c>
      <c r="AD128">
        <f t="shared" si="167"/>
        <v>98.5</v>
      </c>
      <c r="AE128">
        <f t="shared" si="168"/>
        <v>0</v>
      </c>
      <c r="AF128">
        <f t="shared" si="169"/>
        <v>90.521500000000003</v>
      </c>
      <c r="AG128">
        <f t="shared" si="170"/>
        <v>9.1426715000000023</v>
      </c>
      <c r="AH128">
        <f t="shared" si="171"/>
        <v>80.473613500000013</v>
      </c>
      <c r="AI128">
        <f t="shared" si="172"/>
        <v>0.13680514294999999</v>
      </c>
      <c r="AJ128">
        <f t="shared" si="173"/>
        <v>79.50793013800002</v>
      </c>
      <c r="AK128">
        <f t="shared" si="174"/>
        <v>0</v>
      </c>
      <c r="AL128">
        <f t="shared" si="175"/>
        <v>0</v>
      </c>
      <c r="AM128">
        <f t="shared" si="176"/>
        <v>0</v>
      </c>
    </row>
    <row r="129" spans="1:39" x14ac:dyDescent="0.25">
      <c r="A129" s="2" t="s">
        <v>10</v>
      </c>
      <c r="B129" s="1" t="s">
        <v>16</v>
      </c>
      <c r="C129" s="66">
        <v>7.2999999999999995E-2</v>
      </c>
      <c r="D129" s="66">
        <v>99.9</v>
      </c>
      <c r="E129" s="66">
        <v>0</v>
      </c>
      <c r="F129" s="66">
        <v>95.5</v>
      </c>
      <c r="G129" s="66">
        <v>1.5599999999999998</v>
      </c>
      <c r="H129" s="66">
        <v>98.2</v>
      </c>
      <c r="I129" s="66">
        <v>3.9E-2</v>
      </c>
      <c r="J129" s="85">
        <v>99.9</v>
      </c>
      <c r="K129" s="66">
        <v>0</v>
      </c>
      <c r="L129" s="66">
        <v>0</v>
      </c>
      <c r="M129" s="66">
        <v>0</v>
      </c>
      <c r="N129" s="75">
        <v>2749</v>
      </c>
      <c r="O129" s="67">
        <f t="shared" ref="O129:O141" si="304">C129*N129/100</f>
        <v>2.0067699999999999</v>
      </c>
      <c r="P129" s="67">
        <f t="shared" ref="P129:P141" si="305">D129*N129/100</f>
        <v>2746.2510000000002</v>
      </c>
      <c r="Q129" s="67">
        <f t="shared" ref="Q129:Q141" si="306">E129*P129/100</f>
        <v>0</v>
      </c>
      <c r="R129" s="67">
        <f t="shared" ref="R129:R141" si="307">F129*P129/100</f>
        <v>2622.6697049999998</v>
      </c>
      <c r="S129" s="67">
        <f t="shared" ref="S129:S141" si="308">G129*R129/100</f>
        <v>40.913647397999995</v>
      </c>
      <c r="T129" s="67">
        <f t="shared" ref="T129:T141" si="309">H129*R129/100</f>
        <v>2575.4616503099996</v>
      </c>
      <c r="U129" s="67">
        <f t="shared" ref="U129:U141" si="310">I129*T129/100</f>
        <v>1.0044300436208997</v>
      </c>
      <c r="V129" s="67">
        <f t="shared" ref="V129:V141" si="311">J129*T129/100</f>
        <v>2572.8861886596897</v>
      </c>
      <c r="W129" s="76">
        <f t="shared" ref="W129:W141" si="312">K129*T129/100</f>
        <v>0</v>
      </c>
      <c r="X129" s="67">
        <f t="shared" ref="X129:Y129" si="313">L129*W129/100</f>
        <v>0</v>
      </c>
      <c r="Y129" s="67">
        <f t="shared" si="313"/>
        <v>0</v>
      </c>
      <c r="Z129" s="68" t="s">
        <v>150</v>
      </c>
      <c r="AA129" s="68">
        <f t="shared" si="163"/>
        <v>11.424691191512952</v>
      </c>
      <c r="AB129" s="84" t="s">
        <v>196</v>
      </c>
      <c r="AC129">
        <f t="shared" si="166"/>
        <v>7.2999999999999995E-2</v>
      </c>
      <c r="AD129">
        <f t="shared" si="167"/>
        <v>99.9</v>
      </c>
      <c r="AE129">
        <f t="shared" si="168"/>
        <v>0</v>
      </c>
      <c r="AF129">
        <f t="shared" si="169"/>
        <v>95.404499999999999</v>
      </c>
      <c r="AG129">
        <f t="shared" si="170"/>
        <v>1.4883101999999999</v>
      </c>
      <c r="AH129">
        <f t="shared" si="171"/>
        <v>93.687218999999985</v>
      </c>
      <c r="AI129">
        <f t="shared" si="172"/>
        <v>3.6538015409999992E-2</v>
      </c>
      <c r="AJ129">
        <f t="shared" si="173"/>
        <v>93.593531780999982</v>
      </c>
      <c r="AK129">
        <f t="shared" si="174"/>
        <v>0</v>
      </c>
      <c r="AL129">
        <f t="shared" si="175"/>
        <v>0</v>
      </c>
      <c r="AM129">
        <f t="shared" si="176"/>
        <v>0</v>
      </c>
    </row>
    <row r="130" spans="1:39" x14ac:dyDescent="0.25">
      <c r="A130" s="2" t="s">
        <v>10</v>
      </c>
      <c r="B130" s="1" t="s">
        <v>17</v>
      </c>
      <c r="C130" s="66">
        <v>0.13999999999999999</v>
      </c>
      <c r="D130" s="66">
        <v>99.8</v>
      </c>
      <c r="E130" s="66">
        <v>0</v>
      </c>
      <c r="F130" s="66">
        <v>93.7</v>
      </c>
      <c r="G130" s="66">
        <v>1.02</v>
      </c>
      <c r="H130" s="66">
        <v>95.5</v>
      </c>
      <c r="I130" s="66">
        <v>79.2</v>
      </c>
      <c r="J130" s="85">
        <v>15.7</v>
      </c>
      <c r="K130" s="66">
        <v>0</v>
      </c>
      <c r="L130" s="66">
        <v>0</v>
      </c>
      <c r="M130" s="66">
        <v>0</v>
      </c>
      <c r="N130" s="75">
        <v>1474</v>
      </c>
      <c r="O130" s="67">
        <f t="shared" si="304"/>
        <v>2.0635999999999997</v>
      </c>
      <c r="P130" s="67">
        <f t="shared" si="305"/>
        <v>1471.0519999999999</v>
      </c>
      <c r="Q130" s="67">
        <f t="shared" si="306"/>
        <v>0</v>
      </c>
      <c r="R130" s="67">
        <f t="shared" si="307"/>
        <v>1378.375724</v>
      </c>
      <c r="S130" s="67">
        <f t="shared" si="308"/>
        <v>14.059432384799999</v>
      </c>
      <c r="T130" s="67">
        <f t="shared" si="309"/>
        <v>1316.3488164199998</v>
      </c>
      <c r="U130" s="67">
        <f t="shared" si="310"/>
        <v>1042.5482626046398</v>
      </c>
      <c r="V130" s="67">
        <f t="shared" si="311"/>
        <v>206.66676417793994</v>
      </c>
      <c r="W130" s="76">
        <f t="shared" si="312"/>
        <v>0</v>
      </c>
      <c r="X130" s="67">
        <f t="shared" ref="X130:Y130" si="314">L130*W130/100</f>
        <v>0</v>
      </c>
      <c r="Y130" s="67">
        <f t="shared" si="314"/>
        <v>0</v>
      </c>
      <c r="Z130" s="68" t="s">
        <v>150</v>
      </c>
      <c r="AA130" s="68">
        <f t="shared" ref="AA130:AA193" si="315">LOG(N130,2)</f>
        <v>10.52552080909507</v>
      </c>
      <c r="AB130" s="84" t="s">
        <v>196</v>
      </c>
      <c r="AC130">
        <f t="shared" si="166"/>
        <v>0.13999999999999999</v>
      </c>
      <c r="AD130">
        <f t="shared" si="167"/>
        <v>99.799999999999983</v>
      </c>
      <c r="AE130">
        <f t="shared" si="168"/>
        <v>0</v>
      </c>
      <c r="AF130">
        <f t="shared" si="169"/>
        <v>93.512600000000006</v>
      </c>
      <c r="AG130">
        <f t="shared" si="170"/>
        <v>0.95382851999999996</v>
      </c>
      <c r="AH130">
        <f t="shared" si="171"/>
        <v>89.304532999999992</v>
      </c>
      <c r="AI130">
        <f t="shared" si="172"/>
        <v>70.729190135999986</v>
      </c>
      <c r="AJ130">
        <f t="shared" si="173"/>
        <v>14.020811680999994</v>
      </c>
      <c r="AK130">
        <f t="shared" si="174"/>
        <v>0</v>
      </c>
      <c r="AL130">
        <f t="shared" si="175"/>
        <v>0</v>
      </c>
      <c r="AM130">
        <f t="shared" si="176"/>
        <v>0</v>
      </c>
    </row>
    <row r="131" spans="1:39" x14ac:dyDescent="0.25">
      <c r="A131" s="2" t="s">
        <v>10</v>
      </c>
      <c r="B131" s="1" t="s">
        <v>197</v>
      </c>
      <c r="C131" s="66">
        <v>0.77999999999999992</v>
      </c>
      <c r="D131" s="66">
        <v>98.9</v>
      </c>
      <c r="E131" s="66">
        <v>0</v>
      </c>
      <c r="F131" s="66">
        <v>96</v>
      </c>
      <c r="G131" s="66">
        <v>21.5</v>
      </c>
      <c r="H131" s="66">
        <v>73.3</v>
      </c>
      <c r="I131" s="66">
        <v>0</v>
      </c>
      <c r="J131" s="85">
        <v>98.9</v>
      </c>
      <c r="K131" s="66">
        <v>0</v>
      </c>
      <c r="L131" s="66">
        <v>0</v>
      </c>
      <c r="M131" s="66">
        <v>0</v>
      </c>
      <c r="N131" s="75">
        <v>5358</v>
      </c>
      <c r="O131" s="67">
        <f t="shared" si="304"/>
        <v>41.792400000000001</v>
      </c>
      <c r="P131" s="67">
        <f t="shared" si="305"/>
        <v>5299.0620000000008</v>
      </c>
      <c r="Q131" s="67">
        <f t="shared" si="306"/>
        <v>0</v>
      </c>
      <c r="R131" s="67">
        <f t="shared" si="307"/>
        <v>5087.0995200000007</v>
      </c>
      <c r="S131" s="67">
        <f t="shared" si="308"/>
        <v>1093.7263968</v>
      </c>
      <c r="T131" s="67">
        <f t="shared" si="309"/>
        <v>3728.8439481600003</v>
      </c>
      <c r="U131" s="67">
        <f t="shared" si="310"/>
        <v>0</v>
      </c>
      <c r="V131" s="67">
        <f t="shared" si="311"/>
        <v>3687.8266647302407</v>
      </c>
      <c r="W131" s="76">
        <f t="shared" si="312"/>
        <v>0</v>
      </c>
      <c r="X131" s="67">
        <f t="shared" ref="X131:Y131" si="316">L131*W131/100</f>
        <v>0</v>
      </c>
      <c r="Y131" s="67">
        <f t="shared" si="316"/>
        <v>0</v>
      </c>
      <c r="Z131" s="68" t="s">
        <v>150</v>
      </c>
      <c r="AA131" s="68">
        <f t="shared" si="315"/>
        <v>12.387478865842379</v>
      </c>
      <c r="AB131" s="84" t="s">
        <v>196</v>
      </c>
      <c r="AC131">
        <f t="shared" ref="AC131:AC194" si="317">(O131/N131)*100</f>
        <v>0.78</v>
      </c>
      <c r="AD131">
        <f t="shared" ref="AD131:AD194" si="318">(P131/N131)*100</f>
        <v>98.9</v>
      </c>
      <c r="AE131">
        <f t="shared" ref="AE131:AE194" si="319">(Q131/N131)*100</f>
        <v>0</v>
      </c>
      <c r="AF131">
        <f t="shared" ref="AF131:AF194" si="320">(R131/N131)*100</f>
        <v>94.944000000000017</v>
      </c>
      <c r="AG131">
        <f t="shared" ref="AG131:AG194" si="321">(S131/N131)*100</f>
        <v>20.412959999999998</v>
      </c>
      <c r="AH131">
        <f t="shared" ref="AH131:AH194" si="322">(T131/N131)*100</f>
        <v>69.593952000000002</v>
      </c>
      <c r="AI131">
        <f t="shared" ref="AI131:AI194" si="323">(U131/N131)*100</f>
        <v>0</v>
      </c>
      <c r="AJ131">
        <f t="shared" ref="AJ131:AJ194" si="324">(V131/N131)*100</f>
        <v>68.828418528000014</v>
      </c>
      <c r="AK131">
        <f t="shared" ref="AK131:AK194" si="325">(W131/N131)*100</f>
        <v>0</v>
      </c>
      <c r="AL131">
        <f t="shared" ref="AL131:AL194" si="326">(X131/N131)*100</f>
        <v>0</v>
      </c>
      <c r="AM131">
        <f t="shared" ref="AM131:AM194" si="327">(Y131/N131)*100</f>
        <v>0</v>
      </c>
    </row>
    <row r="132" spans="1:39" x14ac:dyDescent="0.25">
      <c r="A132" s="2" t="s">
        <v>10</v>
      </c>
      <c r="B132" s="1" t="s">
        <v>47</v>
      </c>
      <c r="C132" s="66">
        <v>0</v>
      </c>
      <c r="D132" s="66">
        <v>100</v>
      </c>
      <c r="E132" s="66">
        <v>0</v>
      </c>
      <c r="F132" s="66">
        <v>98.6</v>
      </c>
      <c r="G132" s="66">
        <v>0.27999999999999997</v>
      </c>
      <c r="H132" s="66">
        <v>99.3</v>
      </c>
      <c r="I132" s="66">
        <v>25.3</v>
      </c>
      <c r="J132" s="85">
        <v>71.5</v>
      </c>
      <c r="K132" s="66">
        <v>0</v>
      </c>
      <c r="L132" s="66">
        <v>0</v>
      </c>
      <c r="M132" s="66">
        <v>0</v>
      </c>
      <c r="N132" s="75">
        <v>6115</v>
      </c>
      <c r="O132" s="67">
        <f t="shared" si="304"/>
        <v>0</v>
      </c>
      <c r="P132" s="67">
        <f t="shared" si="305"/>
        <v>6115</v>
      </c>
      <c r="Q132" s="67">
        <f t="shared" si="306"/>
        <v>0</v>
      </c>
      <c r="R132" s="67">
        <f t="shared" si="307"/>
        <v>6029.39</v>
      </c>
      <c r="S132" s="67">
        <f t="shared" si="308"/>
        <v>16.882292</v>
      </c>
      <c r="T132" s="67">
        <f t="shared" si="309"/>
        <v>5987.1842700000007</v>
      </c>
      <c r="U132" s="67">
        <f t="shared" si="310"/>
        <v>1514.7576203100002</v>
      </c>
      <c r="V132" s="67">
        <f t="shared" si="311"/>
        <v>4280.83675305</v>
      </c>
      <c r="W132" s="76">
        <f t="shared" si="312"/>
        <v>0</v>
      </c>
      <c r="X132" s="67">
        <f t="shared" ref="X132:Y132" si="328">L132*W132/100</f>
        <v>0</v>
      </c>
      <c r="Y132" s="67">
        <f t="shared" si="328"/>
        <v>0</v>
      </c>
      <c r="Z132" s="68" t="s">
        <v>150</v>
      </c>
      <c r="AA132" s="68">
        <f t="shared" si="315"/>
        <v>12.578136783414749</v>
      </c>
      <c r="AB132" s="84" t="s">
        <v>196</v>
      </c>
      <c r="AC132">
        <f t="shared" si="317"/>
        <v>0</v>
      </c>
      <c r="AD132">
        <f t="shared" si="318"/>
        <v>100</v>
      </c>
      <c r="AE132">
        <f t="shared" si="319"/>
        <v>0</v>
      </c>
      <c r="AF132">
        <f t="shared" si="320"/>
        <v>98.600000000000009</v>
      </c>
      <c r="AG132">
        <f t="shared" si="321"/>
        <v>0.27607999999999999</v>
      </c>
      <c r="AH132">
        <f t="shared" si="322"/>
        <v>97.909800000000018</v>
      </c>
      <c r="AI132">
        <f t="shared" si="323"/>
        <v>24.771179400000005</v>
      </c>
      <c r="AJ132">
        <f t="shared" si="324"/>
        <v>70.005506999999994</v>
      </c>
      <c r="AK132">
        <f t="shared" si="325"/>
        <v>0</v>
      </c>
      <c r="AL132">
        <f t="shared" si="326"/>
        <v>0</v>
      </c>
      <c r="AM132">
        <f t="shared" si="327"/>
        <v>0</v>
      </c>
    </row>
    <row r="133" spans="1:39" x14ac:dyDescent="0.25">
      <c r="A133" s="2" t="s">
        <v>10</v>
      </c>
      <c r="B133" s="1" t="s">
        <v>18</v>
      </c>
      <c r="C133" s="66">
        <v>3.4000000000000002E-2</v>
      </c>
      <c r="D133" s="66">
        <v>100</v>
      </c>
      <c r="E133" s="66">
        <v>0</v>
      </c>
      <c r="F133" s="66">
        <v>96.6</v>
      </c>
      <c r="G133" s="66">
        <v>1.1100000000000001</v>
      </c>
      <c r="H133" s="66">
        <v>98.4</v>
      </c>
      <c r="I133" s="66">
        <v>10.4</v>
      </c>
      <c r="J133" s="85">
        <v>88</v>
      </c>
      <c r="K133" s="66">
        <v>0</v>
      </c>
      <c r="L133" s="66">
        <v>0</v>
      </c>
      <c r="M133" s="66">
        <v>0</v>
      </c>
      <c r="N133" s="75">
        <v>2979</v>
      </c>
      <c r="O133" s="67">
        <f t="shared" si="304"/>
        <v>1.0128600000000001</v>
      </c>
      <c r="P133" s="67">
        <f t="shared" si="305"/>
        <v>2979</v>
      </c>
      <c r="Q133" s="67">
        <f t="shared" si="306"/>
        <v>0</v>
      </c>
      <c r="R133" s="67">
        <f t="shared" si="307"/>
        <v>2877.7139999999995</v>
      </c>
      <c r="S133" s="67">
        <f t="shared" si="308"/>
        <v>31.942625399999997</v>
      </c>
      <c r="T133" s="67">
        <f t="shared" si="309"/>
        <v>2831.6705759999995</v>
      </c>
      <c r="U133" s="67">
        <f t="shared" si="310"/>
        <v>294.49373990399994</v>
      </c>
      <c r="V133" s="67">
        <f t="shared" si="311"/>
        <v>2491.8701068799996</v>
      </c>
      <c r="W133" s="76">
        <f t="shared" si="312"/>
        <v>0</v>
      </c>
      <c r="X133" s="67">
        <f t="shared" ref="X133:Y133" si="329">L133*W133/100</f>
        <v>0</v>
      </c>
      <c r="Y133" s="67">
        <f t="shared" si="329"/>
        <v>0</v>
      </c>
      <c r="Z133" s="68" t="s">
        <v>150</v>
      </c>
      <c r="AA133" s="68">
        <f t="shared" si="315"/>
        <v>11.54061240824953</v>
      </c>
      <c r="AB133" s="84" t="s">
        <v>196</v>
      </c>
      <c r="AC133">
        <f t="shared" si="317"/>
        <v>3.4000000000000002E-2</v>
      </c>
      <c r="AD133">
        <f t="shared" si="318"/>
        <v>100</v>
      </c>
      <c r="AE133">
        <f t="shared" si="319"/>
        <v>0</v>
      </c>
      <c r="AF133">
        <f t="shared" si="320"/>
        <v>96.59999999999998</v>
      </c>
      <c r="AG133">
        <f t="shared" si="321"/>
        <v>1.07226</v>
      </c>
      <c r="AH133">
        <f t="shared" si="322"/>
        <v>95.054399999999987</v>
      </c>
      <c r="AI133">
        <f t="shared" si="323"/>
        <v>9.8856575999999983</v>
      </c>
      <c r="AJ133">
        <f t="shared" si="324"/>
        <v>83.647871999999992</v>
      </c>
      <c r="AK133">
        <f t="shared" si="325"/>
        <v>0</v>
      </c>
      <c r="AL133">
        <f t="shared" si="326"/>
        <v>0</v>
      </c>
      <c r="AM133">
        <f t="shared" si="327"/>
        <v>0</v>
      </c>
    </row>
    <row r="134" spans="1:39" x14ac:dyDescent="0.25">
      <c r="A134" s="2" t="s">
        <v>10</v>
      </c>
      <c r="B134" s="1" t="s">
        <v>48</v>
      </c>
      <c r="C134" s="66">
        <v>0.63</v>
      </c>
      <c r="D134" s="66">
        <v>98.9</v>
      </c>
      <c r="E134" s="66">
        <v>8.07</v>
      </c>
      <c r="F134" s="66">
        <v>68.600000000000009</v>
      </c>
      <c r="G134" s="66">
        <v>7.12</v>
      </c>
      <c r="H134" s="66">
        <v>83.3</v>
      </c>
      <c r="I134" s="66">
        <v>3.35</v>
      </c>
      <c r="J134" s="85">
        <v>3.35</v>
      </c>
      <c r="K134" s="66">
        <v>72.099999999999994</v>
      </c>
      <c r="L134" s="66">
        <v>0</v>
      </c>
      <c r="M134" s="66">
        <v>0</v>
      </c>
      <c r="N134" s="75">
        <v>476</v>
      </c>
      <c r="O134" s="67">
        <f t="shared" si="304"/>
        <v>2.9988000000000001</v>
      </c>
      <c r="P134" s="67">
        <f t="shared" si="305"/>
        <v>470.76400000000001</v>
      </c>
      <c r="Q134" s="67">
        <f t="shared" si="306"/>
        <v>37.990654800000002</v>
      </c>
      <c r="R134" s="67">
        <f t="shared" si="307"/>
        <v>322.94410400000004</v>
      </c>
      <c r="S134" s="67">
        <f t="shared" si="308"/>
        <v>22.993620204800003</v>
      </c>
      <c r="T134" s="67">
        <f t="shared" si="309"/>
        <v>269.012438632</v>
      </c>
      <c r="U134" s="67">
        <f t="shared" si="310"/>
        <v>9.011916694172001</v>
      </c>
      <c r="V134" s="67">
        <f t="shared" si="311"/>
        <v>9.011916694172001</v>
      </c>
      <c r="W134" s="76">
        <f t="shared" si="312"/>
        <v>193.95796825367196</v>
      </c>
      <c r="X134" s="67">
        <f t="shared" ref="X134:Y134" si="330">L134*W134/100</f>
        <v>0</v>
      </c>
      <c r="Y134" s="67">
        <f t="shared" si="330"/>
        <v>0</v>
      </c>
      <c r="Z134" s="68" t="s">
        <v>145</v>
      </c>
      <c r="AA134" s="68">
        <f t="shared" si="315"/>
        <v>8.8948177633079446</v>
      </c>
      <c r="AB134" s="84" t="s">
        <v>196</v>
      </c>
      <c r="AC134">
        <f t="shared" si="317"/>
        <v>0.63</v>
      </c>
      <c r="AD134">
        <f t="shared" si="318"/>
        <v>98.9</v>
      </c>
      <c r="AE134">
        <f t="shared" si="319"/>
        <v>7.98123</v>
      </c>
      <c r="AF134">
        <f t="shared" si="320"/>
        <v>67.845400000000012</v>
      </c>
      <c r="AG134">
        <f t="shared" si="321"/>
        <v>4.83059248</v>
      </c>
      <c r="AH134">
        <f t="shared" si="322"/>
        <v>56.515218199999993</v>
      </c>
      <c r="AI134">
        <f t="shared" si="323"/>
        <v>1.8932598097000004</v>
      </c>
      <c r="AJ134">
        <f t="shared" si="324"/>
        <v>1.8932598097000004</v>
      </c>
      <c r="AK134">
        <f t="shared" si="325"/>
        <v>40.747472322199989</v>
      </c>
      <c r="AL134">
        <f t="shared" si="326"/>
        <v>0</v>
      </c>
      <c r="AM134">
        <f t="shared" si="327"/>
        <v>0</v>
      </c>
    </row>
    <row r="135" spans="1:39" x14ac:dyDescent="0.25">
      <c r="A135" s="2" t="s">
        <v>10</v>
      </c>
      <c r="B135" s="1" t="s">
        <v>89</v>
      </c>
      <c r="C135" s="66">
        <v>0</v>
      </c>
      <c r="D135" s="66">
        <v>99.7</v>
      </c>
      <c r="E135" s="66">
        <v>0</v>
      </c>
      <c r="F135" s="66">
        <v>95.55</v>
      </c>
      <c r="G135" s="66">
        <v>3.17</v>
      </c>
      <c r="H135" s="66">
        <v>94.6</v>
      </c>
      <c r="I135" s="66">
        <v>0.2</v>
      </c>
      <c r="J135" s="85">
        <v>99.8</v>
      </c>
      <c r="K135" s="66">
        <v>0</v>
      </c>
      <c r="L135" s="66">
        <v>0</v>
      </c>
      <c r="M135" s="66">
        <v>0</v>
      </c>
      <c r="N135" s="75">
        <v>2222</v>
      </c>
      <c r="O135" s="67">
        <f t="shared" si="304"/>
        <v>0</v>
      </c>
      <c r="P135" s="67">
        <f t="shared" si="305"/>
        <v>2215.3339999999998</v>
      </c>
      <c r="Q135" s="67">
        <f t="shared" si="306"/>
        <v>0</v>
      </c>
      <c r="R135" s="67">
        <f t="shared" si="307"/>
        <v>2116.7516369999998</v>
      </c>
      <c r="S135" s="67">
        <f t="shared" si="308"/>
        <v>67.101026892899995</v>
      </c>
      <c r="T135" s="67">
        <f t="shared" si="309"/>
        <v>2002.4470486019998</v>
      </c>
      <c r="U135" s="67">
        <f t="shared" si="310"/>
        <v>4.0048940972039997</v>
      </c>
      <c r="V135" s="67">
        <f t="shared" si="311"/>
        <v>1998.4421545047956</v>
      </c>
      <c r="W135" s="76">
        <f t="shared" si="312"/>
        <v>0</v>
      </c>
      <c r="X135" s="67">
        <f t="shared" ref="X135:Y135" si="331">L135*W135/100</f>
        <v>0</v>
      </c>
      <c r="Y135" s="67">
        <f t="shared" si="331"/>
        <v>0</v>
      </c>
      <c r="Z135" s="68" t="s">
        <v>150</v>
      </c>
      <c r="AA135" s="68">
        <f t="shared" si="315"/>
        <v>11.117643101389094</v>
      </c>
      <c r="AB135" s="84" t="s">
        <v>196</v>
      </c>
      <c r="AC135">
        <f t="shared" si="317"/>
        <v>0</v>
      </c>
      <c r="AD135">
        <f t="shared" si="318"/>
        <v>99.699999999999989</v>
      </c>
      <c r="AE135">
        <f t="shared" si="319"/>
        <v>0</v>
      </c>
      <c r="AF135">
        <f t="shared" si="320"/>
        <v>95.263349999999988</v>
      </c>
      <c r="AG135">
        <f t="shared" si="321"/>
        <v>3.0198481949999998</v>
      </c>
      <c r="AH135">
        <f t="shared" si="322"/>
        <v>90.119129099999995</v>
      </c>
      <c r="AI135">
        <f t="shared" si="323"/>
        <v>0.18023825819999997</v>
      </c>
      <c r="AJ135">
        <f t="shared" si="324"/>
        <v>89.938890841799974</v>
      </c>
      <c r="AK135">
        <f t="shared" si="325"/>
        <v>0</v>
      </c>
      <c r="AL135">
        <f t="shared" si="326"/>
        <v>0</v>
      </c>
      <c r="AM135">
        <f t="shared" si="327"/>
        <v>0</v>
      </c>
    </row>
    <row r="136" spans="1:39" x14ac:dyDescent="0.25">
      <c r="A136" s="2" t="s">
        <v>10</v>
      </c>
      <c r="B136" s="1" t="s">
        <v>73</v>
      </c>
      <c r="C136" s="66">
        <v>6.6000000000000003E-2</v>
      </c>
      <c r="D136" s="66">
        <v>99.8</v>
      </c>
      <c r="E136" s="66">
        <v>0</v>
      </c>
      <c r="F136" s="66">
        <v>97.5</v>
      </c>
      <c r="G136" s="66">
        <v>2.8899999999999997</v>
      </c>
      <c r="H136" s="66">
        <v>96.2</v>
      </c>
      <c r="I136" s="66">
        <v>0.11</v>
      </c>
      <c r="J136" s="85">
        <v>99.8</v>
      </c>
      <c r="K136" s="66">
        <v>0</v>
      </c>
      <c r="L136" s="66">
        <v>0</v>
      </c>
      <c r="M136" s="66">
        <v>0</v>
      </c>
      <c r="N136" s="75">
        <v>3027</v>
      </c>
      <c r="O136" s="67">
        <f t="shared" si="304"/>
        <v>1.9978200000000002</v>
      </c>
      <c r="P136" s="67">
        <f t="shared" si="305"/>
        <v>3020.9459999999999</v>
      </c>
      <c r="Q136" s="67">
        <f t="shared" si="306"/>
        <v>0</v>
      </c>
      <c r="R136" s="67">
        <f t="shared" si="307"/>
        <v>2945.4223499999998</v>
      </c>
      <c r="S136" s="67">
        <f t="shared" si="308"/>
        <v>85.122705914999983</v>
      </c>
      <c r="T136" s="67">
        <f t="shared" si="309"/>
        <v>2833.4963007000001</v>
      </c>
      <c r="U136" s="67">
        <f t="shared" si="310"/>
        <v>3.1168459307699998</v>
      </c>
      <c r="V136" s="67">
        <f t="shared" si="311"/>
        <v>2827.8293080986</v>
      </c>
      <c r="W136" s="76">
        <f t="shared" si="312"/>
        <v>0</v>
      </c>
      <c r="X136" s="67">
        <f t="shared" ref="X136:Y136" si="332">L136*W136/100</f>
        <v>0</v>
      </c>
      <c r="Y136" s="67">
        <f t="shared" si="332"/>
        <v>0</v>
      </c>
      <c r="Z136" s="68" t="s">
        <v>150</v>
      </c>
      <c r="AA136" s="68">
        <f t="shared" si="315"/>
        <v>11.563672959827516</v>
      </c>
      <c r="AB136" s="84" t="s">
        <v>196</v>
      </c>
      <c r="AC136">
        <f t="shared" si="317"/>
        <v>6.6000000000000003E-2</v>
      </c>
      <c r="AD136">
        <f t="shared" si="318"/>
        <v>99.8</v>
      </c>
      <c r="AE136">
        <f t="shared" si="319"/>
        <v>0</v>
      </c>
      <c r="AF136">
        <f t="shared" si="320"/>
        <v>97.304999999999993</v>
      </c>
      <c r="AG136">
        <f t="shared" si="321"/>
        <v>2.8121144999999994</v>
      </c>
      <c r="AH136">
        <f t="shared" si="322"/>
        <v>93.607410000000002</v>
      </c>
      <c r="AI136">
        <f t="shared" si="323"/>
        <v>0.10296815099999998</v>
      </c>
      <c r="AJ136">
        <f t="shared" si="324"/>
        <v>93.420195179999993</v>
      </c>
      <c r="AK136">
        <f t="shared" si="325"/>
        <v>0</v>
      </c>
      <c r="AL136">
        <f t="shared" si="326"/>
        <v>0</v>
      </c>
      <c r="AM136">
        <f t="shared" si="327"/>
        <v>0</v>
      </c>
    </row>
    <row r="137" spans="1:39" x14ac:dyDescent="0.25">
      <c r="A137" s="2" t="s">
        <v>10</v>
      </c>
      <c r="B137" s="1" t="s">
        <v>49</v>
      </c>
      <c r="C137" s="66">
        <v>0</v>
      </c>
      <c r="D137" s="66">
        <v>100</v>
      </c>
      <c r="E137" s="66">
        <v>0</v>
      </c>
      <c r="F137" s="66">
        <v>98.3</v>
      </c>
      <c r="G137" s="66">
        <v>0.67999999999999994</v>
      </c>
      <c r="H137" s="66">
        <v>98.3</v>
      </c>
      <c r="I137" s="66">
        <v>22.2</v>
      </c>
      <c r="J137" s="85">
        <v>72.8</v>
      </c>
      <c r="K137" s="66">
        <v>0</v>
      </c>
      <c r="L137" s="66">
        <v>0</v>
      </c>
      <c r="M137" s="66">
        <v>0</v>
      </c>
      <c r="N137" s="75">
        <v>6453</v>
      </c>
      <c r="O137" s="67">
        <f t="shared" si="304"/>
        <v>0</v>
      </c>
      <c r="P137" s="67">
        <f t="shared" si="305"/>
        <v>6453</v>
      </c>
      <c r="Q137" s="67">
        <f t="shared" si="306"/>
        <v>0</v>
      </c>
      <c r="R137" s="67">
        <f t="shared" si="307"/>
        <v>6343.299</v>
      </c>
      <c r="S137" s="67">
        <f t="shared" si="308"/>
        <v>43.134433199999997</v>
      </c>
      <c r="T137" s="67">
        <f t="shared" si="309"/>
        <v>6235.4629169999998</v>
      </c>
      <c r="U137" s="67">
        <f t="shared" si="310"/>
        <v>1384.2727675739998</v>
      </c>
      <c r="V137" s="67">
        <f t="shared" si="311"/>
        <v>4539.4170035759998</v>
      </c>
      <c r="W137" s="76">
        <f t="shared" si="312"/>
        <v>0</v>
      </c>
      <c r="X137" s="67">
        <f t="shared" ref="X137:Y137" si="333">L137*W137/100</f>
        <v>0</v>
      </c>
      <c r="Y137" s="67">
        <f t="shared" si="333"/>
        <v>0</v>
      </c>
      <c r="Z137" s="68" t="s">
        <v>150</v>
      </c>
      <c r="AA137" s="68">
        <f t="shared" si="315"/>
        <v>12.655754310144218</v>
      </c>
      <c r="AB137" s="84" t="s">
        <v>196</v>
      </c>
      <c r="AC137">
        <f t="shared" si="317"/>
        <v>0</v>
      </c>
      <c r="AD137">
        <f t="shared" si="318"/>
        <v>100</v>
      </c>
      <c r="AE137">
        <f t="shared" si="319"/>
        <v>0</v>
      </c>
      <c r="AF137">
        <f t="shared" si="320"/>
        <v>98.3</v>
      </c>
      <c r="AG137">
        <f t="shared" si="321"/>
        <v>0.66843999999999992</v>
      </c>
      <c r="AH137">
        <f t="shared" si="322"/>
        <v>96.628900000000002</v>
      </c>
      <c r="AI137">
        <f t="shared" si="323"/>
        <v>21.451615799999995</v>
      </c>
      <c r="AJ137">
        <f t="shared" si="324"/>
        <v>70.3458392</v>
      </c>
      <c r="AK137">
        <f t="shared" si="325"/>
        <v>0</v>
      </c>
      <c r="AL137">
        <f t="shared" si="326"/>
        <v>0</v>
      </c>
      <c r="AM137">
        <f t="shared" si="327"/>
        <v>0</v>
      </c>
    </row>
    <row r="138" spans="1:39" x14ac:dyDescent="0.25">
      <c r="A138" s="2" t="s">
        <v>10</v>
      </c>
      <c r="B138" s="1" t="s">
        <v>82</v>
      </c>
      <c r="C138" s="66">
        <v>0</v>
      </c>
      <c r="D138" s="66">
        <v>100</v>
      </c>
      <c r="E138" s="66">
        <v>0</v>
      </c>
      <c r="F138" s="66">
        <v>92.300000000000011</v>
      </c>
      <c r="G138" s="66">
        <v>0.66</v>
      </c>
      <c r="H138" s="66">
        <v>97.8</v>
      </c>
      <c r="I138" s="66">
        <v>38.6</v>
      </c>
      <c r="J138" s="85">
        <v>56.3</v>
      </c>
      <c r="K138" s="66">
        <v>0</v>
      </c>
      <c r="L138" s="66">
        <v>0</v>
      </c>
      <c r="M138" s="66">
        <v>0</v>
      </c>
      <c r="N138" s="75">
        <v>1320</v>
      </c>
      <c r="O138" s="67">
        <f t="shared" si="304"/>
        <v>0</v>
      </c>
      <c r="P138" s="67">
        <f t="shared" si="305"/>
        <v>1320</v>
      </c>
      <c r="Q138" s="67">
        <f t="shared" si="306"/>
        <v>0</v>
      </c>
      <c r="R138" s="67">
        <f t="shared" si="307"/>
        <v>1218.3600000000001</v>
      </c>
      <c r="S138" s="67">
        <f t="shared" si="308"/>
        <v>8.0411760000000019</v>
      </c>
      <c r="T138" s="67">
        <f t="shared" si="309"/>
        <v>1191.5560800000001</v>
      </c>
      <c r="U138" s="67">
        <f t="shared" si="310"/>
        <v>459.94064688000003</v>
      </c>
      <c r="V138" s="67">
        <f t="shared" si="311"/>
        <v>670.84607304000008</v>
      </c>
      <c r="W138" s="76">
        <f t="shared" si="312"/>
        <v>0</v>
      </c>
      <c r="X138" s="67">
        <f t="shared" ref="X138:Y138" si="334">L138*W138/100</f>
        <v>0</v>
      </c>
      <c r="Y138" s="67">
        <f t="shared" si="334"/>
        <v>0</v>
      </c>
      <c r="Z138" s="68" t="s">
        <v>150</v>
      </c>
      <c r="AA138" s="68">
        <f t="shared" si="315"/>
        <v>10.366322214245816</v>
      </c>
      <c r="AB138" s="84" t="s">
        <v>196</v>
      </c>
      <c r="AC138">
        <f t="shared" si="317"/>
        <v>0</v>
      </c>
      <c r="AD138">
        <f t="shared" si="318"/>
        <v>100</v>
      </c>
      <c r="AE138">
        <f t="shared" si="319"/>
        <v>0</v>
      </c>
      <c r="AF138">
        <f t="shared" si="320"/>
        <v>92.300000000000011</v>
      </c>
      <c r="AG138">
        <f t="shared" si="321"/>
        <v>0.60918000000000017</v>
      </c>
      <c r="AH138">
        <f t="shared" si="322"/>
        <v>90.269400000000005</v>
      </c>
      <c r="AI138">
        <f t="shared" si="323"/>
        <v>34.843988400000001</v>
      </c>
      <c r="AJ138">
        <f t="shared" si="324"/>
        <v>50.821672200000002</v>
      </c>
      <c r="AK138">
        <f t="shared" si="325"/>
        <v>0</v>
      </c>
      <c r="AL138">
        <f t="shared" si="326"/>
        <v>0</v>
      </c>
      <c r="AM138">
        <f t="shared" si="327"/>
        <v>0</v>
      </c>
    </row>
    <row r="139" spans="1:39" x14ac:dyDescent="0.25">
      <c r="A139" s="2" t="s">
        <v>10</v>
      </c>
      <c r="B139" s="1" t="s">
        <v>20</v>
      </c>
      <c r="C139" s="66">
        <v>0.4</v>
      </c>
      <c r="D139" s="66">
        <v>98.8</v>
      </c>
      <c r="E139" s="66">
        <v>0</v>
      </c>
      <c r="F139" s="66">
        <v>59.4</v>
      </c>
      <c r="G139" s="66">
        <v>23.599999999999998</v>
      </c>
      <c r="H139" s="66">
        <v>68.899999999999991</v>
      </c>
      <c r="I139" s="66">
        <v>0</v>
      </c>
      <c r="J139" s="85">
        <v>95.1</v>
      </c>
      <c r="K139" s="66">
        <v>0</v>
      </c>
      <c r="L139" s="66">
        <v>0</v>
      </c>
      <c r="M139" s="66">
        <v>0</v>
      </c>
      <c r="N139" s="75">
        <v>252</v>
      </c>
      <c r="O139" s="67">
        <f t="shared" si="304"/>
        <v>1.008</v>
      </c>
      <c r="P139" s="67">
        <f t="shared" si="305"/>
        <v>248.976</v>
      </c>
      <c r="Q139" s="67">
        <f t="shared" si="306"/>
        <v>0</v>
      </c>
      <c r="R139" s="67">
        <f t="shared" si="307"/>
        <v>147.89174399999999</v>
      </c>
      <c r="S139" s="67">
        <f t="shared" si="308"/>
        <v>34.902451583999998</v>
      </c>
      <c r="T139" s="67">
        <f t="shared" si="309"/>
        <v>101.89741161599997</v>
      </c>
      <c r="U139" s="67">
        <f t="shared" si="310"/>
        <v>0</v>
      </c>
      <c r="V139" s="67">
        <f t="shared" si="311"/>
        <v>96.904438446815959</v>
      </c>
      <c r="W139" s="76">
        <f t="shared" si="312"/>
        <v>0</v>
      </c>
      <c r="X139" s="67">
        <f t="shared" ref="X139:Y139" si="335">L139*W139/100</f>
        <v>0</v>
      </c>
      <c r="Y139" s="67">
        <f t="shared" si="335"/>
        <v>0</v>
      </c>
      <c r="Z139" s="68" t="s">
        <v>145</v>
      </c>
      <c r="AA139" s="68">
        <f t="shared" si="315"/>
        <v>7.9772799234999168</v>
      </c>
      <c r="AB139" s="84" t="s">
        <v>196</v>
      </c>
      <c r="AC139">
        <f t="shared" si="317"/>
        <v>0.4</v>
      </c>
      <c r="AD139">
        <f t="shared" si="318"/>
        <v>98.8</v>
      </c>
      <c r="AE139">
        <f t="shared" si="319"/>
        <v>0</v>
      </c>
      <c r="AF139">
        <f t="shared" si="320"/>
        <v>58.687199999999997</v>
      </c>
      <c r="AG139">
        <f t="shared" si="321"/>
        <v>13.850179199999998</v>
      </c>
      <c r="AH139">
        <f t="shared" si="322"/>
        <v>40.435480799999993</v>
      </c>
      <c r="AI139">
        <f t="shared" si="323"/>
        <v>0</v>
      </c>
      <c r="AJ139">
        <f t="shared" si="324"/>
        <v>38.454142240799982</v>
      </c>
      <c r="AK139">
        <f t="shared" si="325"/>
        <v>0</v>
      </c>
      <c r="AL139">
        <f t="shared" si="326"/>
        <v>0</v>
      </c>
      <c r="AM139">
        <f t="shared" si="327"/>
        <v>0</v>
      </c>
    </row>
    <row r="140" spans="1:39" x14ac:dyDescent="0.25">
      <c r="A140" s="2" t="s">
        <v>10</v>
      </c>
      <c r="B140" s="1" t="s">
        <v>50</v>
      </c>
      <c r="C140" s="66">
        <v>2.9000000000000001E-2</v>
      </c>
      <c r="D140" s="66">
        <v>100</v>
      </c>
      <c r="E140" s="66">
        <v>0</v>
      </c>
      <c r="F140" s="66">
        <v>99.2</v>
      </c>
      <c r="G140" s="66">
        <v>0.75</v>
      </c>
      <c r="H140" s="66">
        <v>98.9</v>
      </c>
      <c r="I140" s="66">
        <v>0.16999999999999998</v>
      </c>
      <c r="J140" s="85">
        <v>99.7</v>
      </c>
      <c r="K140" s="66">
        <v>0</v>
      </c>
      <c r="L140" s="66">
        <v>0</v>
      </c>
      <c r="M140" s="66">
        <v>0</v>
      </c>
      <c r="N140" s="75">
        <v>10464</v>
      </c>
      <c r="O140" s="67">
        <f t="shared" si="304"/>
        <v>3.0345600000000004</v>
      </c>
      <c r="P140" s="67">
        <f t="shared" si="305"/>
        <v>10464</v>
      </c>
      <c r="Q140" s="67">
        <f t="shared" si="306"/>
        <v>0</v>
      </c>
      <c r="R140" s="67">
        <f t="shared" si="307"/>
        <v>10380.288</v>
      </c>
      <c r="S140" s="67">
        <f t="shared" si="308"/>
        <v>77.852159999999998</v>
      </c>
      <c r="T140" s="67">
        <f t="shared" si="309"/>
        <v>10266.104832000001</v>
      </c>
      <c r="U140" s="67">
        <f t="shared" si="310"/>
        <v>17.452378214399999</v>
      </c>
      <c r="V140" s="67">
        <f t="shared" si="311"/>
        <v>10235.306517504001</v>
      </c>
      <c r="W140" s="76">
        <f t="shared" si="312"/>
        <v>0</v>
      </c>
      <c r="X140" s="67">
        <f t="shared" ref="X140:Y140" si="336">L140*W140/100</f>
        <v>0</v>
      </c>
      <c r="Y140" s="67">
        <f t="shared" si="336"/>
        <v>0</v>
      </c>
      <c r="Z140" s="68" t="s">
        <v>152</v>
      </c>
      <c r="AA140" s="68">
        <f t="shared" si="315"/>
        <v>13.353146825498083</v>
      </c>
      <c r="AB140" s="84" t="s">
        <v>196</v>
      </c>
      <c r="AC140">
        <f t="shared" si="317"/>
        <v>2.9000000000000005E-2</v>
      </c>
      <c r="AD140">
        <f t="shared" si="318"/>
        <v>100</v>
      </c>
      <c r="AE140">
        <f t="shared" si="319"/>
        <v>0</v>
      </c>
      <c r="AF140">
        <f t="shared" si="320"/>
        <v>99.2</v>
      </c>
      <c r="AG140">
        <f t="shared" si="321"/>
        <v>0.74399999999999999</v>
      </c>
      <c r="AH140">
        <f t="shared" si="322"/>
        <v>98.108800000000002</v>
      </c>
      <c r="AI140">
        <f t="shared" si="323"/>
        <v>0.16678495999999998</v>
      </c>
      <c r="AJ140">
        <f t="shared" si="324"/>
        <v>97.814473600000014</v>
      </c>
      <c r="AK140">
        <f t="shared" si="325"/>
        <v>0</v>
      </c>
      <c r="AL140">
        <f t="shared" si="326"/>
        <v>0</v>
      </c>
      <c r="AM140">
        <f t="shared" si="327"/>
        <v>0</v>
      </c>
    </row>
    <row r="141" spans="1:39" x14ac:dyDescent="0.25">
      <c r="A141" s="2" t="s">
        <v>10</v>
      </c>
      <c r="B141" s="1" t="s">
        <v>51</v>
      </c>
      <c r="C141" s="66">
        <v>0.24</v>
      </c>
      <c r="D141" s="66">
        <v>99.2</v>
      </c>
      <c r="E141" s="66">
        <v>0</v>
      </c>
      <c r="F141" s="66">
        <v>85.7</v>
      </c>
      <c r="G141" s="66">
        <v>21.2</v>
      </c>
      <c r="H141" s="66">
        <v>76.400000000000006</v>
      </c>
      <c r="I141" s="66">
        <v>0</v>
      </c>
      <c r="J141" s="85">
        <v>97.5</v>
      </c>
      <c r="K141" s="66">
        <v>0</v>
      </c>
      <c r="L141" s="66">
        <v>0</v>
      </c>
      <c r="M141" s="66">
        <v>0</v>
      </c>
      <c r="N141" s="75">
        <v>847</v>
      </c>
      <c r="O141" s="67">
        <f t="shared" si="304"/>
        <v>2.0327999999999999</v>
      </c>
      <c r="P141" s="67">
        <f t="shared" si="305"/>
        <v>840.22400000000005</v>
      </c>
      <c r="Q141" s="67">
        <f t="shared" si="306"/>
        <v>0</v>
      </c>
      <c r="R141" s="67">
        <f t="shared" si="307"/>
        <v>720.07196800000008</v>
      </c>
      <c r="S141" s="67">
        <f t="shared" si="308"/>
        <v>152.655257216</v>
      </c>
      <c r="T141" s="67">
        <f t="shared" si="309"/>
        <v>550.13498355200011</v>
      </c>
      <c r="U141" s="67">
        <f t="shared" si="310"/>
        <v>0</v>
      </c>
      <c r="V141" s="67">
        <f t="shared" si="311"/>
        <v>536.38160896320016</v>
      </c>
      <c r="W141" s="76">
        <f t="shared" si="312"/>
        <v>0</v>
      </c>
      <c r="X141" s="67">
        <f t="shared" ref="X141:Y153" si="337">L141*W141/100</f>
        <v>0</v>
      </c>
      <c r="Y141" s="67">
        <f t="shared" si="337"/>
        <v>0</v>
      </c>
      <c r="Z141" s="68" t="s">
        <v>145</v>
      </c>
      <c r="AA141" s="68">
        <f t="shared" si="315"/>
        <v>9.7262181593322001</v>
      </c>
      <c r="AB141" s="84" t="s">
        <v>196</v>
      </c>
      <c r="AC141">
        <f t="shared" si="317"/>
        <v>0.24</v>
      </c>
      <c r="AD141">
        <f t="shared" si="318"/>
        <v>99.200000000000017</v>
      </c>
      <c r="AE141">
        <f t="shared" si="319"/>
        <v>0</v>
      </c>
      <c r="AF141">
        <f t="shared" si="320"/>
        <v>85.014400000000009</v>
      </c>
      <c r="AG141">
        <f t="shared" si="321"/>
        <v>18.023052799999999</v>
      </c>
      <c r="AH141">
        <f t="shared" si="322"/>
        <v>64.951001600000012</v>
      </c>
      <c r="AI141">
        <f t="shared" si="323"/>
        <v>0</v>
      </c>
      <c r="AJ141">
        <f t="shared" si="324"/>
        <v>63.327226560000014</v>
      </c>
      <c r="AK141">
        <f t="shared" si="325"/>
        <v>0</v>
      </c>
      <c r="AL141">
        <f t="shared" si="326"/>
        <v>0</v>
      </c>
      <c r="AM141">
        <f t="shared" si="327"/>
        <v>0</v>
      </c>
    </row>
    <row r="142" spans="1:39" x14ac:dyDescent="0.25">
      <c r="A142" s="2" t="s">
        <v>10</v>
      </c>
      <c r="B142" s="1" t="s">
        <v>21</v>
      </c>
      <c r="C142" s="66">
        <v>0.12</v>
      </c>
      <c r="D142" s="66">
        <v>99.7</v>
      </c>
      <c r="E142" s="66">
        <v>7.899999999999999E-3</v>
      </c>
      <c r="F142" s="66">
        <v>99.3</v>
      </c>
      <c r="G142" s="66">
        <v>5.36</v>
      </c>
      <c r="H142" s="66">
        <v>92.600000000000009</v>
      </c>
      <c r="I142" s="66">
        <v>9.7900000000000009</v>
      </c>
      <c r="J142" s="85">
        <v>66.600000000000009</v>
      </c>
      <c r="K142" s="66">
        <v>13.900000000000002</v>
      </c>
      <c r="L142" s="66">
        <v>0</v>
      </c>
      <c r="M142" s="66">
        <v>0</v>
      </c>
      <c r="N142" s="75">
        <v>38093</v>
      </c>
      <c r="O142" s="67">
        <f t="shared" ref="O142:O205" si="338">C142*N142/100</f>
        <v>45.711599999999997</v>
      </c>
      <c r="P142" s="67">
        <f t="shared" ref="P142:P205" si="339">D142*N142/100</f>
        <v>37978.720999999998</v>
      </c>
      <c r="Q142" s="67">
        <f t="shared" ref="Q142:Q205" si="340">E142*P142/100</f>
        <v>3.0003189589999995</v>
      </c>
      <c r="R142" s="67">
        <f t="shared" ref="R142:R205" si="341">F142*P142/100</f>
        <v>37712.869952999994</v>
      </c>
      <c r="S142" s="67">
        <f t="shared" ref="S142:S205" si="342">G142*R142/100</f>
        <v>2021.4098294807998</v>
      </c>
      <c r="T142" s="67">
        <f t="shared" ref="T142:T205" si="343">H142*R142/100</f>
        <v>34922.117576477998</v>
      </c>
      <c r="U142" s="67">
        <f t="shared" ref="U142:U205" si="344">I142*T142/100</f>
        <v>3418.8753107371963</v>
      </c>
      <c r="V142" s="67">
        <f t="shared" ref="V142:V205" si="345">J142*T142/100</f>
        <v>23258.130305934348</v>
      </c>
      <c r="W142" s="76">
        <f t="shared" ref="W142:W205" si="346">K142*T142/100</f>
        <v>4854.1743431304421</v>
      </c>
      <c r="X142" s="67">
        <f t="shared" si="337"/>
        <v>0</v>
      </c>
      <c r="Y142" s="67">
        <f t="shared" si="337"/>
        <v>0</v>
      </c>
      <c r="Z142" s="68" t="s">
        <v>152</v>
      </c>
      <c r="AA142" s="68">
        <f t="shared" si="315"/>
        <v>15.217238290834525</v>
      </c>
      <c r="AB142" s="84" t="s">
        <v>196</v>
      </c>
      <c r="AC142">
        <f t="shared" si="317"/>
        <v>0.12</v>
      </c>
      <c r="AD142">
        <f t="shared" si="318"/>
        <v>99.699999999999989</v>
      </c>
      <c r="AE142">
        <f t="shared" si="319"/>
        <v>7.8762999999999993E-3</v>
      </c>
      <c r="AF142">
        <f t="shared" si="320"/>
        <v>99.002099999999984</v>
      </c>
      <c r="AG142">
        <f t="shared" si="321"/>
        <v>5.3065125599999989</v>
      </c>
      <c r="AH142">
        <f t="shared" si="322"/>
        <v>91.675944599999994</v>
      </c>
      <c r="AI142">
        <f t="shared" si="323"/>
        <v>8.9750749763400002</v>
      </c>
      <c r="AJ142">
        <f t="shared" si="324"/>
        <v>61.056179103600009</v>
      </c>
      <c r="AK142">
        <f t="shared" si="325"/>
        <v>12.742956299400001</v>
      </c>
      <c r="AL142">
        <f t="shared" si="326"/>
        <v>0</v>
      </c>
      <c r="AM142">
        <f t="shared" si="327"/>
        <v>0</v>
      </c>
    </row>
    <row r="143" spans="1:39" x14ac:dyDescent="0.25">
      <c r="A143" s="2" t="s">
        <v>10</v>
      </c>
      <c r="B143" s="1" t="s">
        <v>22</v>
      </c>
      <c r="C143" s="66">
        <v>0</v>
      </c>
      <c r="D143" s="66">
        <v>99.6</v>
      </c>
      <c r="E143" s="66">
        <v>0.43</v>
      </c>
      <c r="F143" s="66">
        <v>54.7</v>
      </c>
      <c r="G143" s="66">
        <v>7.870000000000001</v>
      </c>
      <c r="H143" s="66">
        <v>80.300000000000011</v>
      </c>
      <c r="I143" s="66">
        <v>36.299999999999997</v>
      </c>
      <c r="J143" s="85">
        <v>0.98</v>
      </c>
      <c r="K143" s="66">
        <v>32.4</v>
      </c>
      <c r="L143" s="66">
        <v>0</v>
      </c>
      <c r="M143" s="66">
        <v>0</v>
      </c>
      <c r="N143" s="75">
        <v>233</v>
      </c>
      <c r="O143" s="67">
        <f t="shared" si="338"/>
        <v>0</v>
      </c>
      <c r="P143" s="67">
        <f t="shared" si="339"/>
        <v>232.06799999999998</v>
      </c>
      <c r="Q143" s="67">
        <f t="shared" si="340"/>
        <v>0.9978923999999999</v>
      </c>
      <c r="R143" s="67">
        <f t="shared" si="341"/>
        <v>126.94119600000001</v>
      </c>
      <c r="S143" s="67">
        <f t="shared" si="342"/>
        <v>9.9902721252000006</v>
      </c>
      <c r="T143" s="67">
        <f t="shared" si="343"/>
        <v>101.93378038800002</v>
      </c>
      <c r="U143" s="67">
        <f t="shared" si="344"/>
        <v>37.001962280844005</v>
      </c>
      <c r="V143" s="67">
        <f t="shared" si="345"/>
        <v>0.99895104780240018</v>
      </c>
      <c r="W143" s="76">
        <f t="shared" si="346"/>
        <v>33.026544845712003</v>
      </c>
      <c r="X143" s="67">
        <f t="shared" si="337"/>
        <v>0</v>
      </c>
      <c r="Y143" s="67">
        <f t="shared" si="337"/>
        <v>0</v>
      </c>
      <c r="Z143" s="68" t="s">
        <v>145</v>
      </c>
      <c r="AA143" s="68">
        <f t="shared" si="315"/>
        <v>7.8641861446542798</v>
      </c>
      <c r="AB143" s="84" t="s">
        <v>196</v>
      </c>
      <c r="AC143">
        <f t="shared" si="317"/>
        <v>0</v>
      </c>
      <c r="AD143">
        <f t="shared" si="318"/>
        <v>99.6</v>
      </c>
      <c r="AE143">
        <f t="shared" si="319"/>
        <v>0.42827999999999999</v>
      </c>
      <c r="AF143">
        <f t="shared" si="320"/>
        <v>54.481200000000008</v>
      </c>
      <c r="AG143">
        <f t="shared" si="321"/>
        <v>4.2876704400000003</v>
      </c>
      <c r="AH143">
        <f t="shared" si="322"/>
        <v>43.74840360000001</v>
      </c>
      <c r="AI143">
        <f t="shared" si="323"/>
        <v>15.880670506800001</v>
      </c>
      <c r="AJ143">
        <f t="shared" si="324"/>
        <v>0.42873435528000009</v>
      </c>
      <c r="AK143">
        <f t="shared" si="325"/>
        <v>14.174482766400001</v>
      </c>
      <c r="AL143">
        <f t="shared" si="326"/>
        <v>0</v>
      </c>
      <c r="AM143">
        <f t="shared" si="327"/>
        <v>0</v>
      </c>
    </row>
    <row r="144" spans="1:39" x14ac:dyDescent="0.25">
      <c r="A144" s="2" t="s">
        <v>10</v>
      </c>
      <c r="B144" s="1" t="s">
        <v>23</v>
      </c>
      <c r="C144" s="66">
        <v>6.4000000000000001E-2</v>
      </c>
      <c r="D144" s="66">
        <v>99.9</v>
      </c>
      <c r="E144" s="66">
        <v>0</v>
      </c>
      <c r="F144" s="66">
        <v>99.2</v>
      </c>
      <c r="G144" s="66">
        <v>0.33999999999999997</v>
      </c>
      <c r="H144" s="66">
        <v>97.7</v>
      </c>
      <c r="I144" s="66">
        <v>14.799999999999999</v>
      </c>
      <c r="J144" s="85">
        <v>78.600000000000009</v>
      </c>
      <c r="K144" s="66">
        <v>0</v>
      </c>
      <c r="L144" s="66">
        <v>0</v>
      </c>
      <c r="M144" s="66">
        <v>0</v>
      </c>
      <c r="N144" s="75">
        <v>18750</v>
      </c>
      <c r="O144" s="67">
        <f t="shared" si="338"/>
        <v>12</v>
      </c>
      <c r="P144" s="67">
        <f t="shared" si="339"/>
        <v>18731.25</v>
      </c>
      <c r="Q144" s="67">
        <f t="shared" si="340"/>
        <v>0</v>
      </c>
      <c r="R144" s="67">
        <f t="shared" si="341"/>
        <v>18581.400000000001</v>
      </c>
      <c r="S144" s="67">
        <f t="shared" si="342"/>
        <v>63.176759999999994</v>
      </c>
      <c r="T144" s="67">
        <f t="shared" si="343"/>
        <v>18154.027800000003</v>
      </c>
      <c r="U144" s="67">
        <f t="shared" si="344"/>
        <v>2686.7961144000001</v>
      </c>
      <c r="V144" s="67">
        <f t="shared" si="345"/>
        <v>14269.065850800003</v>
      </c>
      <c r="W144" s="76">
        <f t="shared" si="346"/>
        <v>0</v>
      </c>
      <c r="X144" s="67">
        <f t="shared" si="337"/>
        <v>0</v>
      </c>
      <c r="Y144" s="67">
        <f t="shared" si="337"/>
        <v>0</v>
      </c>
      <c r="Z144" s="68" t="s">
        <v>152</v>
      </c>
      <c r="AA144" s="68">
        <f t="shared" si="315"/>
        <v>14.194602975157967</v>
      </c>
      <c r="AB144" s="84" t="s">
        <v>196</v>
      </c>
      <c r="AC144">
        <f t="shared" si="317"/>
        <v>6.4000000000000001E-2</v>
      </c>
      <c r="AD144">
        <f t="shared" si="318"/>
        <v>99.9</v>
      </c>
      <c r="AE144">
        <f t="shared" si="319"/>
        <v>0</v>
      </c>
      <c r="AF144">
        <f t="shared" si="320"/>
        <v>99.100800000000007</v>
      </c>
      <c r="AG144">
        <f t="shared" si="321"/>
        <v>0.33694271999999997</v>
      </c>
      <c r="AH144">
        <f t="shared" si="322"/>
        <v>96.821481600000013</v>
      </c>
      <c r="AI144">
        <f t="shared" si="323"/>
        <v>14.329579276800001</v>
      </c>
      <c r="AJ144">
        <f t="shared" si="324"/>
        <v>76.101684537600022</v>
      </c>
      <c r="AK144">
        <f t="shared" si="325"/>
        <v>0</v>
      </c>
      <c r="AL144">
        <f t="shared" si="326"/>
        <v>0</v>
      </c>
      <c r="AM144">
        <f t="shared" si="327"/>
        <v>0</v>
      </c>
    </row>
    <row r="145" spans="1:39" x14ac:dyDescent="0.25">
      <c r="A145" s="2" t="s">
        <v>10</v>
      </c>
      <c r="B145" s="1" t="s">
        <v>54</v>
      </c>
      <c r="C145" s="66">
        <v>0.79</v>
      </c>
      <c r="D145" s="66">
        <v>99</v>
      </c>
      <c r="E145" s="66">
        <v>0.27</v>
      </c>
      <c r="F145" s="66">
        <v>90.100000000000009</v>
      </c>
      <c r="G145" s="66">
        <v>22.2</v>
      </c>
      <c r="H145" s="66">
        <v>63.5</v>
      </c>
      <c r="I145" s="66">
        <v>29.2</v>
      </c>
      <c r="J145" s="85">
        <v>28.499999999999996</v>
      </c>
      <c r="K145" s="66">
        <v>26.5</v>
      </c>
      <c r="L145" s="66">
        <v>0</v>
      </c>
      <c r="M145" s="66">
        <v>0</v>
      </c>
      <c r="N145" s="75">
        <v>1525</v>
      </c>
      <c r="O145" s="67">
        <f t="shared" si="338"/>
        <v>12.047499999999999</v>
      </c>
      <c r="P145" s="67">
        <f t="shared" si="339"/>
        <v>1509.75</v>
      </c>
      <c r="Q145" s="67">
        <f t="shared" si="340"/>
        <v>4.0763250000000006</v>
      </c>
      <c r="R145" s="67">
        <f t="shared" si="341"/>
        <v>1360.28475</v>
      </c>
      <c r="S145" s="67">
        <f t="shared" si="342"/>
        <v>301.98321449999997</v>
      </c>
      <c r="T145" s="67">
        <f t="shared" si="343"/>
        <v>863.78081625000004</v>
      </c>
      <c r="U145" s="67">
        <f t="shared" si="344"/>
        <v>252.22399834500001</v>
      </c>
      <c r="V145" s="67">
        <f t="shared" si="345"/>
        <v>246.17753263124999</v>
      </c>
      <c r="W145" s="76">
        <f t="shared" si="346"/>
        <v>228.90191630625003</v>
      </c>
      <c r="X145" s="67">
        <f t="shared" si="337"/>
        <v>0</v>
      </c>
      <c r="Y145" s="67">
        <f t="shared" si="337"/>
        <v>0</v>
      </c>
      <c r="Z145" s="68" t="s">
        <v>150</v>
      </c>
      <c r="AA145" s="68">
        <f t="shared" si="315"/>
        <v>10.574593527337612</v>
      </c>
      <c r="AB145" s="84" t="s">
        <v>196</v>
      </c>
      <c r="AC145">
        <f t="shared" si="317"/>
        <v>0.78999999999999992</v>
      </c>
      <c r="AD145">
        <f t="shared" si="318"/>
        <v>99</v>
      </c>
      <c r="AE145">
        <f t="shared" si="319"/>
        <v>0.26730000000000004</v>
      </c>
      <c r="AF145">
        <f t="shared" si="320"/>
        <v>89.199000000000012</v>
      </c>
      <c r="AG145">
        <f t="shared" si="321"/>
        <v>19.802177999999998</v>
      </c>
      <c r="AH145">
        <f t="shared" si="322"/>
        <v>56.641365</v>
      </c>
      <c r="AI145">
        <f t="shared" si="323"/>
        <v>16.539278580000001</v>
      </c>
      <c r="AJ145">
        <f t="shared" si="324"/>
        <v>16.142789024999999</v>
      </c>
      <c r="AK145">
        <f t="shared" si="325"/>
        <v>15.009961725000002</v>
      </c>
      <c r="AL145">
        <f t="shared" si="326"/>
        <v>0</v>
      </c>
      <c r="AM145">
        <f t="shared" si="327"/>
        <v>0</v>
      </c>
    </row>
    <row r="146" spans="1:39" x14ac:dyDescent="0.25">
      <c r="A146" s="2" t="s">
        <v>10</v>
      </c>
      <c r="B146" s="1" t="s">
        <v>24</v>
      </c>
      <c r="C146" s="66">
        <v>0.13999999999999999</v>
      </c>
      <c r="D146" s="66">
        <v>99.9</v>
      </c>
      <c r="E146" s="66">
        <v>3.44</v>
      </c>
      <c r="F146" s="66">
        <v>89.9</v>
      </c>
      <c r="G146" s="66">
        <v>0.15</v>
      </c>
      <c r="H146" s="66">
        <v>98.3</v>
      </c>
      <c r="I146" s="66">
        <v>25.1</v>
      </c>
      <c r="J146" s="85">
        <v>12.9</v>
      </c>
      <c r="K146" s="66">
        <v>24</v>
      </c>
      <c r="L146" s="66">
        <v>0</v>
      </c>
      <c r="M146" s="66">
        <v>0</v>
      </c>
      <c r="N146" s="75">
        <v>727</v>
      </c>
      <c r="O146" s="67">
        <f t="shared" si="338"/>
        <v>1.0177999999999998</v>
      </c>
      <c r="P146" s="67">
        <f t="shared" si="339"/>
        <v>726.27300000000002</v>
      </c>
      <c r="Q146" s="67">
        <f t="shared" si="340"/>
        <v>24.983791199999999</v>
      </c>
      <c r="R146" s="67">
        <f t="shared" si="341"/>
        <v>652.91942700000004</v>
      </c>
      <c r="S146" s="67">
        <f t="shared" si="342"/>
        <v>0.97937914050000008</v>
      </c>
      <c r="T146" s="67">
        <f t="shared" si="343"/>
        <v>641.819796741</v>
      </c>
      <c r="U146" s="67">
        <f t="shared" si="344"/>
        <v>161.096768981991</v>
      </c>
      <c r="V146" s="67">
        <f t="shared" si="345"/>
        <v>82.794753779589016</v>
      </c>
      <c r="W146" s="76">
        <f t="shared" si="346"/>
        <v>154.03675121783999</v>
      </c>
      <c r="X146" s="67">
        <f t="shared" si="337"/>
        <v>0</v>
      </c>
      <c r="Y146" s="67">
        <f t="shared" si="337"/>
        <v>0</v>
      </c>
      <c r="Z146" s="68" t="s">
        <v>145</v>
      </c>
      <c r="AA146" s="68">
        <f t="shared" si="315"/>
        <v>9.5058115539195942</v>
      </c>
      <c r="AB146" s="84" t="s">
        <v>196</v>
      </c>
      <c r="AC146">
        <f t="shared" si="317"/>
        <v>0.13999999999999999</v>
      </c>
      <c r="AD146">
        <f t="shared" si="318"/>
        <v>99.9</v>
      </c>
      <c r="AE146">
        <f t="shared" si="319"/>
        <v>3.4365599999999996</v>
      </c>
      <c r="AF146">
        <f t="shared" si="320"/>
        <v>89.810100000000006</v>
      </c>
      <c r="AG146">
        <f t="shared" si="321"/>
        <v>0.13471515000000001</v>
      </c>
      <c r="AH146">
        <f t="shared" si="322"/>
        <v>88.283328299999994</v>
      </c>
      <c r="AI146">
        <f t="shared" si="323"/>
        <v>22.1591154033</v>
      </c>
      <c r="AJ146">
        <f t="shared" si="324"/>
        <v>11.388549350700002</v>
      </c>
      <c r="AK146">
        <f t="shared" si="325"/>
        <v>21.187998791999998</v>
      </c>
      <c r="AL146">
        <f t="shared" si="326"/>
        <v>0</v>
      </c>
      <c r="AM146">
        <f t="shared" si="327"/>
        <v>0</v>
      </c>
    </row>
    <row r="147" spans="1:39" x14ac:dyDescent="0.25">
      <c r="A147" s="2" t="s">
        <v>10</v>
      </c>
      <c r="B147" s="1" t="s">
        <v>90</v>
      </c>
      <c r="C147" s="66">
        <v>0.21</v>
      </c>
      <c r="D147" s="66">
        <v>99.1</v>
      </c>
      <c r="E147" s="66">
        <v>0</v>
      </c>
      <c r="F147" s="66">
        <v>93.2</v>
      </c>
      <c r="G147" s="66">
        <v>7.86</v>
      </c>
      <c r="H147" s="66">
        <v>88.1</v>
      </c>
      <c r="I147" s="66">
        <v>0.33999999999999997</v>
      </c>
      <c r="J147" s="85">
        <v>99.3</v>
      </c>
      <c r="K147" s="66">
        <v>0</v>
      </c>
      <c r="L147" s="66">
        <v>0</v>
      </c>
      <c r="M147" s="66">
        <v>0</v>
      </c>
      <c r="N147" s="75">
        <v>1461</v>
      </c>
      <c r="O147" s="67">
        <f t="shared" si="338"/>
        <v>3.0680999999999998</v>
      </c>
      <c r="P147" s="67">
        <f t="shared" si="339"/>
        <v>1447.8510000000001</v>
      </c>
      <c r="Q147" s="67">
        <f t="shared" si="340"/>
        <v>0</v>
      </c>
      <c r="R147" s="67">
        <f t="shared" si="341"/>
        <v>1349.3971320000003</v>
      </c>
      <c r="S147" s="67">
        <f t="shared" si="342"/>
        <v>106.06261457520003</v>
      </c>
      <c r="T147" s="67">
        <f t="shared" si="343"/>
        <v>1188.8188732920003</v>
      </c>
      <c r="U147" s="67">
        <f t="shared" si="344"/>
        <v>4.0419841691928005</v>
      </c>
      <c r="V147" s="67">
        <f t="shared" si="345"/>
        <v>1180.4971411789563</v>
      </c>
      <c r="W147" s="76">
        <f t="shared" si="346"/>
        <v>0</v>
      </c>
      <c r="X147" s="67">
        <f t="shared" si="337"/>
        <v>0</v>
      </c>
      <c r="Y147" s="67">
        <f t="shared" si="337"/>
        <v>0</v>
      </c>
      <c r="Z147" s="68" t="s">
        <v>150</v>
      </c>
      <c r="AA147" s="68">
        <f t="shared" si="315"/>
        <v>10.512740462803499</v>
      </c>
      <c r="AB147" s="84" t="s">
        <v>196</v>
      </c>
      <c r="AC147">
        <f t="shared" si="317"/>
        <v>0.21</v>
      </c>
      <c r="AD147">
        <f t="shared" si="318"/>
        <v>99.100000000000009</v>
      </c>
      <c r="AE147">
        <f t="shared" si="319"/>
        <v>0</v>
      </c>
      <c r="AF147">
        <f t="shared" si="320"/>
        <v>92.361200000000025</v>
      </c>
      <c r="AG147">
        <f t="shared" si="321"/>
        <v>7.2595903200000018</v>
      </c>
      <c r="AH147">
        <f t="shared" si="322"/>
        <v>81.370217200000013</v>
      </c>
      <c r="AI147">
        <f t="shared" si="323"/>
        <v>0.27665873848000005</v>
      </c>
      <c r="AJ147">
        <f t="shared" si="324"/>
        <v>80.800625679600017</v>
      </c>
      <c r="AK147">
        <f t="shared" si="325"/>
        <v>0</v>
      </c>
      <c r="AL147">
        <f t="shared" si="326"/>
        <v>0</v>
      </c>
      <c r="AM147">
        <f t="shared" si="327"/>
        <v>0</v>
      </c>
    </row>
    <row r="148" spans="1:39" x14ac:dyDescent="0.25">
      <c r="A148" s="2" t="s">
        <v>10</v>
      </c>
      <c r="B148" s="1" t="s">
        <v>55</v>
      </c>
      <c r="C148" s="66">
        <v>0.1</v>
      </c>
      <c r="D148" s="66">
        <v>99.9</v>
      </c>
      <c r="E148" s="66">
        <v>0</v>
      </c>
      <c r="F148" s="66">
        <v>98.8</v>
      </c>
      <c r="G148" s="66">
        <v>4.1500000000000004</v>
      </c>
      <c r="H148" s="66">
        <v>94.1</v>
      </c>
      <c r="I148" s="66">
        <v>0.72</v>
      </c>
      <c r="J148" s="85">
        <v>99.1</v>
      </c>
      <c r="K148" s="66">
        <v>0</v>
      </c>
      <c r="L148" s="66">
        <v>0</v>
      </c>
      <c r="M148" s="66">
        <v>0</v>
      </c>
      <c r="N148" s="75">
        <v>4912</v>
      </c>
      <c r="O148" s="67">
        <f t="shared" si="338"/>
        <v>4.9120000000000008</v>
      </c>
      <c r="P148" s="67">
        <f t="shared" si="339"/>
        <v>4907.0880000000006</v>
      </c>
      <c r="Q148" s="67">
        <f t="shared" si="340"/>
        <v>0</v>
      </c>
      <c r="R148" s="67">
        <f t="shared" si="341"/>
        <v>4848.2029440000006</v>
      </c>
      <c r="S148" s="67">
        <f t="shared" si="342"/>
        <v>201.20042217600002</v>
      </c>
      <c r="T148" s="67">
        <f t="shared" si="343"/>
        <v>4562.1589703040008</v>
      </c>
      <c r="U148" s="67">
        <f t="shared" si="344"/>
        <v>32.847544586188803</v>
      </c>
      <c r="V148" s="67">
        <f t="shared" si="345"/>
        <v>4521.0995395712644</v>
      </c>
      <c r="W148" s="76">
        <f t="shared" si="346"/>
        <v>0</v>
      </c>
      <c r="X148" s="67">
        <f t="shared" si="337"/>
        <v>0</v>
      </c>
      <c r="Y148" s="67">
        <f t="shared" si="337"/>
        <v>0</v>
      </c>
      <c r="Z148" s="68" t="s">
        <v>150</v>
      </c>
      <c r="AA148" s="68">
        <f t="shared" si="315"/>
        <v>12.26209484537018</v>
      </c>
      <c r="AB148" s="84" t="s">
        <v>196</v>
      </c>
      <c r="AC148">
        <f t="shared" si="317"/>
        <v>0.10000000000000002</v>
      </c>
      <c r="AD148">
        <f t="shared" si="318"/>
        <v>99.9</v>
      </c>
      <c r="AE148">
        <f t="shared" si="319"/>
        <v>0</v>
      </c>
      <c r="AF148">
        <f t="shared" si="320"/>
        <v>98.701200000000014</v>
      </c>
      <c r="AG148">
        <f t="shared" si="321"/>
        <v>4.0960998000000002</v>
      </c>
      <c r="AH148">
        <f t="shared" si="322"/>
        <v>92.877829200000022</v>
      </c>
      <c r="AI148">
        <f t="shared" si="323"/>
        <v>0.66872037024000008</v>
      </c>
      <c r="AJ148">
        <f t="shared" si="324"/>
        <v>92.04192873720001</v>
      </c>
      <c r="AK148">
        <f t="shared" si="325"/>
        <v>0</v>
      </c>
      <c r="AL148">
        <f t="shared" si="326"/>
        <v>0</v>
      </c>
      <c r="AM148">
        <f t="shared" si="327"/>
        <v>0</v>
      </c>
    </row>
    <row r="149" spans="1:39" x14ac:dyDescent="0.25">
      <c r="A149" s="2" t="s">
        <v>10</v>
      </c>
      <c r="B149" s="1" t="s">
        <v>25</v>
      </c>
      <c r="C149" s="66">
        <v>6.8999999999999992E-2</v>
      </c>
      <c r="D149" s="66">
        <v>99.9</v>
      </c>
      <c r="E149" s="66">
        <v>0</v>
      </c>
      <c r="F149" s="66">
        <v>98.3</v>
      </c>
      <c r="G149" s="66">
        <v>0.3</v>
      </c>
      <c r="H149" s="66">
        <v>96.399999999999991</v>
      </c>
      <c r="I149" s="66">
        <v>79.7</v>
      </c>
      <c r="J149" s="85">
        <v>10</v>
      </c>
      <c r="K149" s="66">
        <v>2</v>
      </c>
      <c r="L149" s="66">
        <v>0</v>
      </c>
      <c r="M149" s="66">
        <v>0</v>
      </c>
      <c r="N149" s="75">
        <v>5823</v>
      </c>
      <c r="O149" s="67">
        <f t="shared" si="338"/>
        <v>4.0178699999999994</v>
      </c>
      <c r="P149" s="67">
        <f t="shared" si="339"/>
        <v>5817.1770000000006</v>
      </c>
      <c r="Q149" s="67">
        <f t="shared" si="340"/>
        <v>0</v>
      </c>
      <c r="R149" s="67">
        <f t="shared" si="341"/>
        <v>5718.2849910000004</v>
      </c>
      <c r="S149" s="67">
        <f t="shared" si="342"/>
        <v>17.154854973000003</v>
      </c>
      <c r="T149" s="67">
        <f t="shared" si="343"/>
        <v>5512.4267313240007</v>
      </c>
      <c r="U149" s="67">
        <f t="shared" si="344"/>
        <v>4393.4041048652289</v>
      </c>
      <c r="V149" s="67">
        <f t="shared" si="345"/>
        <v>551.24267313240011</v>
      </c>
      <c r="W149" s="76">
        <f t="shared" si="346"/>
        <v>110.24853462648001</v>
      </c>
      <c r="X149" s="67">
        <f t="shared" si="337"/>
        <v>0</v>
      </c>
      <c r="Y149" s="67">
        <f t="shared" si="337"/>
        <v>0</v>
      </c>
      <c r="Z149" s="68" t="s">
        <v>150</v>
      </c>
      <c r="AA149" s="68">
        <f t="shared" si="315"/>
        <v>12.50754690343482</v>
      </c>
      <c r="AB149" s="84" t="s">
        <v>196</v>
      </c>
      <c r="AC149">
        <f t="shared" si="317"/>
        <v>6.8999999999999992E-2</v>
      </c>
      <c r="AD149">
        <f t="shared" si="318"/>
        <v>99.9</v>
      </c>
      <c r="AE149">
        <f t="shared" si="319"/>
        <v>0</v>
      </c>
      <c r="AF149">
        <f t="shared" si="320"/>
        <v>98.201700000000002</v>
      </c>
      <c r="AG149">
        <f t="shared" si="321"/>
        <v>0.29460510000000001</v>
      </c>
      <c r="AH149">
        <f t="shared" si="322"/>
        <v>94.666438800000009</v>
      </c>
      <c r="AI149">
        <f t="shared" si="323"/>
        <v>75.449151723600011</v>
      </c>
      <c r="AJ149">
        <f t="shared" si="324"/>
        <v>9.4666438800000012</v>
      </c>
      <c r="AK149">
        <f t="shared" si="325"/>
        <v>1.8933287760000002</v>
      </c>
      <c r="AL149">
        <f t="shared" si="326"/>
        <v>0</v>
      </c>
      <c r="AM149">
        <f t="shared" si="327"/>
        <v>0</v>
      </c>
    </row>
    <row r="150" spans="1:39" x14ac:dyDescent="0.25">
      <c r="A150" s="2" t="s">
        <v>10</v>
      </c>
      <c r="B150" s="1" t="s">
        <v>26</v>
      </c>
      <c r="C150" s="66">
        <v>1</v>
      </c>
      <c r="D150" s="66">
        <v>98.3</v>
      </c>
      <c r="E150" s="66">
        <v>0</v>
      </c>
      <c r="F150" s="66">
        <v>95.7</v>
      </c>
      <c r="G150" s="66">
        <v>49.5</v>
      </c>
      <c r="H150" s="66">
        <v>33.800000000000004</v>
      </c>
      <c r="I150" s="66">
        <v>6.1899999999999995</v>
      </c>
      <c r="J150" s="85">
        <v>87.5</v>
      </c>
      <c r="K150" s="66">
        <v>0</v>
      </c>
      <c r="L150" s="66">
        <v>0</v>
      </c>
      <c r="M150" s="66">
        <v>0</v>
      </c>
      <c r="N150" s="75">
        <v>2488</v>
      </c>
      <c r="O150" s="67">
        <f t="shared" si="338"/>
        <v>24.88</v>
      </c>
      <c r="P150" s="67">
        <f t="shared" si="339"/>
        <v>2445.7039999999997</v>
      </c>
      <c r="Q150" s="67">
        <f t="shared" si="340"/>
        <v>0</v>
      </c>
      <c r="R150" s="67">
        <f t="shared" si="341"/>
        <v>2340.538728</v>
      </c>
      <c r="S150" s="67">
        <f t="shared" si="342"/>
        <v>1158.56667036</v>
      </c>
      <c r="T150" s="67">
        <f t="shared" si="343"/>
        <v>791.10209006400009</v>
      </c>
      <c r="U150" s="67">
        <f t="shared" si="344"/>
        <v>48.969219374961604</v>
      </c>
      <c r="V150" s="67">
        <f t="shared" si="345"/>
        <v>692.21432880600014</v>
      </c>
      <c r="W150" s="76">
        <f t="shared" si="346"/>
        <v>0</v>
      </c>
      <c r="X150" s="67">
        <f t="shared" si="337"/>
        <v>0</v>
      </c>
      <c r="Y150" s="67">
        <f t="shared" si="337"/>
        <v>0</v>
      </c>
      <c r="Z150" s="68" t="s">
        <v>150</v>
      </c>
      <c r="AA150" s="68">
        <f t="shared" si="315"/>
        <v>11.280770770130603</v>
      </c>
      <c r="AB150" s="84" t="s">
        <v>196</v>
      </c>
      <c r="AC150">
        <f t="shared" si="317"/>
        <v>1</v>
      </c>
      <c r="AD150">
        <f t="shared" si="318"/>
        <v>98.299999999999983</v>
      </c>
      <c r="AE150">
        <f t="shared" si="319"/>
        <v>0</v>
      </c>
      <c r="AF150">
        <f t="shared" si="320"/>
        <v>94.073099999999997</v>
      </c>
      <c r="AG150">
        <f t="shared" si="321"/>
        <v>46.566184499999999</v>
      </c>
      <c r="AH150">
        <f t="shared" si="322"/>
        <v>31.7967078</v>
      </c>
      <c r="AI150">
        <f t="shared" si="323"/>
        <v>1.9682162128200003</v>
      </c>
      <c r="AJ150">
        <f t="shared" si="324"/>
        <v>27.822119325000006</v>
      </c>
      <c r="AK150">
        <f t="shared" si="325"/>
        <v>0</v>
      </c>
      <c r="AL150">
        <f t="shared" si="326"/>
        <v>0</v>
      </c>
      <c r="AM150">
        <f t="shared" si="327"/>
        <v>0</v>
      </c>
    </row>
    <row r="151" spans="1:39" x14ac:dyDescent="0.25">
      <c r="A151" s="2" t="s">
        <v>10</v>
      </c>
      <c r="B151" s="1" t="s">
        <v>75</v>
      </c>
      <c r="C151" s="66">
        <v>0</v>
      </c>
      <c r="D151" s="66">
        <v>100</v>
      </c>
      <c r="E151" s="66">
        <v>0</v>
      </c>
      <c r="F151" s="66">
        <v>98.2</v>
      </c>
      <c r="G151" s="66">
        <v>0.88</v>
      </c>
      <c r="H151" s="66">
        <v>98.8</v>
      </c>
      <c r="I151" s="66">
        <v>0.45999999999999996</v>
      </c>
      <c r="J151" s="85">
        <v>99.2</v>
      </c>
      <c r="K151" s="66">
        <v>0</v>
      </c>
      <c r="L151" s="66">
        <v>0</v>
      </c>
      <c r="M151" s="66">
        <v>0</v>
      </c>
      <c r="N151" s="75">
        <v>4729</v>
      </c>
      <c r="O151" s="67">
        <f t="shared" si="338"/>
        <v>0</v>
      </c>
      <c r="P151" s="67">
        <f t="shared" si="339"/>
        <v>4729</v>
      </c>
      <c r="Q151" s="67">
        <f t="shared" si="340"/>
        <v>0</v>
      </c>
      <c r="R151" s="67">
        <f t="shared" si="341"/>
        <v>4643.8779999999997</v>
      </c>
      <c r="S151" s="67">
        <f t="shared" si="342"/>
        <v>40.866126399999999</v>
      </c>
      <c r="T151" s="67">
        <f t="shared" si="343"/>
        <v>4588.1514639999996</v>
      </c>
      <c r="U151" s="67">
        <f t="shared" si="344"/>
        <v>21.105496734399996</v>
      </c>
      <c r="V151" s="67">
        <f t="shared" si="345"/>
        <v>4551.4462522880003</v>
      </c>
      <c r="W151" s="76">
        <f t="shared" si="346"/>
        <v>0</v>
      </c>
      <c r="X151" s="67">
        <f t="shared" si="337"/>
        <v>0</v>
      </c>
      <c r="Y151" s="67">
        <f t="shared" si="337"/>
        <v>0</v>
      </c>
      <c r="Z151" s="68" t="s">
        <v>150</v>
      </c>
      <c r="AA151" s="68">
        <f t="shared" si="315"/>
        <v>12.207319426457804</v>
      </c>
      <c r="AB151" s="84" t="s">
        <v>196</v>
      </c>
      <c r="AC151">
        <f t="shared" si="317"/>
        <v>0</v>
      </c>
      <c r="AD151">
        <f t="shared" si="318"/>
        <v>100</v>
      </c>
      <c r="AE151">
        <f t="shared" si="319"/>
        <v>0</v>
      </c>
      <c r="AF151">
        <f t="shared" si="320"/>
        <v>98.2</v>
      </c>
      <c r="AG151">
        <f t="shared" si="321"/>
        <v>0.86415999999999993</v>
      </c>
      <c r="AH151">
        <f t="shared" si="322"/>
        <v>97.021599999999992</v>
      </c>
      <c r="AI151">
        <f t="shared" si="323"/>
        <v>0.44629935999999987</v>
      </c>
      <c r="AJ151">
        <f t="shared" si="324"/>
        <v>96.245427200000009</v>
      </c>
      <c r="AK151">
        <f t="shared" si="325"/>
        <v>0</v>
      </c>
      <c r="AL151">
        <f t="shared" si="326"/>
        <v>0</v>
      </c>
      <c r="AM151">
        <f t="shared" si="327"/>
        <v>0</v>
      </c>
    </row>
    <row r="152" spans="1:39" x14ac:dyDescent="0.25">
      <c r="A152" s="2" t="s">
        <v>10</v>
      </c>
      <c r="B152" s="1" t="s">
        <v>27</v>
      </c>
      <c r="C152" s="66">
        <v>0</v>
      </c>
      <c r="D152" s="66">
        <v>100</v>
      </c>
      <c r="E152" s="66">
        <v>0</v>
      </c>
      <c r="F152" s="66">
        <v>98.3</v>
      </c>
      <c r="G152" s="66">
        <v>0.3</v>
      </c>
      <c r="H152" s="66">
        <v>99.5</v>
      </c>
      <c r="I152" s="66">
        <v>4.41</v>
      </c>
      <c r="J152" s="85">
        <v>94.399999999999991</v>
      </c>
      <c r="K152" s="66">
        <v>0</v>
      </c>
      <c r="L152" s="66">
        <v>0</v>
      </c>
      <c r="M152" s="66">
        <v>0</v>
      </c>
      <c r="N152" s="75">
        <v>6146</v>
      </c>
      <c r="O152" s="67">
        <f t="shared" si="338"/>
        <v>0</v>
      </c>
      <c r="P152" s="67">
        <f t="shared" si="339"/>
        <v>6146</v>
      </c>
      <c r="Q152" s="67">
        <f t="shared" si="340"/>
        <v>0</v>
      </c>
      <c r="R152" s="67">
        <f t="shared" si="341"/>
        <v>6041.5179999999991</v>
      </c>
      <c r="S152" s="67">
        <f t="shared" si="342"/>
        <v>18.124553999999996</v>
      </c>
      <c r="T152" s="67">
        <f t="shared" si="343"/>
        <v>6011.31041</v>
      </c>
      <c r="U152" s="67">
        <f t="shared" si="344"/>
        <v>265.09878908100001</v>
      </c>
      <c r="V152" s="67">
        <f t="shared" si="345"/>
        <v>5674.6770270399993</v>
      </c>
      <c r="W152" s="76">
        <f t="shared" si="346"/>
        <v>0</v>
      </c>
      <c r="X152" s="67">
        <f t="shared" si="337"/>
        <v>0</v>
      </c>
      <c r="Y152" s="67">
        <f t="shared" si="337"/>
        <v>0</v>
      </c>
      <c r="Z152" s="68" t="s">
        <v>150</v>
      </c>
      <c r="AA152" s="68">
        <f t="shared" si="315"/>
        <v>12.585432051592964</v>
      </c>
      <c r="AB152" s="84" t="s">
        <v>196</v>
      </c>
      <c r="AC152">
        <f t="shared" si="317"/>
        <v>0</v>
      </c>
      <c r="AD152">
        <f t="shared" si="318"/>
        <v>100</v>
      </c>
      <c r="AE152">
        <f t="shared" si="319"/>
        <v>0</v>
      </c>
      <c r="AF152">
        <f t="shared" si="320"/>
        <v>98.299999999999983</v>
      </c>
      <c r="AG152">
        <f t="shared" si="321"/>
        <v>0.29489999999999994</v>
      </c>
      <c r="AH152">
        <f t="shared" si="322"/>
        <v>97.808499999999995</v>
      </c>
      <c r="AI152">
        <f t="shared" si="323"/>
        <v>4.3133548499999996</v>
      </c>
      <c r="AJ152">
        <f t="shared" si="324"/>
        <v>92.331223999999992</v>
      </c>
      <c r="AK152">
        <f t="shared" si="325"/>
        <v>0</v>
      </c>
      <c r="AL152">
        <f t="shared" si="326"/>
        <v>0</v>
      </c>
      <c r="AM152">
        <f t="shared" si="327"/>
        <v>0</v>
      </c>
    </row>
    <row r="153" spans="1:39" x14ac:dyDescent="0.25">
      <c r="A153" s="2" t="s">
        <v>10</v>
      </c>
      <c r="B153" s="1" t="s">
        <v>28</v>
      </c>
      <c r="C153" s="66">
        <v>5.5E-2</v>
      </c>
      <c r="D153" s="66">
        <v>99.9</v>
      </c>
      <c r="E153" s="66">
        <v>0</v>
      </c>
      <c r="F153" s="66">
        <v>97.8</v>
      </c>
      <c r="G153" s="66">
        <v>1.67</v>
      </c>
      <c r="H153" s="66">
        <v>88.6</v>
      </c>
      <c r="I153" s="66">
        <v>36.5</v>
      </c>
      <c r="J153" s="85">
        <v>45</v>
      </c>
      <c r="K153" s="66">
        <v>0</v>
      </c>
      <c r="L153" s="66">
        <v>0</v>
      </c>
      <c r="M153" s="66">
        <v>0</v>
      </c>
      <c r="N153" s="75">
        <v>3624</v>
      </c>
      <c r="O153" s="67">
        <f t="shared" si="338"/>
        <v>1.9931999999999999</v>
      </c>
      <c r="P153" s="67">
        <f t="shared" si="339"/>
        <v>3620.3760000000002</v>
      </c>
      <c r="Q153" s="67">
        <f t="shared" si="340"/>
        <v>0</v>
      </c>
      <c r="R153" s="67">
        <f t="shared" si="341"/>
        <v>3540.7277280000003</v>
      </c>
      <c r="S153" s="67">
        <f t="shared" si="342"/>
        <v>59.130153057599998</v>
      </c>
      <c r="T153" s="67">
        <f t="shared" si="343"/>
        <v>3137.0847670080002</v>
      </c>
      <c r="U153" s="67">
        <f t="shared" si="344"/>
        <v>1145.0359399579202</v>
      </c>
      <c r="V153" s="67">
        <f t="shared" si="345"/>
        <v>1411.6881451536001</v>
      </c>
      <c r="W153" s="76">
        <f t="shared" si="346"/>
        <v>0</v>
      </c>
      <c r="X153" s="67">
        <f t="shared" si="337"/>
        <v>0</v>
      </c>
      <c r="Y153" s="67">
        <f t="shared" si="337"/>
        <v>0</v>
      </c>
      <c r="Z153" s="68" t="s">
        <v>150</v>
      </c>
      <c r="AA153" s="68">
        <f t="shared" si="315"/>
        <v>11.823367240046236</v>
      </c>
      <c r="AB153" s="84" t="s">
        <v>196</v>
      </c>
      <c r="AC153">
        <f t="shared" si="317"/>
        <v>5.4999999999999993E-2</v>
      </c>
      <c r="AD153">
        <f t="shared" si="318"/>
        <v>99.9</v>
      </c>
      <c r="AE153">
        <f t="shared" si="319"/>
        <v>0</v>
      </c>
      <c r="AF153">
        <f t="shared" si="320"/>
        <v>97.702200000000005</v>
      </c>
      <c r="AG153">
        <f t="shared" si="321"/>
        <v>1.6316267400000002</v>
      </c>
      <c r="AH153">
        <f t="shared" si="322"/>
        <v>86.564149200000003</v>
      </c>
      <c r="AI153">
        <f t="shared" si="323"/>
        <v>31.595914458000003</v>
      </c>
      <c r="AJ153">
        <f t="shared" si="324"/>
        <v>38.953867140000007</v>
      </c>
      <c r="AK153">
        <f t="shared" si="325"/>
        <v>0</v>
      </c>
      <c r="AL153">
        <f t="shared" si="326"/>
        <v>0</v>
      </c>
      <c r="AM153">
        <f t="shared" si="327"/>
        <v>0</v>
      </c>
    </row>
    <row r="154" spans="1:39" x14ac:dyDescent="0.25">
      <c r="A154" s="2" t="s">
        <v>10</v>
      </c>
      <c r="B154" s="1" t="s">
        <v>57</v>
      </c>
      <c r="C154" s="66">
        <v>0.67</v>
      </c>
      <c r="D154" s="66">
        <v>99</v>
      </c>
      <c r="E154" s="66">
        <v>0</v>
      </c>
      <c r="F154" s="66">
        <v>95.7</v>
      </c>
      <c r="G154" s="66">
        <v>32.800000000000004</v>
      </c>
      <c r="H154" s="66">
        <v>59.099999999999994</v>
      </c>
      <c r="I154" s="66">
        <v>6.9</v>
      </c>
      <c r="J154" s="85">
        <v>87.7</v>
      </c>
      <c r="K154" s="66">
        <v>0</v>
      </c>
      <c r="L154" s="66">
        <v>0</v>
      </c>
      <c r="M154" s="66">
        <v>0</v>
      </c>
      <c r="N154" s="75">
        <v>4474</v>
      </c>
      <c r="O154" s="67">
        <f t="shared" si="338"/>
        <v>29.975800000000003</v>
      </c>
      <c r="P154" s="67">
        <f t="shared" si="339"/>
        <v>4429.26</v>
      </c>
      <c r="Q154" s="67">
        <f t="shared" si="340"/>
        <v>0</v>
      </c>
      <c r="R154" s="67">
        <f t="shared" si="341"/>
        <v>4238.8018200000006</v>
      </c>
      <c r="S154" s="67">
        <f t="shared" si="342"/>
        <v>1390.3269969600003</v>
      </c>
      <c r="T154" s="67">
        <f t="shared" si="343"/>
        <v>2505.1318756199998</v>
      </c>
      <c r="U154" s="67">
        <f t="shared" si="344"/>
        <v>172.85409941777999</v>
      </c>
      <c r="V154" s="67">
        <f t="shared" si="345"/>
        <v>2197.0006549187401</v>
      </c>
      <c r="W154" s="76">
        <f t="shared" si="346"/>
        <v>0</v>
      </c>
      <c r="X154" s="67">
        <f t="shared" ref="X154:Y166" si="347">L154*W154/100</f>
        <v>0</v>
      </c>
      <c r="Y154" s="67">
        <f t="shared" si="347"/>
        <v>0</v>
      </c>
      <c r="Z154" s="68" t="s">
        <v>150</v>
      </c>
      <c r="AA154" s="68">
        <f t="shared" si="315"/>
        <v>12.12734954105912</v>
      </c>
      <c r="AB154" s="84" t="s">
        <v>196</v>
      </c>
      <c r="AC154">
        <f t="shared" si="317"/>
        <v>0.67000000000000015</v>
      </c>
      <c r="AD154">
        <f t="shared" si="318"/>
        <v>99.000000000000014</v>
      </c>
      <c r="AE154">
        <f t="shared" si="319"/>
        <v>0</v>
      </c>
      <c r="AF154">
        <f t="shared" si="320"/>
        <v>94.743000000000009</v>
      </c>
      <c r="AG154">
        <f t="shared" si="321"/>
        <v>31.075704000000009</v>
      </c>
      <c r="AH154">
        <f t="shared" si="322"/>
        <v>55.993112999999994</v>
      </c>
      <c r="AI154">
        <f t="shared" si="323"/>
        <v>3.8635247970000002</v>
      </c>
      <c r="AJ154">
        <f t="shared" si="324"/>
        <v>49.105960101000001</v>
      </c>
      <c r="AK154">
        <f t="shared" si="325"/>
        <v>0</v>
      </c>
      <c r="AL154">
        <f t="shared" si="326"/>
        <v>0</v>
      </c>
      <c r="AM154">
        <f t="shared" si="327"/>
        <v>0</v>
      </c>
    </row>
    <row r="155" spans="1:39" x14ac:dyDescent="0.25">
      <c r="A155" s="2" t="s">
        <v>10</v>
      </c>
      <c r="B155" s="1" t="s">
        <v>30</v>
      </c>
      <c r="C155" s="66">
        <v>0</v>
      </c>
      <c r="D155" s="66">
        <v>99.9</v>
      </c>
      <c r="E155" s="66">
        <v>0</v>
      </c>
      <c r="F155" s="66">
        <v>87.4</v>
      </c>
      <c r="G155" s="66">
        <v>3.93</v>
      </c>
      <c r="H155" s="66">
        <v>87.7</v>
      </c>
      <c r="I155" s="66">
        <v>57.999999999999993</v>
      </c>
      <c r="J155" s="85">
        <v>30</v>
      </c>
      <c r="K155" s="66">
        <v>0</v>
      </c>
      <c r="L155" s="66">
        <v>0</v>
      </c>
      <c r="M155" s="66">
        <v>0</v>
      </c>
      <c r="N155" s="75">
        <v>700</v>
      </c>
      <c r="O155" s="67">
        <f t="shared" si="338"/>
        <v>0</v>
      </c>
      <c r="P155" s="67">
        <f t="shared" si="339"/>
        <v>699.3</v>
      </c>
      <c r="Q155" s="67">
        <f t="shared" si="340"/>
        <v>0</v>
      </c>
      <c r="R155" s="67">
        <f t="shared" si="341"/>
        <v>611.18820000000005</v>
      </c>
      <c r="S155" s="67">
        <f t="shared" si="342"/>
        <v>24.019696260000003</v>
      </c>
      <c r="T155" s="67">
        <f t="shared" si="343"/>
        <v>536.01205140000002</v>
      </c>
      <c r="U155" s="67">
        <f t="shared" si="344"/>
        <v>310.88698981199997</v>
      </c>
      <c r="V155" s="67">
        <f t="shared" si="345"/>
        <v>160.80361542</v>
      </c>
      <c r="W155" s="76">
        <f t="shared" si="346"/>
        <v>0</v>
      </c>
      <c r="X155" s="67">
        <f t="shared" si="347"/>
        <v>0</v>
      </c>
      <c r="Y155" s="67">
        <f t="shared" si="347"/>
        <v>0</v>
      </c>
      <c r="Z155" s="68" t="s">
        <v>145</v>
      </c>
      <c r="AA155" s="68">
        <f t="shared" si="315"/>
        <v>9.451211111832329</v>
      </c>
      <c r="AB155" s="84" t="s">
        <v>196</v>
      </c>
      <c r="AC155">
        <f t="shared" si="317"/>
        <v>0</v>
      </c>
      <c r="AD155">
        <f t="shared" si="318"/>
        <v>99.899999999999991</v>
      </c>
      <c r="AE155">
        <f t="shared" si="319"/>
        <v>0</v>
      </c>
      <c r="AF155">
        <f t="shared" si="320"/>
        <v>87.312600000000003</v>
      </c>
      <c r="AG155">
        <f t="shared" si="321"/>
        <v>3.4313851800000004</v>
      </c>
      <c r="AH155">
        <f t="shared" si="322"/>
        <v>76.573150200000001</v>
      </c>
      <c r="AI155">
        <f t="shared" si="323"/>
        <v>44.412427115999996</v>
      </c>
      <c r="AJ155">
        <f t="shared" si="324"/>
        <v>22.971945060000003</v>
      </c>
      <c r="AK155">
        <f t="shared" si="325"/>
        <v>0</v>
      </c>
      <c r="AL155">
        <f t="shared" si="326"/>
        <v>0</v>
      </c>
      <c r="AM155">
        <f t="shared" si="327"/>
        <v>0</v>
      </c>
    </row>
    <row r="156" spans="1:39" x14ac:dyDescent="0.25">
      <c r="A156" s="2" t="s">
        <v>10</v>
      </c>
      <c r="B156" s="1" t="s">
        <v>31</v>
      </c>
      <c r="C156" s="66">
        <v>0</v>
      </c>
      <c r="D156" s="66">
        <v>100</v>
      </c>
      <c r="E156" s="66">
        <v>0</v>
      </c>
      <c r="F156" s="66">
        <v>92.4</v>
      </c>
      <c r="G156" s="66">
        <v>0.52</v>
      </c>
      <c r="H156" s="66">
        <v>97.899999999999991</v>
      </c>
      <c r="I156" s="66">
        <v>51.5</v>
      </c>
      <c r="J156" s="85">
        <v>43.4</v>
      </c>
      <c r="K156" s="66">
        <v>0</v>
      </c>
      <c r="L156" s="66">
        <v>0</v>
      </c>
      <c r="M156" s="66">
        <v>0</v>
      </c>
      <c r="N156" s="75">
        <v>838</v>
      </c>
      <c r="O156" s="67">
        <f t="shared" si="338"/>
        <v>0</v>
      </c>
      <c r="P156" s="67">
        <f t="shared" si="339"/>
        <v>838</v>
      </c>
      <c r="Q156" s="67">
        <f t="shared" si="340"/>
        <v>0</v>
      </c>
      <c r="R156" s="67">
        <f t="shared" si="341"/>
        <v>774.31200000000013</v>
      </c>
      <c r="S156" s="67">
        <f t="shared" si="342"/>
        <v>4.0264224000000004</v>
      </c>
      <c r="T156" s="67">
        <f t="shared" si="343"/>
        <v>758.05144800000005</v>
      </c>
      <c r="U156" s="67">
        <f t="shared" si="344"/>
        <v>390.39649572000002</v>
      </c>
      <c r="V156" s="67">
        <f t="shared" si="345"/>
        <v>328.99432843200003</v>
      </c>
      <c r="W156" s="76">
        <f t="shared" si="346"/>
        <v>0</v>
      </c>
      <c r="X156" s="67">
        <f t="shared" si="347"/>
        <v>0</v>
      </c>
      <c r="Y156" s="67">
        <f t="shared" si="347"/>
        <v>0</v>
      </c>
      <c r="Z156" s="68" t="s">
        <v>145</v>
      </c>
      <c r="AA156" s="68">
        <f t="shared" si="315"/>
        <v>9.7108064336993518</v>
      </c>
      <c r="AB156" s="84" t="s">
        <v>196</v>
      </c>
      <c r="AC156">
        <f t="shared" si="317"/>
        <v>0</v>
      </c>
      <c r="AD156">
        <f t="shared" si="318"/>
        <v>100</v>
      </c>
      <c r="AE156">
        <f t="shared" si="319"/>
        <v>0</v>
      </c>
      <c r="AF156">
        <f t="shared" si="320"/>
        <v>92.40000000000002</v>
      </c>
      <c r="AG156">
        <f t="shared" si="321"/>
        <v>0.48048000000000007</v>
      </c>
      <c r="AH156">
        <f t="shared" si="322"/>
        <v>90.459600000000009</v>
      </c>
      <c r="AI156">
        <f t="shared" si="323"/>
        <v>46.586694000000001</v>
      </c>
      <c r="AJ156">
        <f t="shared" si="324"/>
        <v>39.259466400000001</v>
      </c>
      <c r="AK156">
        <f t="shared" si="325"/>
        <v>0</v>
      </c>
      <c r="AL156">
        <f t="shared" si="326"/>
        <v>0</v>
      </c>
      <c r="AM156">
        <f t="shared" si="327"/>
        <v>0</v>
      </c>
    </row>
    <row r="157" spans="1:39" x14ac:dyDescent="0.25">
      <c r="A157" s="2" t="s">
        <v>10</v>
      </c>
      <c r="B157" s="1" t="s">
        <v>32</v>
      </c>
      <c r="C157" s="66">
        <v>0.3</v>
      </c>
      <c r="D157" s="66">
        <v>99.7</v>
      </c>
      <c r="E157" s="66">
        <v>0</v>
      </c>
      <c r="F157" s="66">
        <v>98.7</v>
      </c>
      <c r="G157" s="66">
        <v>3.29</v>
      </c>
      <c r="H157" s="66">
        <v>94.1</v>
      </c>
      <c r="I157" s="66">
        <v>4.8869999999999996</v>
      </c>
      <c r="J157" s="85">
        <v>88.3</v>
      </c>
      <c r="K157" s="66">
        <v>0</v>
      </c>
      <c r="L157" s="66">
        <v>0</v>
      </c>
      <c r="M157" s="66">
        <v>0</v>
      </c>
      <c r="N157" s="75">
        <v>6747</v>
      </c>
      <c r="O157" s="67">
        <f t="shared" si="338"/>
        <v>20.241</v>
      </c>
      <c r="P157" s="67">
        <f t="shared" si="339"/>
        <v>6726.759</v>
      </c>
      <c r="Q157" s="67">
        <f t="shared" si="340"/>
        <v>0</v>
      </c>
      <c r="R157" s="67">
        <f t="shared" si="341"/>
        <v>6639.3111329999992</v>
      </c>
      <c r="S157" s="67">
        <f t="shared" si="342"/>
        <v>218.43333627569999</v>
      </c>
      <c r="T157" s="67">
        <f t="shared" si="343"/>
        <v>6247.591776152999</v>
      </c>
      <c r="U157" s="67">
        <f t="shared" si="344"/>
        <v>305.31981010059701</v>
      </c>
      <c r="V157" s="67">
        <f t="shared" si="345"/>
        <v>5516.6235383430985</v>
      </c>
      <c r="W157" s="76">
        <f t="shared" si="346"/>
        <v>0</v>
      </c>
      <c r="X157" s="67">
        <f t="shared" si="347"/>
        <v>0</v>
      </c>
      <c r="Y157" s="67">
        <f t="shared" si="347"/>
        <v>0</v>
      </c>
      <c r="Z157" s="68" t="s">
        <v>150</v>
      </c>
      <c r="AA157" s="68">
        <f t="shared" si="315"/>
        <v>12.720030446498974</v>
      </c>
      <c r="AB157" s="84" t="s">
        <v>196</v>
      </c>
      <c r="AC157">
        <f t="shared" si="317"/>
        <v>0.3</v>
      </c>
      <c r="AD157">
        <f t="shared" si="318"/>
        <v>99.7</v>
      </c>
      <c r="AE157">
        <f t="shared" si="319"/>
        <v>0</v>
      </c>
      <c r="AF157">
        <f t="shared" si="320"/>
        <v>98.403899999999993</v>
      </c>
      <c r="AG157">
        <f t="shared" si="321"/>
        <v>3.2374883099999994</v>
      </c>
      <c r="AH157">
        <f t="shared" si="322"/>
        <v>92.598069899999985</v>
      </c>
      <c r="AI157">
        <f t="shared" si="323"/>
        <v>4.5252676760129988</v>
      </c>
      <c r="AJ157">
        <f t="shared" si="324"/>
        <v>81.764095721699988</v>
      </c>
      <c r="AK157">
        <f t="shared" si="325"/>
        <v>0</v>
      </c>
      <c r="AL157">
        <f t="shared" si="326"/>
        <v>0</v>
      </c>
      <c r="AM157">
        <f t="shared" si="327"/>
        <v>0</v>
      </c>
    </row>
    <row r="158" spans="1:39" x14ac:dyDescent="0.25">
      <c r="A158" s="2" t="s">
        <v>10</v>
      </c>
      <c r="B158" s="1" t="s">
        <v>33</v>
      </c>
      <c r="C158" s="66">
        <v>0</v>
      </c>
      <c r="D158" s="66">
        <v>99.8</v>
      </c>
      <c r="E158" s="66">
        <v>0</v>
      </c>
      <c r="F158" s="66">
        <v>86.1</v>
      </c>
      <c r="G158" s="66">
        <v>6.74</v>
      </c>
      <c r="H158" s="66">
        <v>91.9</v>
      </c>
      <c r="I158" s="66">
        <v>0</v>
      </c>
      <c r="J158" s="85">
        <v>98.5</v>
      </c>
      <c r="K158" s="66">
        <v>0</v>
      </c>
      <c r="L158" s="66">
        <v>0</v>
      </c>
      <c r="M158" s="66">
        <v>0</v>
      </c>
      <c r="N158" s="75">
        <v>604</v>
      </c>
      <c r="O158" s="67">
        <f t="shared" si="338"/>
        <v>0</v>
      </c>
      <c r="P158" s="67">
        <f t="shared" si="339"/>
        <v>602.79199999999992</v>
      </c>
      <c r="Q158" s="67">
        <f t="shared" si="340"/>
        <v>0</v>
      </c>
      <c r="R158" s="67">
        <f t="shared" si="341"/>
        <v>519.0039119999999</v>
      </c>
      <c r="S158" s="67">
        <f t="shared" si="342"/>
        <v>34.980863668799991</v>
      </c>
      <c r="T158" s="67">
        <f t="shared" si="343"/>
        <v>476.96459512799993</v>
      </c>
      <c r="U158" s="67">
        <f t="shared" si="344"/>
        <v>0</v>
      </c>
      <c r="V158" s="67">
        <f t="shared" si="345"/>
        <v>469.81012620107992</v>
      </c>
      <c r="W158" s="76">
        <f t="shared" si="346"/>
        <v>0</v>
      </c>
      <c r="X158" s="67">
        <f t="shared" si="347"/>
        <v>0</v>
      </c>
      <c r="Y158" s="67">
        <f t="shared" si="347"/>
        <v>0</v>
      </c>
      <c r="Z158" s="68" t="s">
        <v>145</v>
      </c>
      <c r="AA158" s="68">
        <f t="shared" si="315"/>
        <v>9.2384047393250786</v>
      </c>
      <c r="AB158" s="84" t="s">
        <v>196</v>
      </c>
      <c r="AC158">
        <f t="shared" si="317"/>
        <v>0</v>
      </c>
      <c r="AD158">
        <f t="shared" si="318"/>
        <v>99.799999999999983</v>
      </c>
      <c r="AE158">
        <f t="shared" si="319"/>
        <v>0</v>
      </c>
      <c r="AF158">
        <f t="shared" si="320"/>
        <v>85.927799999999991</v>
      </c>
      <c r="AG158">
        <f t="shared" si="321"/>
        <v>5.7915337199999986</v>
      </c>
      <c r="AH158">
        <f t="shared" si="322"/>
        <v>78.967648199999985</v>
      </c>
      <c r="AI158">
        <f t="shared" si="323"/>
        <v>0</v>
      </c>
      <c r="AJ158">
        <f t="shared" si="324"/>
        <v>77.783133476999993</v>
      </c>
      <c r="AK158">
        <f t="shared" si="325"/>
        <v>0</v>
      </c>
      <c r="AL158">
        <f t="shared" si="326"/>
        <v>0</v>
      </c>
      <c r="AM158">
        <f t="shared" si="327"/>
        <v>0</v>
      </c>
    </row>
    <row r="159" spans="1:39" x14ac:dyDescent="0.25">
      <c r="A159" s="2" t="s">
        <v>10</v>
      </c>
      <c r="B159" s="1" t="s">
        <v>58</v>
      </c>
      <c r="C159" s="66">
        <v>0</v>
      </c>
      <c r="D159" s="66">
        <v>99.7</v>
      </c>
      <c r="E159" s="66">
        <v>0</v>
      </c>
      <c r="F159" s="66">
        <v>91.4</v>
      </c>
      <c r="G159" s="66">
        <v>8.0500000000000007</v>
      </c>
      <c r="H159" s="66">
        <v>90.2</v>
      </c>
      <c r="I159" s="66">
        <v>0.12</v>
      </c>
      <c r="J159" s="85">
        <v>99.7</v>
      </c>
      <c r="K159" s="66">
        <v>0</v>
      </c>
      <c r="L159" s="66">
        <v>0</v>
      </c>
      <c r="M159" s="66">
        <v>0</v>
      </c>
      <c r="N159" s="75">
        <v>1049</v>
      </c>
      <c r="O159" s="67">
        <f t="shared" si="338"/>
        <v>0</v>
      </c>
      <c r="P159" s="67">
        <f t="shared" si="339"/>
        <v>1045.8530000000001</v>
      </c>
      <c r="Q159" s="67">
        <f t="shared" si="340"/>
        <v>0</v>
      </c>
      <c r="R159" s="67">
        <f t="shared" si="341"/>
        <v>955.90964200000019</v>
      </c>
      <c r="S159" s="67">
        <f t="shared" si="342"/>
        <v>76.950726181000022</v>
      </c>
      <c r="T159" s="67">
        <f t="shared" si="343"/>
        <v>862.23049708400026</v>
      </c>
      <c r="U159" s="67">
        <f t="shared" si="344"/>
        <v>1.0346765965008002</v>
      </c>
      <c r="V159" s="67">
        <f t="shared" si="345"/>
        <v>859.64380559274821</v>
      </c>
      <c r="W159" s="76">
        <f t="shared" si="346"/>
        <v>0</v>
      </c>
      <c r="X159" s="67">
        <f t="shared" si="347"/>
        <v>0</v>
      </c>
      <c r="Y159" s="67">
        <f t="shared" si="347"/>
        <v>0</v>
      </c>
      <c r="Z159" s="68" t="s">
        <v>150</v>
      </c>
      <c r="AA159" s="68">
        <f t="shared" si="315"/>
        <v>10.034798962577268</v>
      </c>
      <c r="AB159" s="84" t="s">
        <v>196</v>
      </c>
      <c r="AC159">
        <f t="shared" si="317"/>
        <v>0</v>
      </c>
      <c r="AD159">
        <f t="shared" si="318"/>
        <v>99.700000000000017</v>
      </c>
      <c r="AE159">
        <f t="shared" si="319"/>
        <v>0</v>
      </c>
      <c r="AF159">
        <f t="shared" si="320"/>
        <v>91.125800000000027</v>
      </c>
      <c r="AG159">
        <f t="shared" si="321"/>
        <v>7.3356269000000012</v>
      </c>
      <c r="AH159">
        <f t="shared" si="322"/>
        <v>82.195471600000019</v>
      </c>
      <c r="AI159">
        <f t="shared" si="323"/>
        <v>9.8634565920000014E-2</v>
      </c>
      <c r="AJ159">
        <f t="shared" si="324"/>
        <v>81.948885185200012</v>
      </c>
      <c r="AK159">
        <f t="shared" si="325"/>
        <v>0</v>
      </c>
      <c r="AL159">
        <f t="shared" si="326"/>
        <v>0</v>
      </c>
      <c r="AM159">
        <f t="shared" si="327"/>
        <v>0</v>
      </c>
    </row>
    <row r="160" spans="1:39" x14ac:dyDescent="0.25">
      <c r="A160" s="2" t="s">
        <v>10</v>
      </c>
      <c r="B160" s="1" t="s">
        <v>84</v>
      </c>
      <c r="C160" s="66">
        <v>0.2</v>
      </c>
      <c r="D160" s="66">
        <v>99.8</v>
      </c>
      <c r="E160" s="66">
        <v>9.4499999999999993</v>
      </c>
      <c r="F160" s="66">
        <v>71.7</v>
      </c>
      <c r="G160" s="66">
        <v>3.7199999999999998</v>
      </c>
      <c r="H160" s="66">
        <v>80.2</v>
      </c>
      <c r="I160" s="66">
        <v>11.799999999999999</v>
      </c>
      <c r="J160" s="85">
        <v>8.2100000000000009</v>
      </c>
      <c r="K160" s="66">
        <v>28.599999999999998</v>
      </c>
      <c r="L160" s="66">
        <v>0</v>
      </c>
      <c r="M160" s="66">
        <v>0</v>
      </c>
      <c r="N160" s="75">
        <v>488</v>
      </c>
      <c r="O160" s="67">
        <f t="shared" si="338"/>
        <v>0.97600000000000009</v>
      </c>
      <c r="P160" s="67">
        <f t="shared" si="339"/>
        <v>487.024</v>
      </c>
      <c r="Q160" s="67">
        <f t="shared" si="340"/>
        <v>46.023767999999997</v>
      </c>
      <c r="R160" s="67">
        <f t="shared" si="341"/>
        <v>349.19620800000007</v>
      </c>
      <c r="S160" s="67">
        <f t="shared" si="342"/>
        <v>12.990098937600001</v>
      </c>
      <c r="T160" s="67">
        <f t="shared" si="343"/>
        <v>280.05535881600008</v>
      </c>
      <c r="U160" s="67">
        <f t="shared" si="344"/>
        <v>33.04653234028801</v>
      </c>
      <c r="V160" s="67">
        <f t="shared" si="345"/>
        <v>22.992544958793609</v>
      </c>
      <c r="W160" s="76">
        <f t="shared" si="346"/>
        <v>80.095832621376019</v>
      </c>
      <c r="X160" s="67">
        <f t="shared" si="347"/>
        <v>0</v>
      </c>
      <c r="Y160" s="67">
        <f t="shared" si="347"/>
        <v>0</v>
      </c>
      <c r="Z160" s="68" t="s">
        <v>145</v>
      </c>
      <c r="AA160" s="68">
        <f t="shared" si="315"/>
        <v>8.9307373375628867</v>
      </c>
      <c r="AB160" s="84" t="s">
        <v>196</v>
      </c>
      <c r="AC160">
        <f t="shared" si="317"/>
        <v>0.2</v>
      </c>
      <c r="AD160">
        <f t="shared" si="318"/>
        <v>99.8</v>
      </c>
      <c r="AE160">
        <f t="shared" si="319"/>
        <v>9.4310999999999989</v>
      </c>
      <c r="AF160">
        <f t="shared" si="320"/>
        <v>71.556600000000017</v>
      </c>
      <c r="AG160">
        <f t="shared" si="321"/>
        <v>2.6619055200000004</v>
      </c>
      <c r="AH160">
        <f t="shared" si="322"/>
        <v>57.388393200000024</v>
      </c>
      <c r="AI160">
        <f t="shared" si="323"/>
        <v>6.7718303976000023</v>
      </c>
      <c r="AJ160">
        <f t="shared" si="324"/>
        <v>4.7115870817200021</v>
      </c>
      <c r="AK160">
        <f t="shared" si="325"/>
        <v>16.413080455200006</v>
      </c>
      <c r="AL160">
        <f t="shared" si="326"/>
        <v>0</v>
      </c>
      <c r="AM160">
        <f t="shared" si="327"/>
        <v>0</v>
      </c>
    </row>
    <row r="161" spans="1:39" x14ac:dyDescent="0.25">
      <c r="A161" s="2" t="s">
        <v>10</v>
      </c>
      <c r="B161" s="1" t="s">
        <v>34</v>
      </c>
      <c r="C161" s="66">
        <v>0.37</v>
      </c>
      <c r="D161" s="66">
        <v>99.4</v>
      </c>
      <c r="E161" s="66">
        <v>0</v>
      </c>
      <c r="F161" s="66">
        <v>94.899999999999991</v>
      </c>
      <c r="G161" s="66">
        <v>6.8599999999999994</v>
      </c>
      <c r="H161" s="66">
        <v>91.2</v>
      </c>
      <c r="I161" s="66">
        <v>2.83</v>
      </c>
      <c r="J161" s="85">
        <v>96</v>
      </c>
      <c r="K161" s="66">
        <v>0</v>
      </c>
      <c r="L161" s="66">
        <v>0</v>
      </c>
      <c r="M161" s="66">
        <v>0</v>
      </c>
      <c r="N161" s="75">
        <v>1885</v>
      </c>
      <c r="O161" s="67">
        <f t="shared" si="338"/>
        <v>6.9745000000000008</v>
      </c>
      <c r="P161" s="67">
        <f t="shared" si="339"/>
        <v>1873.69</v>
      </c>
      <c r="Q161" s="67">
        <f t="shared" si="340"/>
        <v>0</v>
      </c>
      <c r="R161" s="67">
        <f t="shared" si="341"/>
        <v>1778.1318099999999</v>
      </c>
      <c r="S161" s="67">
        <f t="shared" si="342"/>
        <v>121.97984216599998</v>
      </c>
      <c r="T161" s="67">
        <f t="shared" si="343"/>
        <v>1621.6562107199998</v>
      </c>
      <c r="U161" s="67">
        <f t="shared" si="344"/>
        <v>45.892870763375996</v>
      </c>
      <c r="V161" s="67">
        <f t="shared" si="345"/>
        <v>1556.7899622911998</v>
      </c>
      <c r="W161" s="76">
        <f t="shared" si="346"/>
        <v>0</v>
      </c>
      <c r="X161" s="67">
        <f t="shared" si="347"/>
        <v>0</v>
      </c>
      <c r="Y161" s="67">
        <f t="shared" si="347"/>
        <v>0</v>
      </c>
      <c r="Z161" s="68" t="s">
        <v>150</v>
      </c>
      <c r="AA161" s="68">
        <f t="shared" si="315"/>
        <v>10.880348808156027</v>
      </c>
      <c r="AB161" s="84" t="s">
        <v>196</v>
      </c>
      <c r="AC161">
        <f t="shared" si="317"/>
        <v>0.37000000000000005</v>
      </c>
      <c r="AD161">
        <f t="shared" si="318"/>
        <v>99.4</v>
      </c>
      <c r="AE161">
        <f t="shared" si="319"/>
        <v>0</v>
      </c>
      <c r="AF161">
        <f t="shared" si="320"/>
        <v>94.330600000000004</v>
      </c>
      <c r="AG161">
        <f t="shared" si="321"/>
        <v>6.4710791599999995</v>
      </c>
      <c r="AH161">
        <f t="shared" si="322"/>
        <v>86.029507199999983</v>
      </c>
      <c r="AI161">
        <f t="shared" si="323"/>
        <v>2.4346350537599997</v>
      </c>
      <c r="AJ161">
        <f t="shared" si="324"/>
        <v>82.588326911999985</v>
      </c>
      <c r="AK161">
        <f t="shared" si="325"/>
        <v>0</v>
      </c>
      <c r="AL161">
        <f t="shared" si="326"/>
        <v>0</v>
      </c>
      <c r="AM161">
        <f t="shared" si="327"/>
        <v>0</v>
      </c>
    </row>
    <row r="162" spans="1:39" x14ac:dyDescent="0.25">
      <c r="A162" s="2" t="s">
        <v>10</v>
      </c>
      <c r="B162" s="1" t="s">
        <v>85</v>
      </c>
      <c r="C162" s="66">
        <v>2.3199999999999998</v>
      </c>
      <c r="D162" s="66">
        <v>97.6</v>
      </c>
      <c r="E162" s="66">
        <v>0</v>
      </c>
      <c r="F162" s="66">
        <v>98</v>
      </c>
      <c r="G162" s="66">
        <v>0.31</v>
      </c>
      <c r="H162" s="66">
        <v>99.3</v>
      </c>
      <c r="I162" s="66">
        <v>2.76</v>
      </c>
      <c r="J162" s="85">
        <v>95.7</v>
      </c>
      <c r="K162" s="66">
        <v>0</v>
      </c>
      <c r="L162" s="66">
        <v>0</v>
      </c>
      <c r="M162" s="66">
        <v>0</v>
      </c>
      <c r="N162" s="75">
        <v>4778</v>
      </c>
      <c r="O162" s="67">
        <f t="shared" si="338"/>
        <v>110.8496</v>
      </c>
      <c r="P162" s="67">
        <f t="shared" si="339"/>
        <v>4663.3279999999995</v>
      </c>
      <c r="Q162" s="67">
        <f t="shared" si="340"/>
        <v>0</v>
      </c>
      <c r="R162" s="67">
        <f t="shared" si="341"/>
        <v>4570.0614399999995</v>
      </c>
      <c r="S162" s="67">
        <f t="shared" si="342"/>
        <v>14.167190463999997</v>
      </c>
      <c r="T162" s="67">
        <f t="shared" si="343"/>
        <v>4538.0710099199996</v>
      </c>
      <c r="U162" s="67">
        <f t="shared" si="344"/>
        <v>125.25075987379198</v>
      </c>
      <c r="V162" s="67">
        <f t="shared" si="345"/>
        <v>4342.9339564934398</v>
      </c>
      <c r="W162" s="76">
        <f t="shared" si="346"/>
        <v>0</v>
      </c>
      <c r="X162" s="67">
        <f t="shared" si="347"/>
        <v>0</v>
      </c>
      <c r="Y162" s="67">
        <f t="shared" si="347"/>
        <v>0</v>
      </c>
      <c r="Z162" s="68" t="s">
        <v>150</v>
      </c>
      <c r="AA162" s="68">
        <f t="shared" si="315"/>
        <v>12.222191138456333</v>
      </c>
      <c r="AB162" s="84" t="s">
        <v>196</v>
      </c>
      <c r="AC162">
        <f t="shared" si="317"/>
        <v>2.3199999999999998</v>
      </c>
      <c r="AD162">
        <f t="shared" si="318"/>
        <v>97.59999999999998</v>
      </c>
      <c r="AE162">
        <f t="shared" si="319"/>
        <v>0</v>
      </c>
      <c r="AF162">
        <f t="shared" si="320"/>
        <v>95.647999999999982</v>
      </c>
      <c r="AG162">
        <f t="shared" si="321"/>
        <v>0.29650879999999996</v>
      </c>
      <c r="AH162">
        <f t="shared" si="322"/>
        <v>94.978464000000002</v>
      </c>
      <c r="AI162">
        <f t="shared" si="323"/>
        <v>2.6214056063999998</v>
      </c>
      <c r="AJ162">
        <f t="shared" si="324"/>
        <v>90.894390047999991</v>
      </c>
      <c r="AK162">
        <f t="shared" si="325"/>
        <v>0</v>
      </c>
      <c r="AL162">
        <f t="shared" si="326"/>
        <v>0</v>
      </c>
      <c r="AM162">
        <f t="shared" si="327"/>
        <v>0</v>
      </c>
    </row>
    <row r="163" spans="1:39" x14ac:dyDescent="0.25">
      <c r="A163" s="2" t="s">
        <v>10</v>
      </c>
      <c r="B163" s="1" t="s">
        <v>76</v>
      </c>
      <c r="C163" s="66">
        <v>0</v>
      </c>
      <c r="D163" s="66">
        <v>100</v>
      </c>
      <c r="E163" s="66">
        <v>0</v>
      </c>
      <c r="F163" s="66">
        <v>40.799999999999997</v>
      </c>
      <c r="G163" s="66">
        <v>75</v>
      </c>
      <c r="H163" s="66">
        <v>23.3</v>
      </c>
      <c r="I163" s="66">
        <v>7.1400000000000006</v>
      </c>
      <c r="J163" s="85">
        <v>85.7</v>
      </c>
      <c r="K163" s="66">
        <v>0</v>
      </c>
      <c r="L163" s="66">
        <v>0</v>
      </c>
      <c r="M163" s="66">
        <v>0</v>
      </c>
      <c r="N163" s="75">
        <v>191</v>
      </c>
      <c r="O163" s="67">
        <f t="shared" si="338"/>
        <v>0</v>
      </c>
      <c r="P163" s="67">
        <f t="shared" si="339"/>
        <v>191</v>
      </c>
      <c r="Q163" s="67">
        <f t="shared" si="340"/>
        <v>0</v>
      </c>
      <c r="R163" s="67">
        <f t="shared" si="341"/>
        <v>77.927999999999997</v>
      </c>
      <c r="S163" s="67">
        <f t="shared" si="342"/>
        <v>58.445999999999998</v>
      </c>
      <c r="T163" s="67">
        <f t="shared" si="343"/>
        <v>18.157223999999999</v>
      </c>
      <c r="U163" s="67">
        <f t="shared" si="344"/>
        <v>1.2964257936000001</v>
      </c>
      <c r="V163" s="67">
        <f t="shared" si="345"/>
        <v>15.560740967999999</v>
      </c>
      <c r="W163" s="76">
        <f t="shared" si="346"/>
        <v>0</v>
      </c>
      <c r="X163" s="67">
        <f t="shared" si="347"/>
        <v>0</v>
      </c>
      <c r="Y163" s="67">
        <f t="shared" si="347"/>
        <v>0</v>
      </c>
      <c r="Z163" s="68" t="s">
        <v>151</v>
      </c>
      <c r="AA163" s="68">
        <f t="shared" si="315"/>
        <v>7.5774288280357487</v>
      </c>
      <c r="AB163" s="84" t="s">
        <v>196</v>
      </c>
      <c r="AC163">
        <f t="shared" si="317"/>
        <v>0</v>
      </c>
      <c r="AD163">
        <f t="shared" si="318"/>
        <v>100</v>
      </c>
      <c r="AE163">
        <f t="shared" si="319"/>
        <v>0</v>
      </c>
      <c r="AF163">
        <f t="shared" si="320"/>
        <v>40.799999999999997</v>
      </c>
      <c r="AG163">
        <f t="shared" si="321"/>
        <v>30.599999999999998</v>
      </c>
      <c r="AH163">
        <f t="shared" si="322"/>
        <v>9.5063999999999993</v>
      </c>
      <c r="AI163">
        <f t="shared" si="323"/>
        <v>0.67875696000000008</v>
      </c>
      <c r="AJ163">
        <f t="shared" si="324"/>
        <v>8.1469848000000002</v>
      </c>
      <c r="AK163">
        <f t="shared" si="325"/>
        <v>0</v>
      </c>
      <c r="AL163">
        <f t="shared" si="326"/>
        <v>0</v>
      </c>
      <c r="AM163">
        <f t="shared" si="327"/>
        <v>0</v>
      </c>
    </row>
    <row r="164" spans="1:39" x14ac:dyDescent="0.25">
      <c r="A164" s="2" t="s">
        <v>10</v>
      </c>
      <c r="B164" s="1" t="s">
        <v>60</v>
      </c>
      <c r="C164" s="66">
        <v>1.4999999999999999E-2</v>
      </c>
      <c r="D164" s="66">
        <v>100</v>
      </c>
      <c r="E164" s="66">
        <v>0</v>
      </c>
      <c r="F164" s="66">
        <v>98.3</v>
      </c>
      <c r="G164" s="66">
        <v>0.22999999999999998</v>
      </c>
      <c r="H164" s="66">
        <v>99.5</v>
      </c>
      <c r="I164" s="66">
        <v>4.9000000000000004</v>
      </c>
      <c r="J164" s="85">
        <v>92.800000000000011</v>
      </c>
      <c r="K164" s="66">
        <v>0</v>
      </c>
      <c r="L164" s="66">
        <v>0</v>
      </c>
      <c r="M164" s="66">
        <v>0</v>
      </c>
      <c r="N164" s="75">
        <v>6594</v>
      </c>
      <c r="O164" s="67">
        <f t="shared" si="338"/>
        <v>0.98909999999999998</v>
      </c>
      <c r="P164" s="67">
        <f t="shared" si="339"/>
        <v>6594</v>
      </c>
      <c r="Q164" s="67">
        <f t="shared" si="340"/>
        <v>0</v>
      </c>
      <c r="R164" s="67">
        <f t="shared" si="341"/>
        <v>6481.9019999999991</v>
      </c>
      <c r="S164" s="67">
        <f t="shared" si="342"/>
        <v>14.908374599999997</v>
      </c>
      <c r="T164" s="67">
        <f t="shared" si="343"/>
        <v>6449.4924899999996</v>
      </c>
      <c r="U164" s="67">
        <f t="shared" si="344"/>
        <v>316.02513200999999</v>
      </c>
      <c r="V164" s="67">
        <f t="shared" si="345"/>
        <v>5985.1290307199997</v>
      </c>
      <c r="W164" s="76">
        <f t="shared" si="346"/>
        <v>0</v>
      </c>
      <c r="X164" s="67">
        <f t="shared" si="347"/>
        <v>0</v>
      </c>
      <c r="Y164" s="67">
        <f t="shared" si="347"/>
        <v>0</v>
      </c>
      <c r="Z164" s="68" t="s">
        <v>150</v>
      </c>
      <c r="AA164" s="68">
        <f t="shared" si="315"/>
        <v>12.686938171670386</v>
      </c>
      <c r="AB164" s="84" t="s">
        <v>196</v>
      </c>
      <c r="AC164">
        <f t="shared" si="317"/>
        <v>1.4999999999999999E-2</v>
      </c>
      <c r="AD164">
        <f t="shared" si="318"/>
        <v>100</v>
      </c>
      <c r="AE164">
        <f t="shared" si="319"/>
        <v>0</v>
      </c>
      <c r="AF164">
        <f t="shared" si="320"/>
        <v>98.299999999999983</v>
      </c>
      <c r="AG164">
        <f t="shared" si="321"/>
        <v>0.22608999999999993</v>
      </c>
      <c r="AH164">
        <f t="shared" si="322"/>
        <v>97.808499999999995</v>
      </c>
      <c r="AI164">
        <f t="shared" si="323"/>
        <v>4.7926165000000003</v>
      </c>
      <c r="AJ164">
        <f t="shared" si="324"/>
        <v>90.766287999999989</v>
      </c>
      <c r="AK164">
        <f t="shared" si="325"/>
        <v>0</v>
      </c>
      <c r="AL164">
        <f t="shared" si="326"/>
        <v>0</v>
      </c>
      <c r="AM164">
        <f t="shared" si="327"/>
        <v>0</v>
      </c>
    </row>
    <row r="165" spans="1:39" x14ac:dyDescent="0.25">
      <c r="A165" s="2" t="s">
        <v>10</v>
      </c>
      <c r="B165" s="1" t="s">
        <v>96</v>
      </c>
      <c r="C165" s="66">
        <v>0.51</v>
      </c>
      <c r="D165" s="66">
        <v>98.8</v>
      </c>
      <c r="E165" s="66">
        <v>0</v>
      </c>
      <c r="F165" s="66">
        <v>97.6</v>
      </c>
      <c r="G165" s="66">
        <v>1.21</v>
      </c>
      <c r="H165" s="66">
        <v>98.4</v>
      </c>
      <c r="I165" s="66">
        <v>3.8699999999999997</v>
      </c>
      <c r="J165" s="85">
        <v>94.899999999999991</v>
      </c>
      <c r="K165" s="66">
        <v>0</v>
      </c>
      <c r="L165" s="66">
        <v>0</v>
      </c>
      <c r="M165" s="66">
        <v>0</v>
      </c>
      <c r="N165" s="75">
        <v>6672</v>
      </c>
      <c r="O165" s="67">
        <f t="shared" si="338"/>
        <v>34.027200000000001</v>
      </c>
      <c r="P165" s="67">
        <f t="shared" si="339"/>
        <v>6591.9359999999997</v>
      </c>
      <c r="Q165" s="67">
        <f t="shared" si="340"/>
        <v>0</v>
      </c>
      <c r="R165" s="67">
        <f t="shared" si="341"/>
        <v>6433.7295359999989</v>
      </c>
      <c r="S165" s="67">
        <f t="shared" si="342"/>
        <v>77.84812738559998</v>
      </c>
      <c r="T165" s="67">
        <f t="shared" si="343"/>
        <v>6330.789863424</v>
      </c>
      <c r="U165" s="67">
        <f t="shared" si="344"/>
        <v>245.00156771450878</v>
      </c>
      <c r="V165" s="67">
        <f t="shared" si="345"/>
        <v>6007.9195803893754</v>
      </c>
      <c r="W165" s="76">
        <f t="shared" si="346"/>
        <v>0</v>
      </c>
      <c r="X165" s="67">
        <f t="shared" si="347"/>
        <v>0</v>
      </c>
      <c r="Y165" s="67">
        <f t="shared" si="347"/>
        <v>0</v>
      </c>
      <c r="Z165" s="68" t="s">
        <v>150</v>
      </c>
      <c r="AA165" s="68">
        <f t="shared" si="315"/>
        <v>12.703903573444663</v>
      </c>
      <c r="AB165" s="84" t="s">
        <v>196</v>
      </c>
      <c r="AC165">
        <f t="shared" si="317"/>
        <v>0.51</v>
      </c>
      <c r="AD165">
        <f t="shared" si="318"/>
        <v>98.8</v>
      </c>
      <c r="AE165">
        <f t="shared" si="319"/>
        <v>0</v>
      </c>
      <c r="AF165">
        <f t="shared" si="320"/>
        <v>96.428799999999981</v>
      </c>
      <c r="AG165">
        <f t="shared" si="321"/>
        <v>1.1667884799999997</v>
      </c>
      <c r="AH165">
        <f t="shared" si="322"/>
        <v>94.885939199999996</v>
      </c>
      <c r="AI165">
        <f t="shared" si="323"/>
        <v>3.67208584704</v>
      </c>
      <c r="AJ165">
        <f t="shared" si="324"/>
        <v>90.046756300799984</v>
      </c>
      <c r="AK165">
        <f t="shared" si="325"/>
        <v>0</v>
      </c>
      <c r="AL165">
        <f t="shared" si="326"/>
        <v>0</v>
      </c>
      <c r="AM165">
        <f t="shared" si="327"/>
        <v>0</v>
      </c>
    </row>
    <row r="166" spans="1:39" x14ac:dyDescent="0.25">
      <c r="A166" s="2" t="s">
        <v>10</v>
      </c>
      <c r="B166" s="1" t="s">
        <v>61</v>
      </c>
      <c r="C166" s="66">
        <v>4.4000000000000004E-2</v>
      </c>
      <c r="D166" s="66">
        <v>99.9</v>
      </c>
      <c r="E166" s="66">
        <v>0</v>
      </c>
      <c r="F166" s="66">
        <v>97.899999999999991</v>
      </c>
      <c r="G166" s="66">
        <v>2.1399999999999997</v>
      </c>
      <c r="H166" s="66">
        <v>88.7</v>
      </c>
      <c r="I166" s="66">
        <v>65</v>
      </c>
      <c r="J166" s="85">
        <v>24</v>
      </c>
      <c r="K166" s="66">
        <v>4.21</v>
      </c>
      <c r="L166" s="66">
        <v>0</v>
      </c>
      <c r="M166" s="66">
        <v>0</v>
      </c>
      <c r="N166" s="75">
        <v>4577</v>
      </c>
      <c r="O166" s="67">
        <f t="shared" si="338"/>
        <v>2.0138800000000003</v>
      </c>
      <c r="P166" s="67">
        <f t="shared" si="339"/>
        <v>4572.4230000000007</v>
      </c>
      <c r="Q166" s="67">
        <f t="shared" si="340"/>
        <v>0</v>
      </c>
      <c r="R166" s="67">
        <f t="shared" si="341"/>
        <v>4476.4021170000005</v>
      </c>
      <c r="S166" s="67">
        <f t="shared" si="342"/>
        <v>95.795005303799996</v>
      </c>
      <c r="T166" s="67">
        <f t="shared" si="343"/>
        <v>3970.5686777790006</v>
      </c>
      <c r="U166" s="67">
        <f t="shared" si="344"/>
        <v>2580.8696405563505</v>
      </c>
      <c r="V166" s="67">
        <f t="shared" si="345"/>
        <v>952.93648266696027</v>
      </c>
      <c r="W166" s="76">
        <f t="shared" si="346"/>
        <v>167.1609413344959</v>
      </c>
      <c r="X166" s="67">
        <f t="shared" si="347"/>
        <v>0</v>
      </c>
      <c r="Y166" s="67">
        <f t="shared" si="347"/>
        <v>0</v>
      </c>
      <c r="Z166" s="68" t="s">
        <v>150</v>
      </c>
      <c r="AA166" s="68">
        <f t="shared" si="315"/>
        <v>12.160186576600662</v>
      </c>
      <c r="AB166" s="84" t="s">
        <v>196</v>
      </c>
      <c r="AC166">
        <f t="shared" si="317"/>
        <v>4.4000000000000004E-2</v>
      </c>
      <c r="AD166">
        <f t="shared" si="318"/>
        <v>99.9</v>
      </c>
      <c r="AE166">
        <f t="shared" si="319"/>
        <v>0</v>
      </c>
      <c r="AF166">
        <f t="shared" si="320"/>
        <v>97.80210000000001</v>
      </c>
      <c r="AG166">
        <f t="shared" si="321"/>
        <v>2.0929649399999999</v>
      </c>
      <c r="AH166">
        <f t="shared" si="322"/>
        <v>86.750462700000014</v>
      </c>
      <c r="AI166">
        <f t="shared" si="323"/>
        <v>56.387800755000015</v>
      </c>
      <c r="AJ166">
        <f t="shared" si="324"/>
        <v>20.820111048000005</v>
      </c>
      <c r="AK166">
        <f t="shared" si="325"/>
        <v>3.6521944796699999</v>
      </c>
      <c r="AL166">
        <f t="shared" si="326"/>
        <v>0</v>
      </c>
      <c r="AM166">
        <f t="shared" si="327"/>
        <v>0</v>
      </c>
    </row>
    <row r="167" spans="1:39" x14ac:dyDescent="0.25">
      <c r="A167" s="2" t="s">
        <v>10</v>
      </c>
      <c r="B167" s="1" t="s">
        <v>86</v>
      </c>
      <c r="C167" s="66">
        <v>0.67999999999999994</v>
      </c>
      <c r="D167" s="66">
        <v>99</v>
      </c>
      <c r="E167" s="66">
        <v>5.7200000000000003E-3</v>
      </c>
      <c r="F167" s="66">
        <v>99.1</v>
      </c>
      <c r="G167" s="66">
        <v>56.3</v>
      </c>
      <c r="H167" s="66">
        <v>38.9</v>
      </c>
      <c r="I167" s="66">
        <v>5.91</v>
      </c>
      <c r="J167" s="85">
        <v>91.100000000000009</v>
      </c>
      <c r="K167" s="66">
        <v>0</v>
      </c>
      <c r="L167" s="66">
        <v>0</v>
      </c>
      <c r="M167" s="66">
        <v>0</v>
      </c>
      <c r="N167" s="75">
        <v>17646</v>
      </c>
      <c r="O167" s="67">
        <f t="shared" si="338"/>
        <v>119.99279999999999</v>
      </c>
      <c r="P167" s="67">
        <f t="shared" si="339"/>
        <v>17469.54</v>
      </c>
      <c r="Q167" s="67">
        <f t="shared" si="340"/>
        <v>0.99925768800000014</v>
      </c>
      <c r="R167" s="67">
        <f t="shared" si="341"/>
        <v>17312.314139999999</v>
      </c>
      <c r="S167" s="67">
        <f t="shared" si="342"/>
        <v>9746.832860819999</v>
      </c>
      <c r="T167" s="67">
        <f t="shared" si="343"/>
        <v>6734.490200459999</v>
      </c>
      <c r="U167" s="67">
        <f t="shared" si="344"/>
        <v>398.00837084718592</v>
      </c>
      <c r="V167" s="67">
        <f t="shared" si="345"/>
        <v>6135.1205726190601</v>
      </c>
      <c r="W167" s="76">
        <f t="shared" si="346"/>
        <v>0</v>
      </c>
      <c r="X167" s="67">
        <f t="shared" ref="X167:Y179" si="348">L167*W167/100</f>
        <v>0</v>
      </c>
      <c r="Y167" s="67">
        <f t="shared" si="348"/>
        <v>0</v>
      </c>
      <c r="Z167" s="68" t="s">
        <v>152</v>
      </c>
      <c r="AA167" s="68">
        <f t="shared" si="315"/>
        <v>14.107053569608221</v>
      </c>
      <c r="AB167" s="84" t="s">
        <v>196</v>
      </c>
      <c r="AC167">
        <f t="shared" si="317"/>
        <v>0.67999999999999994</v>
      </c>
      <c r="AD167">
        <f t="shared" si="318"/>
        <v>99.000000000000014</v>
      </c>
      <c r="AE167">
        <f t="shared" si="319"/>
        <v>5.6628000000000008E-3</v>
      </c>
      <c r="AF167">
        <f t="shared" si="320"/>
        <v>98.108999999999995</v>
      </c>
      <c r="AG167">
        <f t="shared" si="321"/>
        <v>55.235366999999989</v>
      </c>
      <c r="AH167">
        <f t="shared" si="322"/>
        <v>38.164400999999991</v>
      </c>
      <c r="AI167">
        <f t="shared" si="323"/>
        <v>2.2555160990999994</v>
      </c>
      <c r="AJ167">
        <f t="shared" si="324"/>
        <v>34.767769311000002</v>
      </c>
      <c r="AK167">
        <f t="shared" si="325"/>
        <v>0</v>
      </c>
      <c r="AL167">
        <f t="shared" si="326"/>
        <v>0</v>
      </c>
      <c r="AM167">
        <f t="shared" si="327"/>
        <v>0</v>
      </c>
    </row>
    <row r="168" spans="1:39" x14ac:dyDescent="0.25">
      <c r="A168" s="2" t="s">
        <v>10</v>
      </c>
      <c r="B168" s="1" t="s">
        <v>77</v>
      </c>
      <c r="C168" s="66">
        <v>6.8000000000000005E-2</v>
      </c>
      <c r="D168" s="66">
        <v>99.9</v>
      </c>
      <c r="E168" s="66">
        <v>0</v>
      </c>
      <c r="F168" s="66">
        <v>97.8</v>
      </c>
      <c r="G168" s="66">
        <v>0.88</v>
      </c>
      <c r="H168" s="66">
        <v>98.8</v>
      </c>
      <c r="I168" s="66">
        <v>0.52</v>
      </c>
      <c r="J168" s="85">
        <v>99</v>
      </c>
      <c r="K168" s="66">
        <v>0</v>
      </c>
      <c r="L168" s="66">
        <v>0</v>
      </c>
      <c r="M168" s="66">
        <v>0</v>
      </c>
      <c r="N168" s="75">
        <v>5922</v>
      </c>
      <c r="O168" s="67">
        <f t="shared" si="338"/>
        <v>4.0269599999999999</v>
      </c>
      <c r="P168" s="67">
        <f t="shared" si="339"/>
        <v>5916.0780000000004</v>
      </c>
      <c r="Q168" s="67">
        <f t="shared" si="340"/>
        <v>0</v>
      </c>
      <c r="R168" s="67">
        <f t="shared" si="341"/>
        <v>5785.9242839999997</v>
      </c>
      <c r="S168" s="67">
        <f t="shared" si="342"/>
        <v>50.916133699200003</v>
      </c>
      <c r="T168" s="67">
        <f t="shared" si="343"/>
        <v>5716.493192592</v>
      </c>
      <c r="U168" s="67">
        <f t="shared" si="344"/>
        <v>29.725764601478399</v>
      </c>
      <c r="V168" s="67">
        <f t="shared" si="345"/>
        <v>5659.3282606660796</v>
      </c>
      <c r="W168" s="76">
        <f t="shared" si="346"/>
        <v>0</v>
      </c>
      <c r="X168" s="67">
        <f t="shared" si="348"/>
        <v>0</v>
      </c>
      <c r="Y168" s="67">
        <f t="shared" si="348"/>
        <v>0</v>
      </c>
      <c r="Z168" s="68" t="s">
        <v>150</v>
      </c>
      <c r="AA168" s="68">
        <f t="shared" si="315"/>
        <v>12.531868775177553</v>
      </c>
      <c r="AB168" s="84" t="s">
        <v>196</v>
      </c>
      <c r="AC168">
        <f t="shared" si="317"/>
        <v>6.7999999999999991E-2</v>
      </c>
      <c r="AD168">
        <f t="shared" si="318"/>
        <v>99.9</v>
      </c>
      <c r="AE168">
        <f t="shared" si="319"/>
        <v>0</v>
      </c>
      <c r="AF168">
        <f t="shared" si="320"/>
        <v>97.702199999999991</v>
      </c>
      <c r="AG168">
        <f t="shared" si="321"/>
        <v>0.8597793600000001</v>
      </c>
      <c r="AH168">
        <f t="shared" si="322"/>
        <v>96.529773599999999</v>
      </c>
      <c r="AI168">
        <f t="shared" si="323"/>
        <v>0.50195482271999992</v>
      </c>
      <c r="AJ168">
        <f t="shared" si="324"/>
        <v>95.564475864000002</v>
      </c>
      <c r="AK168">
        <f t="shared" si="325"/>
        <v>0</v>
      </c>
      <c r="AL168">
        <f t="shared" si="326"/>
        <v>0</v>
      </c>
      <c r="AM168">
        <f t="shared" si="327"/>
        <v>0</v>
      </c>
    </row>
    <row r="169" spans="1:39" x14ac:dyDescent="0.25">
      <c r="A169" s="2" t="s">
        <v>10</v>
      </c>
      <c r="B169" s="1" t="s">
        <v>35</v>
      </c>
      <c r="C169" s="66">
        <v>0</v>
      </c>
      <c r="D169" s="66">
        <v>99.7</v>
      </c>
      <c r="E169" s="66">
        <v>3.2399999999999998</v>
      </c>
      <c r="F169" s="66">
        <v>70.899999999999991</v>
      </c>
      <c r="G169" s="66">
        <v>6.8500000000000005</v>
      </c>
      <c r="H169" s="66">
        <v>87.2</v>
      </c>
      <c r="I169" s="66">
        <v>15.2</v>
      </c>
      <c r="J169" s="85">
        <v>5.76</v>
      </c>
      <c r="K169" s="66">
        <v>28.799999999999997</v>
      </c>
      <c r="L169" s="66">
        <v>0</v>
      </c>
      <c r="M169" s="66">
        <v>0</v>
      </c>
      <c r="N169" s="75">
        <v>310</v>
      </c>
      <c r="O169" s="67">
        <f t="shared" si="338"/>
        <v>0</v>
      </c>
      <c r="P169" s="67">
        <f t="shared" si="339"/>
        <v>309.07</v>
      </c>
      <c r="Q169" s="67">
        <f t="shared" si="340"/>
        <v>10.013867999999999</v>
      </c>
      <c r="R169" s="67">
        <f t="shared" si="341"/>
        <v>219.13063</v>
      </c>
      <c r="S169" s="67">
        <f t="shared" si="342"/>
        <v>15.010448155000001</v>
      </c>
      <c r="T169" s="67">
        <f t="shared" si="343"/>
        <v>191.08190936</v>
      </c>
      <c r="U169" s="67">
        <f t="shared" si="344"/>
        <v>29.044450222719998</v>
      </c>
      <c r="V169" s="67">
        <f t="shared" si="345"/>
        <v>11.006317979136</v>
      </c>
      <c r="W169" s="76">
        <f t="shared" si="346"/>
        <v>55.031589895679993</v>
      </c>
      <c r="X169" s="67">
        <f t="shared" si="348"/>
        <v>0</v>
      </c>
      <c r="Y169" s="67">
        <f t="shared" si="348"/>
        <v>0</v>
      </c>
      <c r="Z169" s="68" t="s">
        <v>145</v>
      </c>
      <c r="AA169" s="68">
        <f t="shared" si="315"/>
        <v>8.2761244052742384</v>
      </c>
      <c r="AB169" s="84" t="s">
        <v>196</v>
      </c>
      <c r="AC169">
        <f t="shared" si="317"/>
        <v>0</v>
      </c>
      <c r="AD169">
        <f t="shared" si="318"/>
        <v>99.7</v>
      </c>
      <c r="AE169">
        <f t="shared" si="319"/>
        <v>3.2302799999999992</v>
      </c>
      <c r="AF169">
        <f t="shared" si="320"/>
        <v>70.687299999999993</v>
      </c>
      <c r="AG169">
        <f t="shared" si="321"/>
        <v>4.8420800499999999</v>
      </c>
      <c r="AH169">
        <f t="shared" si="322"/>
        <v>61.639325599999992</v>
      </c>
      <c r="AI169">
        <f t="shared" si="323"/>
        <v>9.3691774912000003</v>
      </c>
      <c r="AJ169">
        <f t="shared" si="324"/>
        <v>3.5504251545600005</v>
      </c>
      <c r="AK169">
        <f t="shared" si="325"/>
        <v>17.752125772799999</v>
      </c>
      <c r="AL169">
        <f t="shared" si="326"/>
        <v>0</v>
      </c>
      <c r="AM169">
        <f t="shared" si="327"/>
        <v>0</v>
      </c>
    </row>
    <row r="170" spans="1:39" x14ac:dyDescent="0.25">
      <c r="A170" s="2" t="s">
        <v>10</v>
      </c>
      <c r="B170" s="1" t="s">
        <v>62</v>
      </c>
      <c r="C170" s="66">
        <v>0.44</v>
      </c>
      <c r="D170" s="66">
        <v>99.3</v>
      </c>
      <c r="E170" s="66">
        <v>0</v>
      </c>
      <c r="F170" s="66">
        <v>98.7</v>
      </c>
      <c r="G170" s="66">
        <v>34</v>
      </c>
      <c r="H170" s="66">
        <v>58.199999999999996</v>
      </c>
      <c r="I170" s="66">
        <v>13.200000000000001</v>
      </c>
      <c r="J170" s="85">
        <v>30.599999999999998</v>
      </c>
      <c r="K170" s="66">
        <v>15.2</v>
      </c>
      <c r="L170" s="66">
        <v>0</v>
      </c>
      <c r="M170" s="66">
        <v>0</v>
      </c>
      <c r="N170" s="75">
        <v>9614</v>
      </c>
      <c r="O170" s="67">
        <f t="shared" si="338"/>
        <v>42.301600000000001</v>
      </c>
      <c r="P170" s="67">
        <f t="shared" si="339"/>
        <v>9546.7019999999993</v>
      </c>
      <c r="Q170" s="67">
        <f t="shared" si="340"/>
        <v>0</v>
      </c>
      <c r="R170" s="67">
        <f t="shared" si="341"/>
        <v>9422.5948740000003</v>
      </c>
      <c r="S170" s="67">
        <f t="shared" si="342"/>
        <v>3203.6822571600001</v>
      </c>
      <c r="T170" s="67">
        <f t="shared" si="343"/>
        <v>5483.9502166680004</v>
      </c>
      <c r="U170" s="67">
        <f t="shared" si="344"/>
        <v>723.88142860017615</v>
      </c>
      <c r="V170" s="67">
        <f t="shared" si="345"/>
        <v>1678.0887663004078</v>
      </c>
      <c r="W170" s="76">
        <f t="shared" si="346"/>
        <v>833.56043293353605</v>
      </c>
      <c r="X170" s="67">
        <f t="shared" si="348"/>
        <v>0</v>
      </c>
      <c r="Y170" s="67">
        <f t="shared" si="348"/>
        <v>0</v>
      </c>
      <c r="Z170" s="68" t="s">
        <v>150</v>
      </c>
      <c r="AA170" s="68">
        <f t="shared" si="315"/>
        <v>13.230921088137896</v>
      </c>
      <c r="AB170" s="84" t="s">
        <v>196</v>
      </c>
      <c r="AC170">
        <f t="shared" si="317"/>
        <v>0.44</v>
      </c>
      <c r="AD170">
        <f t="shared" si="318"/>
        <v>99.299999999999983</v>
      </c>
      <c r="AE170">
        <f t="shared" si="319"/>
        <v>0</v>
      </c>
      <c r="AF170">
        <f t="shared" si="320"/>
        <v>98.009100000000004</v>
      </c>
      <c r="AG170">
        <f t="shared" si="321"/>
        <v>33.323094000000005</v>
      </c>
      <c r="AH170">
        <f t="shared" si="322"/>
        <v>57.041296200000005</v>
      </c>
      <c r="AI170">
        <f t="shared" si="323"/>
        <v>7.5294510984000018</v>
      </c>
      <c r="AJ170">
        <f t="shared" si="324"/>
        <v>17.454636637199997</v>
      </c>
      <c r="AK170">
        <f t="shared" si="325"/>
        <v>8.6702770224000005</v>
      </c>
      <c r="AL170">
        <f t="shared" si="326"/>
        <v>0</v>
      </c>
      <c r="AM170">
        <f t="shared" si="327"/>
        <v>0</v>
      </c>
    </row>
    <row r="171" spans="1:39" x14ac:dyDescent="0.25">
      <c r="A171" s="2" t="s">
        <v>10</v>
      </c>
      <c r="B171" s="1" t="s">
        <v>91</v>
      </c>
      <c r="C171" s="66">
        <v>0</v>
      </c>
      <c r="D171" s="66">
        <v>100</v>
      </c>
      <c r="E171" s="66">
        <v>0</v>
      </c>
      <c r="F171" s="66">
        <v>67.100000000000009</v>
      </c>
      <c r="G171" s="66">
        <v>27.700000000000003</v>
      </c>
      <c r="H171" s="66">
        <v>60.4</v>
      </c>
      <c r="I171" s="66">
        <v>9.379999999999999</v>
      </c>
      <c r="J171" s="85">
        <v>59.4</v>
      </c>
      <c r="K171" s="66">
        <v>0</v>
      </c>
      <c r="L171" s="66">
        <v>0</v>
      </c>
      <c r="M171" s="66">
        <v>0</v>
      </c>
      <c r="N171" s="75">
        <v>237</v>
      </c>
      <c r="O171" s="67">
        <f t="shared" si="338"/>
        <v>0</v>
      </c>
      <c r="P171" s="67">
        <f t="shared" si="339"/>
        <v>237</v>
      </c>
      <c r="Q171" s="67">
        <f t="shared" si="340"/>
        <v>0</v>
      </c>
      <c r="R171" s="67">
        <f t="shared" si="341"/>
        <v>159.02700000000002</v>
      </c>
      <c r="S171" s="67">
        <f t="shared" si="342"/>
        <v>44.050479000000003</v>
      </c>
      <c r="T171" s="67">
        <f t="shared" si="343"/>
        <v>96.052308000000011</v>
      </c>
      <c r="U171" s="67">
        <f t="shared" si="344"/>
        <v>9.0097064903999993</v>
      </c>
      <c r="V171" s="67">
        <f t="shared" si="345"/>
        <v>57.055070952000008</v>
      </c>
      <c r="W171" s="76">
        <f t="shared" si="346"/>
        <v>0</v>
      </c>
      <c r="X171" s="67">
        <f t="shared" si="348"/>
        <v>0</v>
      </c>
      <c r="Y171" s="67">
        <f t="shared" si="348"/>
        <v>0</v>
      </c>
      <c r="Z171" s="68" t="s">
        <v>145</v>
      </c>
      <c r="AA171" s="68">
        <f t="shared" si="315"/>
        <v>7.8887432488982601</v>
      </c>
      <c r="AB171" s="84" t="s">
        <v>196</v>
      </c>
      <c r="AC171">
        <f t="shared" si="317"/>
        <v>0</v>
      </c>
      <c r="AD171">
        <f t="shared" si="318"/>
        <v>100</v>
      </c>
      <c r="AE171">
        <f t="shared" si="319"/>
        <v>0</v>
      </c>
      <c r="AF171">
        <f t="shared" si="320"/>
        <v>67.100000000000009</v>
      </c>
      <c r="AG171">
        <f t="shared" si="321"/>
        <v>18.5867</v>
      </c>
      <c r="AH171">
        <f t="shared" si="322"/>
        <v>40.528400000000005</v>
      </c>
      <c r="AI171">
        <f t="shared" si="323"/>
        <v>3.80156392</v>
      </c>
      <c r="AJ171">
        <f t="shared" si="324"/>
        <v>24.073869600000002</v>
      </c>
      <c r="AK171">
        <f t="shared" si="325"/>
        <v>0</v>
      </c>
      <c r="AL171">
        <f t="shared" si="326"/>
        <v>0</v>
      </c>
      <c r="AM171">
        <f t="shared" si="327"/>
        <v>0</v>
      </c>
    </row>
    <row r="172" spans="1:39" x14ac:dyDescent="0.25">
      <c r="A172" s="2" t="s">
        <v>10</v>
      </c>
      <c r="B172" s="1" t="s">
        <v>36</v>
      </c>
      <c r="C172" s="66">
        <v>0.48</v>
      </c>
      <c r="D172" s="66">
        <v>99.5</v>
      </c>
      <c r="E172" s="66">
        <v>0</v>
      </c>
      <c r="F172" s="66">
        <v>92.300000000000011</v>
      </c>
      <c r="G172" s="66">
        <v>37.6</v>
      </c>
      <c r="H172" s="66">
        <v>49</v>
      </c>
      <c r="I172" s="66">
        <v>16</v>
      </c>
      <c r="J172" s="85">
        <v>21.3</v>
      </c>
      <c r="K172" s="66">
        <v>27.900000000000002</v>
      </c>
      <c r="L172" s="66">
        <v>0</v>
      </c>
      <c r="M172" s="66">
        <v>0</v>
      </c>
      <c r="N172" s="75">
        <v>1651</v>
      </c>
      <c r="O172" s="67">
        <f t="shared" si="338"/>
        <v>7.9248000000000003</v>
      </c>
      <c r="P172" s="67">
        <f t="shared" si="339"/>
        <v>1642.7449999999999</v>
      </c>
      <c r="Q172" s="67">
        <f t="shared" si="340"/>
        <v>0</v>
      </c>
      <c r="R172" s="67">
        <f t="shared" si="341"/>
        <v>1516.253635</v>
      </c>
      <c r="S172" s="67">
        <f t="shared" si="342"/>
        <v>570.11136676000001</v>
      </c>
      <c r="T172" s="67">
        <f t="shared" si="343"/>
        <v>742.96428115000003</v>
      </c>
      <c r="U172" s="67">
        <f t="shared" si="344"/>
        <v>118.874284984</v>
      </c>
      <c r="V172" s="67">
        <f t="shared" si="345"/>
        <v>158.25139188495001</v>
      </c>
      <c r="W172" s="76">
        <f t="shared" si="346"/>
        <v>207.28703444085005</v>
      </c>
      <c r="X172" s="67">
        <f t="shared" si="348"/>
        <v>0</v>
      </c>
      <c r="Y172" s="67">
        <f t="shared" si="348"/>
        <v>0</v>
      </c>
      <c r="Z172" s="68" t="s">
        <v>150</v>
      </c>
      <c r="AA172" s="68">
        <f t="shared" si="315"/>
        <v>10.689124404913258</v>
      </c>
      <c r="AB172" s="84" t="s">
        <v>196</v>
      </c>
      <c r="AC172">
        <f t="shared" si="317"/>
        <v>0.48000000000000004</v>
      </c>
      <c r="AD172">
        <f t="shared" si="318"/>
        <v>99.499999999999986</v>
      </c>
      <c r="AE172">
        <f t="shared" si="319"/>
        <v>0</v>
      </c>
      <c r="AF172">
        <f t="shared" si="320"/>
        <v>91.838499999999996</v>
      </c>
      <c r="AG172">
        <f t="shared" si="321"/>
        <v>34.531275999999998</v>
      </c>
      <c r="AH172">
        <f t="shared" si="322"/>
        <v>45.000865000000005</v>
      </c>
      <c r="AI172">
        <f t="shared" si="323"/>
        <v>7.2001384000000002</v>
      </c>
      <c r="AJ172">
        <f t="shared" si="324"/>
        <v>9.5851842450000007</v>
      </c>
      <c r="AK172">
        <f t="shared" si="325"/>
        <v>12.555241335000003</v>
      </c>
      <c r="AL172">
        <f t="shared" si="326"/>
        <v>0</v>
      </c>
      <c r="AM172">
        <f t="shared" si="327"/>
        <v>0</v>
      </c>
    </row>
    <row r="173" spans="1:39" x14ac:dyDescent="0.25">
      <c r="A173" s="2" t="s">
        <v>10</v>
      </c>
      <c r="B173" s="1" t="s">
        <v>63</v>
      </c>
      <c r="C173" s="66">
        <v>0</v>
      </c>
      <c r="D173" s="66">
        <v>100</v>
      </c>
      <c r="E173" s="66">
        <v>0</v>
      </c>
      <c r="F173" s="66">
        <v>73.7</v>
      </c>
      <c r="G173" s="66">
        <v>4.41</v>
      </c>
      <c r="H173" s="66">
        <v>79.3</v>
      </c>
      <c r="I173" s="66">
        <v>43.9</v>
      </c>
      <c r="J173" s="85">
        <v>5</v>
      </c>
      <c r="K173" s="66">
        <v>8.89</v>
      </c>
      <c r="L173" s="66">
        <v>0</v>
      </c>
      <c r="M173" s="66">
        <v>0</v>
      </c>
      <c r="N173" s="75">
        <v>308</v>
      </c>
      <c r="O173" s="67">
        <f t="shared" si="338"/>
        <v>0</v>
      </c>
      <c r="P173" s="67">
        <f t="shared" si="339"/>
        <v>308</v>
      </c>
      <c r="Q173" s="67">
        <f t="shared" si="340"/>
        <v>0</v>
      </c>
      <c r="R173" s="67">
        <f t="shared" si="341"/>
        <v>226.99600000000001</v>
      </c>
      <c r="S173" s="67">
        <f t="shared" si="342"/>
        <v>10.010523600000001</v>
      </c>
      <c r="T173" s="67">
        <f t="shared" si="343"/>
        <v>180.00782800000002</v>
      </c>
      <c r="U173" s="67">
        <f t="shared" si="344"/>
        <v>79.023436492000002</v>
      </c>
      <c r="V173" s="67">
        <f t="shared" si="345"/>
        <v>9.0003914000000016</v>
      </c>
      <c r="W173" s="76">
        <f t="shared" si="346"/>
        <v>16.0026959092</v>
      </c>
      <c r="X173" s="67">
        <f t="shared" si="348"/>
        <v>0</v>
      </c>
      <c r="Y173" s="67">
        <f t="shared" si="348"/>
        <v>0</v>
      </c>
      <c r="Z173" s="68" t="s">
        <v>145</v>
      </c>
      <c r="AA173" s="68">
        <f t="shared" si="315"/>
        <v>8.2667865406949002</v>
      </c>
      <c r="AB173" s="84" t="s">
        <v>196</v>
      </c>
      <c r="AC173">
        <f t="shared" si="317"/>
        <v>0</v>
      </c>
      <c r="AD173">
        <f t="shared" si="318"/>
        <v>100</v>
      </c>
      <c r="AE173">
        <f t="shared" si="319"/>
        <v>0</v>
      </c>
      <c r="AF173">
        <f t="shared" si="320"/>
        <v>73.7</v>
      </c>
      <c r="AG173">
        <f t="shared" si="321"/>
        <v>3.2501700000000002</v>
      </c>
      <c r="AH173">
        <f t="shared" si="322"/>
        <v>58.444100000000013</v>
      </c>
      <c r="AI173">
        <f t="shared" si="323"/>
        <v>25.656959899999997</v>
      </c>
      <c r="AJ173">
        <f t="shared" si="324"/>
        <v>2.9222050000000008</v>
      </c>
      <c r="AK173">
        <f t="shared" si="325"/>
        <v>5.19568049</v>
      </c>
      <c r="AL173">
        <f t="shared" si="326"/>
        <v>0</v>
      </c>
      <c r="AM173">
        <f t="shared" si="327"/>
        <v>0</v>
      </c>
    </row>
    <row r="174" spans="1:39" x14ac:dyDescent="0.25">
      <c r="A174" s="2" t="s">
        <v>10</v>
      </c>
      <c r="B174" s="1" t="s">
        <v>78</v>
      </c>
      <c r="C174" s="66">
        <v>2.7E-2</v>
      </c>
      <c r="D174" s="66">
        <v>100</v>
      </c>
      <c r="E174" s="66">
        <v>0</v>
      </c>
      <c r="F174" s="66">
        <v>98.5</v>
      </c>
      <c r="G174" s="66">
        <v>0.74</v>
      </c>
      <c r="H174" s="66">
        <v>98.9</v>
      </c>
      <c r="I174" s="66">
        <v>0.4</v>
      </c>
      <c r="J174" s="85">
        <v>99.3</v>
      </c>
      <c r="K174" s="66">
        <v>0</v>
      </c>
      <c r="L174" s="66">
        <v>0</v>
      </c>
      <c r="M174" s="66">
        <v>0</v>
      </c>
      <c r="N174" s="75">
        <v>7417</v>
      </c>
      <c r="O174" s="67">
        <f t="shared" si="338"/>
        <v>2.0025899999999996</v>
      </c>
      <c r="P174" s="67">
        <f t="shared" si="339"/>
        <v>7417</v>
      </c>
      <c r="Q174" s="67">
        <f t="shared" si="340"/>
        <v>0</v>
      </c>
      <c r="R174" s="67">
        <f t="shared" si="341"/>
        <v>7305.7449999999999</v>
      </c>
      <c r="S174" s="67">
        <f t="shared" si="342"/>
        <v>54.062512999999996</v>
      </c>
      <c r="T174" s="67">
        <f t="shared" si="343"/>
        <v>7225.381805</v>
      </c>
      <c r="U174" s="67">
        <f t="shared" si="344"/>
        <v>28.901527220000002</v>
      </c>
      <c r="V174" s="67">
        <f t="shared" si="345"/>
        <v>7174.8041323649995</v>
      </c>
      <c r="W174" s="76">
        <f t="shared" si="346"/>
        <v>0</v>
      </c>
      <c r="X174" s="67">
        <f t="shared" si="348"/>
        <v>0</v>
      </c>
      <c r="Y174" s="67">
        <f t="shared" si="348"/>
        <v>0</v>
      </c>
      <c r="Z174" s="68" t="s">
        <v>150</v>
      </c>
      <c r="AA174" s="68">
        <f t="shared" si="315"/>
        <v>12.856620053676847</v>
      </c>
      <c r="AB174" s="84" t="s">
        <v>196</v>
      </c>
      <c r="AC174">
        <f t="shared" si="317"/>
        <v>2.6999999999999996E-2</v>
      </c>
      <c r="AD174">
        <f t="shared" si="318"/>
        <v>100</v>
      </c>
      <c r="AE174">
        <f t="shared" si="319"/>
        <v>0</v>
      </c>
      <c r="AF174">
        <f t="shared" si="320"/>
        <v>98.5</v>
      </c>
      <c r="AG174">
        <f t="shared" si="321"/>
        <v>0.72889999999999999</v>
      </c>
      <c r="AH174">
        <f t="shared" si="322"/>
        <v>97.416499999999999</v>
      </c>
      <c r="AI174">
        <f t="shared" si="323"/>
        <v>0.38966600000000001</v>
      </c>
      <c r="AJ174">
        <f t="shared" si="324"/>
        <v>96.734584499999997</v>
      </c>
      <c r="AK174">
        <f t="shared" si="325"/>
        <v>0</v>
      </c>
      <c r="AL174">
        <f t="shared" si="326"/>
        <v>0</v>
      </c>
      <c r="AM174">
        <f t="shared" si="327"/>
        <v>0</v>
      </c>
    </row>
    <row r="175" spans="1:39" x14ac:dyDescent="0.25">
      <c r="A175" s="2" t="s">
        <v>10</v>
      </c>
      <c r="B175" s="1" t="s">
        <v>37</v>
      </c>
      <c r="C175" s="66">
        <v>7.79</v>
      </c>
      <c r="D175" s="66">
        <v>92</v>
      </c>
      <c r="E175" s="66">
        <v>0</v>
      </c>
      <c r="F175" s="66">
        <v>82.6</v>
      </c>
      <c r="G175" s="66">
        <v>2.16</v>
      </c>
      <c r="H175" s="66">
        <v>97</v>
      </c>
      <c r="I175" s="66">
        <v>0</v>
      </c>
      <c r="J175" s="85">
        <v>99.7</v>
      </c>
      <c r="K175" s="66">
        <v>0</v>
      </c>
      <c r="L175" s="66">
        <v>0</v>
      </c>
      <c r="M175" s="66">
        <v>0</v>
      </c>
      <c r="N175" s="75">
        <v>488</v>
      </c>
      <c r="O175" s="67">
        <f t="shared" si="338"/>
        <v>38.0152</v>
      </c>
      <c r="P175" s="67">
        <f t="shared" si="339"/>
        <v>448.96</v>
      </c>
      <c r="Q175" s="67">
        <f t="shared" si="340"/>
        <v>0</v>
      </c>
      <c r="R175" s="67">
        <f t="shared" si="341"/>
        <v>370.84096</v>
      </c>
      <c r="S175" s="67">
        <f t="shared" si="342"/>
        <v>8.0101647360000001</v>
      </c>
      <c r="T175" s="67">
        <f t="shared" si="343"/>
        <v>359.71573119999999</v>
      </c>
      <c r="U175" s="67">
        <f t="shared" si="344"/>
        <v>0</v>
      </c>
      <c r="V175" s="67">
        <f t="shared" si="345"/>
        <v>358.63658400640003</v>
      </c>
      <c r="W175" s="76">
        <f t="shared" si="346"/>
        <v>0</v>
      </c>
      <c r="X175" s="67">
        <f t="shared" si="348"/>
        <v>0</v>
      </c>
      <c r="Y175" s="67">
        <f t="shared" si="348"/>
        <v>0</v>
      </c>
      <c r="Z175" s="68" t="s">
        <v>145</v>
      </c>
      <c r="AA175" s="68">
        <f t="shared" si="315"/>
        <v>8.9307373375628867</v>
      </c>
      <c r="AB175" s="84" t="s">
        <v>196</v>
      </c>
      <c r="AC175">
        <f t="shared" si="317"/>
        <v>7.79</v>
      </c>
      <c r="AD175">
        <f t="shared" si="318"/>
        <v>92</v>
      </c>
      <c r="AE175">
        <f t="shared" si="319"/>
        <v>0</v>
      </c>
      <c r="AF175">
        <f t="shared" si="320"/>
        <v>75.992000000000004</v>
      </c>
      <c r="AG175">
        <f t="shared" si="321"/>
        <v>1.6414272000000001</v>
      </c>
      <c r="AH175">
        <f t="shared" si="322"/>
        <v>73.712239999999994</v>
      </c>
      <c r="AI175">
        <f t="shared" si="323"/>
        <v>0</v>
      </c>
      <c r="AJ175">
        <f t="shared" si="324"/>
        <v>73.491103280000004</v>
      </c>
      <c r="AK175">
        <f t="shared" si="325"/>
        <v>0</v>
      </c>
      <c r="AL175">
        <f t="shared" si="326"/>
        <v>0</v>
      </c>
      <c r="AM175">
        <f t="shared" si="327"/>
        <v>0</v>
      </c>
    </row>
    <row r="176" spans="1:39" x14ac:dyDescent="0.25">
      <c r="A176" s="2" t="s">
        <v>10</v>
      </c>
      <c r="B176" s="1" t="s">
        <v>64</v>
      </c>
      <c r="C176" s="66">
        <v>0</v>
      </c>
      <c r="D176" s="66">
        <v>99.9</v>
      </c>
      <c r="E176" s="66">
        <v>0</v>
      </c>
      <c r="F176" s="66">
        <v>96.6</v>
      </c>
      <c r="G176" s="66">
        <v>1.21</v>
      </c>
      <c r="H176" s="66">
        <v>98.3</v>
      </c>
      <c r="I176" s="66">
        <v>0.21</v>
      </c>
      <c r="J176" s="85">
        <v>99.6</v>
      </c>
      <c r="K176" s="66">
        <v>0</v>
      </c>
      <c r="L176" s="66">
        <v>0</v>
      </c>
      <c r="M176" s="66">
        <v>0</v>
      </c>
      <c r="N176" s="75">
        <v>2050</v>
      </c>
      <c r="O176" s="67">
        <f t="shared" si="338"/>
        <v>0</v>
      </c>
      <c r="P176" s="67">
        <f t="shared" si="339"/>
        <v>2047.95</v>
      </c>
      <c r="Q176" s="67">
        <f t="shared" si="340"/>
        <v>0</v>
      </c>
      <c r="R176" s="67">
        <f t="shared" si="341"/>
        <v>1978.3197</v>
      </c>
      <c r="S176" s="67">
        <f t="shared" si="342"/>
        <v>23.937668370000001</v>
      </c>
      <c r="T176" s="67">
        <f t="shared" si="343"/>
        <v>1944.6882650999999</v>
      </c>
      <c r="U176" s="67">
        <f t="shared" si="344"/>
        <v>4.0838453567099995</v>
      </c>
      <c r="V176" s="67">
        <f t="shared" si="345"/>
        <v>1936.9095120395996</v>
      </c>
      <c r="W176" s="76">
        <f t="shared" si="346"/>
        <v>0</v>
      </c>
      <c r="X176" s="67">
        <f t="shared" si="348"/>
        <v>0</v>
      </c>
      <c r="Y176" s="67">
        <f t="shared" si="348"/>
        <v>0</v>
      </c>
      <c r="Z176" s="68" t="s">
        <v>150</v>
      </c>
      <c r="AA176" s="68">
        <f t="shared" si="315"/>
        <v>11.001408194392809</v>
      </c>
      <c r="AB176" s="84" t="s">
        <v>196</v>
      </c>
      <c r="AC176">
        <f t="shared" si="317"/>
        <v>0</v>
      </c>
      <c r="AD176">
        <f t="shared" si="318"/>
        <v>99.9</v>
      </c>
      <c r="AE176">
        <f t="shared" si="319"/>
        <v>0</v>
      </c>
      <c r="AF176">
        <f t="shared" si="320"/>
        <v>96.503399999999999</v>
      </c>
      <c r="AG176">
        <f t="shared" si="321"/>
        <v>1.1676911400000001</v>
      </c>
      <c r="AH176">
        <f t="shared" si="322"/>
        <v>94.862842200000003</v>
      </c>
      <c r="AI176">
        <f t="shared" si="323"/>
        <v>0.19921196861999996</v>
      </c>
      <c r="AJ176">
        <f t="shared" si="324"/>
        <v>94.483390831199969</v>
      </c>
      <c r="AK176">
        <f t="shared" si="325"/>
        <v>0</v>
      </c>
      <c r="AL176">
        <f t="shared" si="326"/>
        <v>0</v>
      </c>
      <c r="AM176">
        <f t="shared" si="327"/>
        <v>0</v>
      </c>
    </row>
    <row r="177" spans="1:39" x14ac:dyDescent="0.25">
      <c r="A177" s="2" t="s">
        <v>10</v>
      </c>
      <c r="B177" s="1" t="s">
        <v>38</v>
      </c>
      <c r="C177" s="66">
        <v>0.06</v>
      </c>
      <c r="D177" s="66">
        <v>99.9</v>
      </c>
      <c r="E177" s="66">
        <v>0.06</v>
      </c>
      <c r="F177" s="66">
        <v>99.9</v>
      </c>
      <c r="G177" s="66">
        <v>0.82000000000000006</v>
      </c>
      <c r="H177" s="66">
        <v>89.9</v>
      </c>
      <c r="I177" s="66">
        <v>90.4</v>
      </c>
      <c r="J177" s="85">
        <v>5.5</v>
      </c>
      <c r="K177" s="66">
        <v>0</v>
      </c>
      <c r="L177" s="66">
        <v>0</v>
      </c>
      <c r="M177" s="66">
        <v>0</v>
      </c>
      <c r="N177" s="75">
        <v>1680</v>
      </c>
      <c r="O177" s="67">
        <f t="shared" si="338"/>
        <v>1.008</v>
      </c>
      <c r="P177" s="67">
        <f t="shared" si="339"/>
        <v>1678.32</v>
      </c>
      <c r="Q177" s="67">
        <f t="shared" si="340"/>
        <v>1.0069919999999999</v>
      </c>
      <c r="R177" s="67">
        <f t="shared" si="341"/>
        <v>1676.64168</v>
      </c>
      <c r="S177" s="67">
        <f t="shared" si="342"/>
        <v>13.748461776000001</v>
      </c>
      <c r="T177" s="67">
        <f t="shared" si="343"/>
        <v>1507.3008703200001</v>
      </c>
      <c r="U177" s="67">
        <f t="shared" si="344"/>
        <v>1362.5999867692801</v>
      </c>
      <c r="V177" s="67">
        <f t="shared" si="345"/>
        <v>82.901547867600001</v>
      </c>
      <c r="W177" s="76">
        <f t="shared" si="346"/>
        <v>0</v>
      </c>
      <c r="X177" s="67">
        <f t="shared" si="348"/>
        <v>0</v>
      </c>
      <c r="Y177" s="67">
        <f t="shared" si="348"/>
        <v>0</v>
      </c>
      <c r="Z177" s="68" t="s">
        <v>150</v>
      </c>
      <c r="AA177" s="68">
        <f t="shared" si="315"/>
        <v>10.714245517666123</v>
      </c>
      <c r="AB177" s="84" t="s">
        <v>196</v>
      </c>
      <c r="AC177">
        <f t="shared" si="317"/>
        <v>6.0000000000000005E-2</v>
      </c>
      <c r="AD177">
        <f t="shared" si="318"/>
        <v>99.9</v>
      </c>
      <c r="AE177">
        <f t="shared" si="319"/>
        <v>5.9939999999999993E-2</v>
      </c>
      <c r="AF177">
        <f t="shared" si="320"/>
        <v>99.800099999999986</v>
      </c>
      <c r="AG177">
        <f t="shared" si="321"/>
        <v>0.8183608200000001</v>
      </c>
      <c r="AH177">
        <f t="shared" si="322"/>
        <v>89.720289900000012</v>
      </c>
      <c r="AI177">
        <f t="shared" si="323"/>
        <v>81.107142069600002</v>
      </c>
      <c r="AJ177">
        <f t="shared" si="324"/>
        <v>4.9346159445</v>
      </c>
      <c r="AK177">
        <f t="shared" si="325"/>
        <v>0</v>
      </c>
      <c r="AL177">
        <f t="shared" si="326"/>
        <v>0</v>
      </c>
      <c r="AM177">
        <f t="shared" si="327"/>
        <v>0</v>
      </c>
    </row>
    <row r="178" spans="1:39" x14ac:dyDescent="0.25">
      <c r="A178" s="2" t="s">
        <v>10</v>
      </c>
      <c r="B178" s="1" t="s">
        <v>39</v>
      </c>
      <c r="C178" s="66">
        <v>0</v>
      </c>
      <c r="D178" s="66">
        <v>100</v>
      </c>
      <c r="E178" s="66">
        <v>0</v>
      </c>
      <c r="F178" s="66">
        <v>66.100000000000009</v>
      </c>
      <c r="G178" s="66">
        <v>0.96</v>
      </c>
      <c r="H178" s="66">
        <v>94.699999999999989</v>
      </c>
      <c r="I178" s="66">
        <v>90.4</v>
      </c>
      <c r="J178" s="85">
        <v>6.0600000000000005</v>
      </c>
      <c r="K178" s="66">
        <v>0</v>
      </c>
      <c r="L178" s="66">
        <v>0</v>
      </c>
      <c r="M178" s="66">
        <v>0</v>
      </c>
      <c r="N178" s="75">
        <v>316</v>
      </c>
      <c r="O178" s="67">
        <f t="shared" si="338"/>
        <v>0</v>
      </c>
      <c r="P178" s="67">
        <f t="shared" si="339"/>
        <v>316</v>
      </c>
      <c r="Q178" s="67">
        <f t="shared" si="340"/>
        <v>0</v>
      </c>
      <c r="R178" s="67">
        <f t="shared" si="341"/>
        <v>208.87600000000003</v>
      </c>
      <c r="S178" s="67">
        <f t="shared" si="342"/>
        <v>2.0052096000000001</v>
      </c>
      <c r="T178" s="67">
        <f t="shared" si="343"/>
        <v>197.80557199999998</v>
      </c>
      <c r="U178" s="67">
        <f t="shared" si="344"/>
        <v>178.81623708799998</v>
      </c>
      <c r="V178" s="67">
        <f t="shared" si="345"/>
        <v>11.9870176632</v>
      </c>
      <c r="W178" s="76">
        <f t="shared" si="346"/>
        <v>0</v>
      </c>
      <c r="X178" s="67">
        <f t="shared" si="348"/>
        <v>0</v>
      </c>
      <c r="Y178" s="67">
        <f t="shared" si="348"/>
        <v>0</v>
      </c>
      <c r="Z178" s="68" t="s">
        <v>145</v>
      </c>
      <c r="AA178" s="68">
        <f t="shared" si="315"/>
        <v>8.303780748177104</v>
      </c>
      <c r="AB178" s="84" t="s">
        <v>196</v>
      </c>
      <c r="AC178">
        <f t="shared" si="317"/>
        <v>0</v>
      </c>
      <c r="AD178">
        <f t="shared" si="318"/>
        <v>100</v>
      </c>
      <c r="AE178">
        <f t="shared" si="319"/>
        <v>0</v>
      </c>
      <c r="AF178">
        <f t="shared" si="320"/>
        <v>66.100000000000009</v>
      </c>
      <c r="AG178">
        <f t="shared" si="321"/>
        <v>0.63456000000000012</v>
      </c>
      <c r="AH178">
        <f t="shared" si="322"/>
        <v>62.596699999999991</v>
      </c>
      <c r="AI178">
        <f t="shared" si="323"/>
        <v>56.587416799999993</v>
      </c>
      <c r="AJ178">
        <f t="shared" si="324"/>
        <v>3.7933600200000002</v>
      </c>
      <c r="AK178">
        <f t="shared" si="325"/>
        <v>0</v>
      </c>
      <c r="AL178">
        <f t="shared" si="326"/>
        <v>0</v>
      </c>
      <c r="AM178">
        <f t="shared" si="327"/>
        <v>0</v>
      </c>
    </row>
    <row r="179" spans="1:39" x14ac:dyDescent="0.25">
      <c r="A179" s="2" t="s">
        <v>10</v>
      </c>
      <c r="B179" s="1" t="s">
        <v>87</v>
      </c>
      <c r="C179" s="66">
        <v>2.3E-2</v>
      </c>
      <c r="D179" s="66">
        <v>99.9</v>
      </c>
      <c r="E179" s="66">
        <v>0</v>
      </c>
      <c r="F179" s="66">
        <v>99.3</v>
      </c>
      <c r="G179" s="66">
        <v>3.83</v>
      </c>
      <c r="H179" s="66">
        <v>93.5</v>
      </c>
      <c r="I179" s="66">
        <v>6.8500000000000005</v>
      </c>
      <c r="J179" s="85">
        <v>90</v>
      </c>
      <c r="K179" s="66">
        <v>0</v>
      </c>
      <c r="L179" s="66">
        <v>0</v>
      </c>
      <c r="M179" s="66">
        <v>0</v>
      </c>
      <c r="N179" s="75">
        <v>13259</v>
      </c>
      <c r="O179" s="67">
        <f t="shared" si="338"/>
        <v>3.0495700000000001</v>
      </c>
      <c r="P179" s="67">
        <f t="shared" si="339"/>
        <v>13245.741000000002</v>
      </c>
      <c r="Q179" s="67">
        <f t="shared" si="340"/>
        <v>0</v>
      </c>
      <c r="R179" s="67">
        <f t="shared" si="341"/>
        <v>13153.020813000003</v>
      </c>
      <c r="S179" s="67">
        <f t="shared" si="342"/>
        <v>503.76069713790014</v>
      </c>
      <c r="T179" s="67">
        <f t="shared" si="343"/>
        <v>12298.074460155003</v>
      </c>
      <c r="U179" s="67">
        <f t="shared" si="344"/>
        <v>842.41810052061771</v>
      </c>
      <c r="V179" s="67">
        <f t="shared" si="345"/>
        <v>11068.267014139501</v>
      </c>
      <c r="W179" s="76">
        <f t="shared" si="346"/>
        <v>0</v>
      </c>
      <c r="X179" s="67">
        <f t="shared" si="348"/>
        <v>0</v>
      </c>
      <c r="Y179" s="67">
        <f t="shared" si="348"/>
        <v>0</v>
      </c>
      <c r="Z179" s="68" t="s">
        <v>152</v>
      </c>
      <c r="AA179" s="68">
        <f t="shared" si="315"/>
        <v>13.694684350366174</v>
      </c>
      <c r="AB179" s="84" t="s">
        <v>196</v>
      </c>
      <c r="AC179">
        <f t="shared" si="317"/>
        <v>2.3E-2</v>
      </c>
      <c r="AD179">
        <f t="shared" si="318"/>
        <v>99.9</v>
      </c>
      <c r="AE179">
        <f t="shared" si="319"/>
        <v>0</v>
      </c>
      <c r="AF179">
        <f t="shared" si="320"/>
        <v>99.200700000000026</v>
      </c>
      <c r="AG179">
        <f t="shared" si="321"/>
        <v>3.799386810000001</v>
      </c>
      <c r="AH179">
        <f t="shared" si="322"/>
        <v>92.75265450000002</v>
      </c>
      <c r="AI179">
        <f t="shared" si="323"/>
        <v>6.3535568332500016</v>
      </c>
      <c r="AJ179">
        <f t="shared" si="324"/>
        <v>83.477389049999999</v>
      </c>
      <c r="AK179">
        <f t="shared" si="325"/>
        <v>0</v>
      </c>
      <c r="AL179">
        <f t="shared" si="326"/>
        <v>0</v>
      </c>
      <c r="AM179">
        <f t="shared" si="327"/>
        <v>0</v>
      </c>
    </row>
    <row r="180" spans="1:39" x14ac:dyDescent="0.25">
      <c r="A180" s="2" t="s">
        <v>10</v>
      </c>
      <c r="B180" s="1" t="s">
        <v>65</v>
      </c>
      <c r="C180" s="66">
        <v>0.12</v>
      </c>
      <c r="D180" s="66">
        <v>99.6</v>
      </c>
      <c r="E180" s="66">
        <v>0</v>
      </c>
      <c r="F180" s="66">
        <v>98.7</v>
      </c>
      <c r="G180" s="66">
        <v>4.78</v>
      </c>
      <c r="H180" s="66">
        <v>89</v>
      </c>
      <c r="I180" s="66">
        <v>16.600000000000001</v>
      </c>
      <c r="J180" s="85">
        <v>57.699999999999996</v>
      </c>
      <c r="K180" s="66">
        <v>0</v>
      </c>
      <c r="L180" s="66">
        <v>0</v>
      </c>
      <c r="M180" s="66">
        <v>0</v>
      </c>
      <c r="N180" s="75">
        <v>5724</v>
      </c>
      <c r="O180" s="67">
        <f t="shared" si="338"/>
        <v>6.8688000000000002</v>
      </c>
      <c r="P180" s="67">
        <f t="shared" si="339"/>
        <v>5701.1040000000003</v>
      </c>
      <c r="Q180" s="67">
        <f t="shared" si="340"/>
        <v>0</v>
      </c>
      <c r="R180" s="67">
        <f t="shared" si="341"/>
        <v>5626.9896480000007</v>
      </c>
      <c r="S180" s="67">
        <f t="shared" si="342"/>
        <v>268.97010517440003</v>
      </c>
      <c r="T180" s="67">
        <f t="shared" si="343"/>
        <v>5008.0207867200006</v>
      </c>
      <c r="U180" s="67">
        <f t="shared" si="344"/>
        <v>831.3314505955201</v>
      </c>
      <c r="V180" s="67">
        <f t="shared" si="345"/>
        <v>2889.6279939374404</v>
      </c>
      <c r="W180" s="76">
        <f t="shared" si="346"/>
        <v>0</v>
      </c>
      <c r="X180" s="67">
        <f t="shared" ref="X180:Y192" si="349">L180*W180/100</f>
        <v>0</v>
      </c>
      <c r="Y180" s="67">
        <f t="shared" si="349"/>
        <v>0</v>
      </c>
      <c r="Z180" s="68" t="s">
        <v>150</v>
      </c>
      <c r="AA180" s="68">
        <f t="shared" si="315"/>
        <v>12.482807956726669</v>
      </c>
      <c r="AB180" s="84" t="s">
        <v>196</v>
      </c>
      <c r="AC180">
        <f t="shared" si="317"/>
        <v>0.12000000000000001</v>
      </c>
      <c r="AD180">
        <f t="shared" si="318"/>
        <v>99.6</v>
      </c>
      <c r="AE180">
        <f t="shared" si="319"/>
        <v>0</v>
      </c>
      <c r="AF180">
        <f t="shared" si="320"/>
        <v>98.305200000000013</v>
      </c>
      <c r="AG180">
        <f t="shared" si="321"/>
        <v>4.6989885600000001</v>
      </c>
      <c r="AH180">
        <f t="shared" si="322"/>
        <v>87.491628000000006</v>
      </c>
      <c r="AI180">
        <f t="shared" si="323"/>
        <v>14.523610248000002</v>
      </c>
      <c r="AJ180">
        <f t="shared" si="324"/>
        <v>50.482669356000009</v>
      </c>
      <c r="AK180">
        <f t="shared" si="325"/>
        <v>0</v>
      </c>
      <c r="AL180">
        <f t="shared" si="326"/>
        <v>0</v>
      </c>
      <c r="AM180">
        <f t="shared" si="327"/>
        <v>0</v>
      </c>
    </row>
    <row r="181" spans="1:39" x14ac:dyDescent="0.25">
      <c r="A181" s="2" t="s">
        <v>10</v>
      </c>
      <c r="B181" s="1" t="s">
        <v>66</v>
      </c>
      <c r="C181" s="66">
        <v>0.36</v>
      </c>
      <c r="D181" s="66">
        <v>98.9</v>
      </c>
      <c r="E181" s="66">
        <v>0</v>
      </c>
      <c r="F181" s="66">
        <v>95.6</v>
      </c>
      <c r="G181" s="66">
        <v>21.8</v>
      </c>
      <c r="H181" s="66">
        <v>76.3</v>
      </c>
      <c r="I181" s="66">
        <v>11.200000000000001</v>
      </c>
      <c r="J181" s="85">
        <v>86</v>
      </c>
      <c r="K181" s="66">
        <v>0</v>
      </c>
      <c r="L181" s="66">
        <v>0</v>
      </c>
      <c r="M181" s="66">
        <v>0</v>
      </c>
      <c r="N181" s="75">
        <v>2773</v>
      </c>
      <c r="O181" s="67">
        <f t="shared" si="338"/>
        <v>9.9827999999999992</v>
      </c>
      <c r="P181" s="67">
        <f t="shared" si="339"/>
        <v>2742.4970000000003</v>
      </c>
      <c r="Q181" s="67">
        <f t="shared" si="340"/>
        <v>0</v>
      </c>
      <c r="R181" s="67">
        <f t="shared" si="341"/>
        <v>2621.8271319999999</v>
      </c>
      <c r="S181" s="67">
        <f t="shared" si="342"/>
        <v>571.55831477599997</v>
      </c>
      <c r="T181" s="67">
        <f t="shared" si="343"/>
        <v>2000.4541017159997</v>
      </c>
      <c r="U181" s="67">
        <f t="shared" si="344"/>
        <v>224.050859392192</v>
      </c>
      <c r="V181" s="67">
        <f t="shared" si="345"/>
        <v>1720.3905274757597</v>
      </c>
      <c r="W181" s="76">
        <f t="shared" si="346"/>
        <v>0</v>
      </c>
      <c r="X181" s="67">
        <f t="shared" si="349"/>
        <v>0</v>
      </c>
      <c r="Y181" s="67">
        <f t="shared" si="349"/>
        <v>0</v>
      </c>
      <c r="Z181" s="68" t="s">
        <v>150</v>
      </c>
      <c r="AA181" s="68">
        <f t="shared" si="315"/>
        <v>11.437231901039478</v>
      </c>
      <c r="AB181" s="84" t="s">
        <v>196</v>
      </c>
      <c r="AC181">
        <f t="shared" si="317"/>
        <v>0.36</v>
      </c>
      <c r="AD181">
        <f t="shared" si="318"/>
        <v>98.9</v>
      </c>
      <c r="AE181">
        <f t="shared" si="319"/>
        <v>0</v>
      </c>
      <c r="AF181">
        <f t="shared" si="320"/>
        <v>94.548400000000001</v>
      </c>
      <c r="AG181">
        <f t="shared" si="321"/>
        <v>20.611551200000001</v>
      </c>
      <c r="AH181">
        <f t="shared" si="322"/>
        <v>72.140429199999986</v>
      </c>
      <c r="AI181">
        <f t="shared" si="323"/>
        <v>8.0797280703999999</v>
      </c>
      <c r="AJ181">
        <f t="shared" si="324"/>
        <v>62.040769111999985</v>
      </c>
      <c r="AK181">
        <f t="shared" si="325"/>
        <v>0</v>
      </c>
      <c r="AL181">
        <f t="shared" si="326"/>
        <v>0</v>
      </c>
      <c r="AM181">
        <f t="shared" si="327"/>
        <v>0</v>
      </c>
    </row>
    <row r="182" spans="1:39" x14ac:dyDescent="0.25">
      <c r="A182" s="2" t="s">
        <v>10</v>
      </c>
      <c r="B182" s="1" t="s">
        <v>92</v>
      </c>
      <c r="C182" s="66">
        <v>0</v>
      </c>
      <c r="D182" s="66">
        <v>99.3</v>
      </c>
      <c r="E182" s="66">
        <v>0.66</v>
      </c>
      <c r="F182" s="66">
        <v>53.300000000000004</v>
      </c>
      <c r="G182" s="66">
        <v>12.3</v>
      </c>
      <c r="H182" s="66">
        <v>85.2</v>
      </c>
      <c r="I182" s="66">
        <v>0</v>
      </c>
      <c r="J182" s="85">
        <v>97.1</v>
      </c>
      <c r="K182" s="66">
        <v>0</v>
      </c>
      <c r="L182" s="66">
        <v>0</v>
      </c>
      <c r="M182" s="66">
        <v>0</v>
      </c>
      <c r="N182" s="75">
        <v>153</v>
      </c>
      <c r="O182" s="67">
        <f t="shared" si="338"/>
        <v>0</v>
      </c>
      <c r="P182" s="67">
        <f t="shared" si="339"/>
        <v>151.929</v>
      </c>
      <c r="Q182" s="67">
        <f t="shared" si="340"/>
        <v>1.0027314000000001</v>
      </c>
      <c r="R182" s="67">
        <f t="shared" si="341"/>
        <v>80.97815700000001</v>
      </c>
      <c r="S182" s="67">
        <f t="shared" si="342"/>
        <v>9.9603133110000019</v>
      </c>
      <c r="T182" s="67">
        <f t="shared" si="343"/>
        <v>68.993389764000014</v>
      </c>
      <c r="U182" s="67">
        <f t="shared" si="344"/>
        <v>0</v>
      </c>
      <c r="V182" s="67">
        <f t="shared" si="345"/>
        <v>66.992581460844008</v>
      </c>
      <c r="W182" s="76">
        <f t="shared" si="346"/>
        <v>0</v>
      </c>
      <c r="X182" s="67">
        <f t="shared" si="349"/>
        <v>0</v>
      </c>
      <c r="Y182" s="67">
        <f t="shared" si="349"/>
        <v>0</v>
      </c>
      <c r="Z182" s="68" t="s">
        <v>151</v>
      </c>
      <c r="AA182" s="68">
        <f t="shared" si="315"/>
        <v>7.2573878426926521</v>
      </c>
      <c r="AB182" s="84" t="s">
        <v>196</v>
      </c>
      <c r="AC182">
        <f t="shared" si="317"/>
        <v>0</v>
      </c>
      <c r="AD182">
        <f t="shared" si="318"/>
        <v>99.3</v>
      </c>
      <c r="AE182">
        <f t="shared" si="319"/>
        <v>0.65538000000000007</v>
      </c>
      <c r="AF182">
        <f t="shared" si="320"/>
        <v>52.92690000000001</v>
      </c>
      <c r="AG182">
        <f t="shared" si="321"/>
        <v>6.5100087000000011</v>
      </c>
      <c r="AH182">
        <f t="shared" si="322"/>
        <v>45.093718800000012</v>
      </c>
      <c r="AI182">
        <f t="shared" si="323"/>
        <v>0</v>
      </c>
      <c r="AJ182">
        <f t="shared" si="324"/>
        <v>43.786000954800002</v>
      </c>
      <c r="AK182">
        <f t="shared" si="325"/>
        <v>0</v>
      </c>
      <c r="AL182">
        <f t="shared" si="326"/>
        <v>0</v>
      </c>
      <c r="AM182">
        <f t="shared" si="327"/>
        <v>0</v>
      </c>
    </row>
    <row r="183" spans="1:39" x14ac:dyDescent="0.25">
      <c r="A183" s="2" t="s">
        <v>10</v>
      </c>
      <c r="B183" s="1" t="s">
        <v>68</v>
      </c>
      <c r="C183" s="66">
        <v>4.2999999999999997E-2</v>
      </c>
      <c r="D183" s="66">
        <v>99.8</v>
      </c>
      <c r="E183" s="66">
        <v>0</v>
      </c>
      <c r="F183" s="66">
        <v>97.7</v>
      </c>
      <c r="G183" s="66">
        <v>1.8599999999999999</v>
      </c>
      <c r="H183" s="66">
        <v>91.2</v>
      </c>
      <c r="I183" s="66">
        <v>45.800000000000004</v>
      </c>
      <c r="J183" s="85">
        <v>46.300000000000004</v>
      </c>
      <c r="K183" s="66">
        <v>0</v>
      </c>
      <c r="L183" s="66">
        <v>0</v>
      </c>
      <c r="M183" s="66">
        <v>0</v>
      </c>
      <c r="N183" s="75">
        <v>2321</v>
      </c>
      <c r="O183" s="67">
        <f t="shared" si="338"/>
        <v>0.99802999999999997</v>
      </c>
      <c r="P183" s="67">
        <f t="shared" si="339"/>
        <v>2316.3579999999997</v>
      </c>
      <c r="Q183" s="67">
        <f t="shared" si="340"/>
        <v>0</v>
      </c>
      <c r="R183" s="67">
        <f t="shared" si="341"/>
        <v>2263.0817659999998</v>
      </c>
      <c r="S183" s="67">
        <f t="shared" si="342"/>
        <v>42.09332084759999</v>
      </c>
      <c r="T183" s="67">
        <f t="shared" si="343"/>
        <v>2063.9305705919996</v>
      </c>
      <c r="U183" s="67">
        <f t="shared" si="344"/>
        <v>945.28020133113591</v>
      </c>
      <c r="V183" s="67">
        <f t="shared" si="345"/>
        <v>955.59985418409588</v>
      </c>
      <c r="W183" s="76">
        <f t="shared" si="346"/>
        <v>0</v>
      </c>
      <c r="X183" s="67">
        <f t="shared" si="349"/>
        <v>0</v>
      </c>
      <c r="Y183" s="67">
        <f t="shared" si="349"/>
        <v>0</v>
      </c>
      <c r="Z183" s="68" t="s">
        <v>150</v>
      </c>
      <c r="AA183" s="68">
        <f t="shared" si="315"/>
        <v>11.180530807344484</v>
      </c>
      <c r="AB183" s="84" t="s">
        <v>196</v>
      </c>
      <c r="AC183">
        <f t="shared" si="317"/>
        <v>4.2999999999999997E-2</v>
      </c>
      <c r="AD183">
        <f t="shared" si="318"/>
        <v>99.799999999999983</v>
      </c>
      <c r="AE183">
        <f t="shared" si="319"/>
        <v>0</v>
      </c>
      <c r="AF183">
        <f t="shared" si="320"/>
        <v>97.504599999999982</v>
      </c>
      <c r="AG183">
        <f t="shared" si="321"/>
        <v>1.8135855599999997</v>
      </c>
      <c r="AH183">
        <f t="shared" si="322"/>
        <v>88.924195199999986</v>
      </c>
      <c r="AI183">
        <f t="shared" si="323"/>
        <v>40.727281401599996</v>
      </c>
      <c r="AJ183">
        <f t="shared" si="324"/>
        <v>41.171902377599991</v>
      </c>
      <c r="AK183">
        <f t="shared" si="325"/>
        <v>0</v>
      </c>
      <c r="AL183">
        <f t="shared" si="326"/>
        <v>0</v>
      </c>
      <c r="AM183">
        <f t="shared" si="327"/>
        <v>0</v>
      </c>
    </row>
    <row r="184" spans="1:39" x14ac:dyDescent="0.25">
      <c r="A184" s="2" t="s">
        <v>10</v>
      </c>
      <c r="B184" s="1" t="s">
        <v>40</v>
      </c>
      <c r="C184" s="66">
        <v>2.2000000000000002E-2</v>
      </c>
      <c r="D184" s="66">
        <v>100</v>
      </c>
      <c r="E184" s="66">
        <v>0</v>
      </c>
      <c r="F184" s="66">
        <v>98.9</v>
      </c>
      <c r="G184" s="66">
        <v>0.3</v>
      </c>
      <c r="H184" s="66">
        <v>99.2</v>
      </c>
      <c r="I184" s="66">
        <v>31.8</v>
      </c>
      <c r="J184" s="85">
        <v>62.7</v>
      </c>
      <c r="K184" s="66">
        <v>0</v>
      </c>
      <c r="L184" s="66">
        <v>0</v>
      </c>
      <c r="M184" s="66">
        <v>0</v>
      </c>
      <c r="N184" s="75">
        <v>9237</v>
      </c>
      <c r="O184" s="67">
        <f t="shared" si="338"/>
        <v>2.0321400000000001</v>
      </c>
      <c r="P184" s="67">
        <f t="shared" si="339"/>
        <v>9237</v>
      </c>
      <c r="Q184" s="67">
        <f t="shared" si="340"/>
        <v>0</v>
      </c>
      <c r="R184" s="67">
        <f t="shared" si="341"/>
        <v>9135.393</v>
      </c>
      <c r="S184" s="67">
        <f t="shared" si="342"/>
        <v>27.406178999999998</v>
      </c>
      <c r="T184" s="67">
        <f t="shared" si="343"/>
        <v>9062.3098559999999</v>
      </c>
      <c r="U184" s="67">
        <f t="shared" si="344"/>
        <v>2881.8145342079997</v>
      </c>
      <c r="V184" s="67">
        <f t="shared" si="345"/>
        <v>5682.0682797119998</v>
      </c>
      <c r="W184" s="76">
        <f t="shared" si="346"/>
        <v>0</v>
      </c>
      <c r="X184" s="67">
        <f t="shared" si="349"/>
        <v>0</v>
      </c>
      <c r="Y184" s="67">
        <f t="shared" si="349"/>
        <v>0</v>
      </c>
      <c r="Z184" s="68" t="s">
        <v>150</v>
      </c>
      <c r="AA184" s="68">
        <f t="shared" si="315"/>
        <v>13.173208652765975</v>
      </c>
      <c r="AB184" s="84" t="s">
        <v>196</v>
      </c>
      <c r="AC184">
        <f t="shared" si="317"/>
        <v>2.2000000000000002E-2</v>
      </c>
      <c r="AD184">
        <f t="shared" si="318"/>
        <v>100</v>
      </c>
      <c r="AE184">
        <f t="shared" si="319"/>
        <v>0</v>
      </c>
      <c r="AF184">
        <f t="shared" si="320"/>
        <v>98.9</v>
      </c>
      <c r="AG184">
        <f t="shared" si="321"/>
        <v>0.29669999999999996</v>
      </c>
      <c r="AH184">
        <f t="shared" si="322"/>
        <v>98.108800000000002</v>
      </c>
      <c r="AI184">
        <f t="shared" si="323"/>
        <v>31.198598399999998</v>
      </c>
      <c r="AJ184">
        <f t="shared" si="324"/>
        <v>61.514217599999995</v>
      </c>
      <c r="AK184">
        <f t="shared" si="325"/>
        <v>0</v>
      </c>
      <c r="AL184">
        <f t="shared" si="326"/>
        <v>0</v>
      </c>
      <c r="AM184">
        <f t="shared" si="327"/>
        <v>0</v>
      </c>
    </row>
    <row r="185" spans="1:39" x14ac:dyDescent="0.25">
      <c r="A185" s="2" t="s">
        <v>10</v>
      </c>
      <c r="B185" s="1" t="s">
        <v>69</v>
      </c>
      <c r="C185" s="66">
        <v>4.79</v>
      </c>
      <c r="D185" s="66">
        <v>95.199999999999989</v>
      </c>
      <c r="E185" s="66">
        <v>0</v>
      </c>
      <c r="F185" s="66">
        <v>68.300000000000011</v>
      </c>
      <c r="G185" s="66">
        <v>3.16</v>
      </c>
      <c r="H185" s="66">
        <v>96.8</v>
      </c>
      <c r="I185" s="66">
        <v>0</v>
      </c>
      <c r="J185" s="85">
        <v>98.9</v>
      </c>
      <c r="K185" s="66">
        <v>0</v>
      </c>
      <c r="L185" s="66">
        <v>0</v>
      </c>
      <c r="M185" s="66">
        <v>0</v>
      </c>
      <c r="N185" s="75">
        <v>292</v>
      </c>
      <c r="O185" s="67">
        <f t="shared" si="338"/>
        <v>13.986800000000001</v>
      </c>
      <c r="P185" s="67">
        <f t="shared" si="339"/>
        <v>277.98399999999998</v>
      </c>
      <c r="Q185" s="67">
        <f t="shared" si="340"/>
        <v>0</v>
      </c>
      <c r="R185" s="67">
        <f t="shared" si="341"/>
        <v>189.86307200000002</v>
      </c>
      <c r="S185" s="67">
        <f t="shared" si="342"/>
        <v>5.9996730752000005</v>
      </c>
      <c r="T185" s="67">
        <f t="shared" si="343"/>
        <v>183.787453696</v>
      </c>
      <c r="U185" s="67">
        <f t="shared" si="344"/>
        <v>0</v>
      </c>
      <c r="V185" s="67">
        <f t="shared" si="345"/>
        <v>181.76579170534401</v>
      </c>
      <c r="W185" s="76">
        <f t="shared" si="346"/>
        <v>0</v>
      </c>
      <c r="X185" s="67">
        <f t="shared" si="349"/>
        <v>0</v>
      </c>
      <c r="Y185" s="67">
        <f t="shared" si="349"/>
        <v>0</v>
      </c>
      <c r="Z185" s="68" t="s">
        <v>145</v>
      </c>
      <c r="AA185" s="68">
        <f t="shared" si="315"/>
        <v>8.1898245588800176</v>
      </c>
      <c r="AB185" s="84" t="s">
        <v>196</v>
      </c>
      <c r="AC185">
        <f t="shared" si="317"/>
        <v>4.7900000000000009</v>
      </c>
      <c r="AD185">
        <f t="shared" si="318"/>
        <v>95.199999999999989</v>
      </c>
      <c r="AE185">
        <f t="shared" si="319"/>
        <v>0</v>
      </c>
      <c r="AF185">
        <f t="shared" si="320"/>
        <v>65.021600000000007</v>
      </c>
      <c r="AG185">
        <f t="shared" si="321"/>
        <v>2.0546825600000003</v>
      </c>
      <c r="AH185">
        <f t="shared" si="322"/>
        <v>62.940908799999995</v>
      </c>
      <c r="AI185">
        <f t="shared" si="323"/>
        <v>0</v>
      </c>
      <c r="AJ185">
        <f t="shared" si="324"/>
        <v>62.248558803200005</v>
      </c>
      <c r="AK185">
        <f t="shared" si="325"/>
        <v>0</v>
      </c>
      <c r="AL185">
        <f t="shared" si="326"/>
        <v>0</v>
      </c>
      <c r="AM185">
        <f t="shared" si="327"/>
        <v>0</v>
      </c>
    </row>
    <row r="186" spans="1:39" x14ac:dyDescent="0.25">
      <c r="A186" s="2" t="s">
        <v>10</v>
      </c>
      <c r="B186" s="1" t="s">
        <v>41</v>
      </c>
      <c r="C186" s="66">
        <v>0.48</v>
      </c>
      <c r="D186" s="66">
        <v>99.3</v>
      </c>
      <c r="E186" s="66">
        <v>0</v>
      </c>
      <c r="F186" s="66">
        <v>98.7</v>
      </c>
      <c r="G186" s="66">
        <v>34.799999999999997</v>
      </c>
      <c r="H186" s="66">
        <v>54.1</v>
      </c>
      <c r="I186" s="66">
        <v>7.9699999999999989</v>
      </c>
      <c r="J186" s="85">
        <v>88</v>
      </c>
      <c r="K186" s="66">
        <v>0</v>
      </c>
      <c r="L186" s="66">
        <v>0</v>
      </c>
      <c r="M186" s="66">
        <v>0</v>
      </c>
      <c r="N186" s="75">
        <v>10577</v>
      </c>
      <c r="O186" s="67">
        <f t="shared" si="338"/>
        <v>50.769599999999997</v>
      </c>
      <c r="P186" s="67">
        <f t="shared" si="339"/>
        <v>10502.960999999999</v>
      </c>
      <c r="Q186" s="67">
        <f t="shared" si="340"/>
        <v>0</v>
      </c>
      <c r="R186" s="67">
        <f t="shared" si="341"/>
        <v>10366.422506999999</v>
      </c>
      <c r="S186" s="67">
        <f t="shared" si="342"/>
        <v>3607.5150324359997</v>
      </c>
      <c r="T186" s="67">
        <f t="shared" si="343"/>
        <v>5608.2345762869991</v>
      </c>
      <c r="U186" s="67">
        <f t="shared" si="344"/>
        <v>446.97629573007379</v>
      </c>
      <c r="V186" s="67">
        <f t="shared" si="345"/>
        <v>4935.2464271325598</v>
      </c>
      <c r="W186" s="76">
        <f t="shared" si="346"/>
        <v>0</v>
      </c>
      <c r="X186" s="67">
        <f t="shared" si="349"/>
        <v>0</v>
      </c>
      <c r="Y186" s="67">
        <f t="shared" si="349"/>
        <v>0</v>
      </c>
      <c r="Z186" s="68" t="s">
        <v>152</v>
      </c>
      <c r="AA186" s="68">
        <f t="shared" si="315"/>
        <v>13.368642867222434</v>
      </c>
      <c r="AB186" s="84" t="s">
        <v>196</v>
      </c>
      <c r="AC186">
        <f t="shared" si="317"/>
        <v>0.48</v>
      </c>
      <c r="AD186">
        <f t="shared" si="318"/>
        <v>99.299999999999983</v>
      </c>
      <c r="AE186">
        <f t="shared" si="319"/>
        <v>0</v>
      </c>
      <c r="AF186">
        <f t="shared" si="320"/>
        <v>98.009099999999989</v>
      </c>
      <c r="AG186">
        <f t="shared" si="321"/>
        <v>34.107166800000002</v>
      </c>
      <c r="AH186">
        <f t="shared" si="322"/>
        <v>53.0229231</v>
      </c>
      <c r="AI186">
        <f t="shared" si="323"/>
        <v>4.2259269710699989</v>
      </c>
      <c r="AJ186">
        <f t="shared" si="324"/>
        <v>46.660172328000002</v>
      </c>
      <c r="AK186">
        <f t="shared" si="325"/>
        <v>0</v>
      </c>
      <c r="AL186">
        <f t="shared" si="326"/>
        <v>0</v>
      </c>
      <c r="AM186">
        <f t="shared" si="327"/>
        <v>0</v>
      </c>
    </row>
    <row r="187" spans="1:39" x14ac:dyDescent="0.25">
      <c r="A187" s="2" t="s">
        <v>10</v>
      </c>
      <c r="B187" s="1" t="s">
        <v>42</v>
      </c>
      <c r="C187" s="66">
        <v>13.200000000000001</v>
      </c>
      <c r="D187" s="66">
        <v>86.3</v>
      </c>
      <c r="E187" s="66">
        <v>0</v>
      </c>
      <c r="F187" s="66">
        <v>88.7</v>
      </c>
      <c r="G187" s="66">
        <v>0.51</v>
      </c>
      <c r="H187" s="66">
        <v>99.2</v>
      </c>
      <c r="I187" s="66">
        <v>0.13</v>
      </c>
      <c r="J187" s="85">
        <v>99.7</v>
      </c>
      <c r="K187" s="66">
        <v>0</v>
      </c>
      <c r="L187" s="66">
        <v>0</v>
      </c>
      <c r="M187" s="66">
        <v>0</v>
      </c>
      <c r="N187" s="75">
        <v>1022</v>
      </c>
      <c r="O187" s="67">
        <f t="shared" si="338"/>
        <v>134.90400000000002</v>
      </c>
      <c r="P187" s="67">
        <f t="shared" si="339"/>
        <v>881.98599999999988</v>
      </c>
      <c r="Q187" s="67">
        <f t="shared" si="340"/>
        <v>0</v>
      </c>
      <c r="R187" s="67">
        <f t="shared" si="341"/>
        <v>782.32158199999992</v>
      </c>
      <c r="S187" s="67">
        <f t="shared" si="342"/>
        <v>3.9898400681999999</v>
      </c>
      <c r="T187" s="67">
        <f t="shared" si="343"/>
        <v>776.06300934399985</v>
      </c>
      <c r="U187" s="67">
        <f t="shared" si="344"/>
        <v>1.0088819121471999</v>
      </c>
      <c r="V187" s="67">
        <f t="shared" si="345"/>
        <v>773.7348203159678</v>
      </c>
      <c r="W187" s="76">
        <f t="shared" si="346"/>
        <v>0</v>
      </c>
      <c r="X187" s="67">
        <f t="shared" si="349"/>
        <v>0</v>
      </c>
      <c r="Y187" s="67">
        <f t="shared" si="349"/>
        <v>0</v>
      </c>
      <c r="Z187" s="68" t="s">
        <v>150</v>
      </c>
      <c r="AA187" s="68">
        <f t="shared" si="315"/>
        <v>9.9971794809376213</v>
      </c>
      <c r="AB187" s="84" t="s">
        <v>196</v>
      </c>
      <c r="AC187">
        <f t="shared" si="317"/>
        <v>13.200000000000003</v>
      </c>
      <c r="AD187">
        <f t="shared" si="318"/>
        <v>86.299999999999983</v>
      </c>
      <c r="AE187">
        <f t="shared" si="319"/>
        <v>0</v>
      </c>
      <c r="AF187">
        <f t="shared" si="320"/>
        <v>76.548099999999991</v>
      </c>
      <c r="AG187">
        <f t="shared" si="321"/>
        <v>0.39039531</v>
      </c>
      <c r="AH187">
        <f t="shared" si="322"/>
        <v>75.93571519999999</v>
      </c>
      <c r="AI187">
        <f t="shared" si="323"/>
        <v>9.8716429760000002E-2</v>
      </c>
      <c r="AJ187">
        <f t="shared" si="324"/>
        <v>75.707908054399979</v>
      </c>
      <c r="AK187">
        <f t="shared" si="325"/>
        <v>0</v>
      </c>
      <c r="AL187">
        <f t="shared" si="326"/>
        <v>0</v>
      </c>
      <c r="AM187">
        <f t="shared" si="327"/>
        <v>0</v>
      </c>
    </row>
    <row r="188" spans="1:39" x14ac:dyDescent="0.25">
      <c r="A188" s="2" t="s">
        <v>10</v>
      </c>
      <c r="B188" s="1" t="s">
        <v>43</v>
      </c>
      <c r="C188" s="66">
        <v>0.19</v>
      </c>
      <c r="D188" s="66">
        <v>99.6</v>
      </c>
      <c r="E188" s="66">
        <v>0</v>
      </c>
      <c r="F188" s="66">
        <v>94.399999999999991</v>
      </c>
      <c r="G188" s="66">
        <v>1.78</v>
      </c>
      <c r="H188" s="66">
        <v>95.1</v>
      </c>
      <c r="I188" s="66">
        <v>47.699999999999996</v>
      </c>
      <c r="J188" s="85">
        <v>32.9</v>
      </c>
      <c r="K188" s="66">
        <v>10.9</v>
      </c>
      <c r="L188" s="66">
        <v>0</v>
      </c>
      <c r="M188" s="66">
        <v>0</v>
      </c>
      <c r="N188" s="75">
        <v>1074</v>
      </c>
      <c r="O188" s="67">
        <f t="shared" si="338"/>
        <v>2.0406</v>
      </c>
      <c r="P188" s="67">
        <f t="shared" si="339"/>
        <v>1069.704</v>
      </c>
      <c r="Q188" s="67">
        <f t="shared" si="340"/>
        <v>0</v>
      </c>
      <c r="R188" s="67">
        <f t="shared" si="341"/>
        <v>1009.8005759999999</v>
      </c>
      <c r="S188" s="67">
        <f t="shared" si="342"/>
        <v>17.974450252799997</v>
      </c>
      <c r="T188" s="67">
        <f t="shared" si="343"/>
        <v>960.32034777599983</v>
      </c>
      <c r="U188" s="67">
        <f t="shared" si="344"/>
        <v>458.07280588915188</v>
      </c>
      <c r="V188" s="67">
        <f t="shared" si="345"/>
        <v>315.94539441830398</v>
      </c>
      <c r="W188" s="76">
        <f t="shared" si="346"/>
        <v>104.67491790758399</v>
      </c>
      <c r="X188" s="67">
        <f t="shared" si="349"/>
        <v>0</v>
      </c>
      <c r="Y188" s="67">
        <f t="shared" si="349"/>
        <v>0</v>
      </c>
      <c r="Z188" s="68" t="s">
        <v>150</v>
      </c>
      <c r="AA188" s="68">
        <f t="shared" si="315"/>
        <v>10.068778277985414</v>
      </c>
      <c r="AB188" s="84" t="s">
        <v>196</v>
      </c>
      <c r="AC188">
        <f t="shared" si="317"/>
        <v>0.19</v>
      </c>
      <c r="AD188">
        <f t="shared" si="318"/>
        <v>99.6</v>
      </c>
      <c r="AE188">
        <f t="shared" si="319"/>
        <v>0</v>
      </c>
      <c r="AF188">
        <f t="shared" si="320"/>
        <v>94.02239999999999</v>
      </c>
      <c r="AG188">
        <f t="shared" si="321"/>
        <v>1.6735987199999998</v>
      </c>
      <c r="AH188">
        <f t="shared" si="322"/>
        <v>89.415302399999987</v>
      </c>
      <c r="AI188">
        <f t="shared" si="323"/>
        <v>42.651099244799987</v>
      </c>
      <c r="AJ188">
        <f t="shared" si="324"/>
        <v>29.417634489599997</v>
      </c>
      <c r="AK188">
        <f t="shared" si="325"/>
        <v>9.7462679615999992</v>
      </c>
      <c r="AL188">
        <f t="shared" si="326"/>
        <v>0</v>
      </c>
      <c r="AM188">
        <f t="shared" si="327"/>
        <v>0</v>
      </c>
    </row>
    <row r="189" spans="1:39" x14ac:dyDescent="0.25">
      <c r="A189" s="2" t="s">
        <v>10</v>
      </c>
      <c r="B189" s="1" t="s">
        <v>70</v>
      </c>
      <c r="C189" s="66">
        <v>1.49</v>
      </c>
      <c r="D189" s="66">
        <v>98.3</v>
      </c>
      <c r="E189" s="66">
        <v>1.3999999999999999E-2</v>
      </c>
      <c r="F189" s="66">
        <v>99.8</v>
      </c>
      <c r="G189" s="66">
        <v>39.5</v>
      </c>
      <c r="H189" s="66">
        <v>58.199999999999996</v>
      </c>
      <c r="I189" s="66">
        <v>5.2299999999999995</v>
      </c>
      <c r="J189" s="85">
        <v>93.100000000000009</v>
      </c>
      <c r="K189" s="66">
        <v>0</v>
      </c>
      <c r="L189" s="66">
        <v>0</v>
      </c>
      <c r="M189" s="66">
        <v>0</v>
      </c>
      <c r="N189" s="75">
        <v>7534</v>
      </c>
      <c r="O189" s="67">
        <f t="shared" si="338"/>
        <v>112.25659999999999</v>
      </c>
      <c r="P189" s="67">
        <f t="shared" si="339"/>
        <v>7405.9219999999996</v>
      </c>
      <c r="Q189" s="67">
        <f t="shared" si="340"/>
        <v>1.0368290799999997</v>
      </c>
      <c r="R189" s="67">
        <f t="shared" si="341"/>
        <v>7391.1101559999988</v>
      </c>
      <c r="S189" s="67">
        <f t="shared" si="342"/>
        <v>2919.4885116199998</v>
      </c>
      <c r="T189" s="67">
        <f t="shared" si="343"/>
        <v>4301.6261107919991</v>
      </c>
      <c r="U189" s="67">
        <f t="shared" si="344"/>
        <v>224.97504559442154</v>
      </c>
      <c r="V189" s="67">
        <f t="shared" si="345"/>
        <v>4004.8139091473513</v>
      </c>
      <c r="W189" s="76">
        <f t="shared" si="346"/>
        <v>0</v>
      </c>
      <c r="X189" s="67">
        <f t="shared" si="349"/>
        <v>0</v>
      </c>
      <c r="Y189" s="67">
        <f t="shared" si="349"/>
        <v>0</v>
      </c>
      <c r="Z189" s="68" t="s">
        <v>150</v>
      </c>
      <c r="AA189" s="68">
        <f t="shared" si="315"/>
        <v>12.879200317947392</v>
      </c>
      <c r="AB189" s="84" t="s">
        <v>196</v>
      </c>
      <c r="AC189">
        <f t="shared" si="317"/>
        <v>1.4899999999999998</v>
      </c>
      <c r="AD189">
        <f t="shared" si="318"/>
        <v>98.3</v>
      </c>
      <c r="AE189">
        <f t="shared" si="319"/>
        <v>1.3761999999999996E-2</v>
      </c>
      <c r="AF189">
        <f t="shared" si="320"/>
        <v>98.103399999999979</v>
      </c>
      <c r="AG189">
        <f t="shared" si="321"/>
        <v>38.750842999999996</v>
      </c>
      <c r="AH189">
        <f t="shared" si="322"/>
        <v>57.096178799999983</v>
      </c>
      <c r="AI189">
        <f t="shared" si="323"/>
        <v>2.9861301512399994</v>
      </c>
      <c r="AJ189">
        <f t="shared" si="324"/>
        <v>53.15654246279999</v>
      </c>
      <c r="AK189">
        <f t="shared" si="325"/>
        <v>0</v>
      </c>
      <c r="AL189">
        <f t="shared" si="326"/>
        <v>0</v>
      </c>
      <c r="AM189">
        <f t="shared" si="327"/>
        <v>0</v>
      </c>
    </row>
    <row r="190" spans="1:39" x14ac:dyDescent="0.25">
      <c r="A190" s="2" t="s">
        <v>10</v>
      </c>
      <c r="B190" s="1" t="s">
        <v>80</v>
      </c>
      <c r="C190" s="66">
        <v>1.9E-2</v>
      </c>
      <c r="D190" s="66">
        <v>100</v>
      </c>
      <c r="E190" s="66">
        <v>0</v>
      </c>
      <c r="F190" s="66">
        <v>99.3</v>
      </c>
      <c r="G190" s="66">
        <v>0.76</v>
      </c>
      <c r="H190" s="66">
        <v>98.8</v>
      </c>
      <c r="I190" s="66">
        <v>0.03</v>
      </c>
      <c r="J190" s="85">
        <v>99.9</v>
      </c>
      <c r="K190" s="66">
        <v>0</v>
      </c>
      <c r="L190" s="66">
        <v>0</v>
      </c>
      <c r="M190" s="66">
        <v>0</v>
      </c>
      <c r="N190" s="75">
        <v>10273</v>
      </c>
      <c r="O190" s="67">
        <f t="shared" si="338"/>
        <v>1.9518699999999998</v>
      </c>
      <c r="P190" s="67">
        <f t="shared" si="339"/>
        <v>10273</v>
      </c>
      <c r="Q190" s="67">
        <f t="shared" si="340"/>
        <v>0</v>
      </c>
      <c r="R190" s="67">
        <f t="shared" si="341"/>
        <v>10201.089</v>
      </c>
      <c r="S190" s="67">
        <f t="shared" si="342"/>
        <v>77.52827640000001</v>
      </c>
      <c r="T190" s="67">
        <f t="shared" si="343"/>
        <v>10078.675932</v>
      </c>
      <c r="U190" s="67">
        <f t="shared" si="344"/>
        <v>3.0236027796</v>
      </c>
      <c r="V190" s="67">
        <f t="shared" si="345"/>
        <v>10068.597256068</v>
      </c>
      <c r="W190" s="76">
        <f t="shared" si="346"/>
        <v>0</v>
      </c>
      <c r="X190" s="67">
        <f t="shared" si="349"/>
        <v>0</v>
      </c>
      <c r="Y190" s="67">
        <f t="shared" si="349"/>
        <v>0</v>
      </c>
      <c r="Z190" s="68" t="s">
        <v>152</v>
      </c>
      <c r="AA190" s="68">
        <f t="shared" si="315"/>
        <v>13.326569929569812</v>
      </c>
      <c r="AB190" s="84" t="s">
        <v>196</v>
      </c>
      <c r="AC190">
        <f t="shared" si="317"/>
        <v>1.9E-2</v>
      </c>
      <c r="AD190">
        <f t="shared" si="318"/>
        <v>100</v>
      </c>
      <c r="AE190">
        <f t="shared" si="319"/>
        <v>0</v>
      </c>
      <c r="AF190">
        <f t="shared" si="320"/>
        <v>99.3</v>
      </c>
      <c r="AG190">
        <f t="shared" si="321"/>
        <v>0.75468000000000013</v>
      </c>
      <c r="AH190">
        <f t="shared" si="322"/>
        <v>98.108399999999989</v>
      </c>
      <c r="AI190">
        <f t="shared" si="323"/>
        <v>2.9432520000000004E-2</v>
      </c>
      <c r="AJ190">
        <f t="shared" si="324"/>
        <v>98.010291600000002</v>
      </c>
      <c r="AK190">
        <f t="shared" si="325"/>
        <v>0</v>
      </c>
      <c r="AL190">
        <f t="shared" si="326"/>
        <v>0</v>
      </c>
      <c r="AM190">
        <f t="shared" si="327"/>
        <v>0</v>
      </c>
    </row>
    <row r="191" spans="1:39" x14ac:dyDescent="0.25">
      <c r="A191" s="2" t="s">
        <v>10</v>
      </c>
      <c r="B191" s="1" t="s">
        <v>99</v>
      </c>
      <c r="C191" s="66">
        <v>0</v>
      </c>
      <c r="D191" s="66">
        <v>100</v>
      </c>
      <c r="E191" s="66">
        <v>0</v>
      </c>
      <c r="F191" s="66">
        <v>87.6</v>
      </c>
      <c r="G191" s="66">
        <v>2.4299999999999997</v>
      </c>
      <c r="H191" s="66">
        <v>96.2</v>
      </c>
      <c r="I191" s="66">
        <v>14.899999999999999</v>
      </c>
      <c r="J191" s="85">
        <v>83.1</v>
      </c>
      <c r="K191" s="66">
        <v>0</v>
      </c>
      <c r="L191" s="66">
        <v>0</v>
      </c>
      <c r="M191" s="66">
        <v>0</v>
      </c>
      <c r="N191" s="75">
        <v>894</v>
      </c>
      <c r="O191" s="67">
        <f t="shared" si="338"/>
        <v>0</v>
      </c>
      <c r="P191" s="67">
        <f t="shared" si="339"/>
        <v>894</v>
      </c>
      <c r="Q191" s="67">
        <f t="shared" si="340"/>
        <v>0</v>
      </c>
      <c r="R191" s="67">
        <f t="shared" si="341"/>
        <v>783.14399999999989</v>
      </c>
      <c r="S191" s="67">
        <f t="shared" si="342"/>
        <v>19.030399199999994</v>
      </c>
      <c r="T191" s="67">
        <f t="shared" si="343"/>
        <v>753.38452799999982</v>
      </c>
      <c r="U191" s="67">
        <f t="shared" si="344"/>
        <v>112.25429467199996</v>
      </c>
      <c r="V191" s="67">
        <f t="shared" si="345"/>
        <v>626.06254276799984</v>
      </c>
      <c r="W191" s="76">
        <f t="shared" si="346"/>
        <v>0</v>
      </c>
      <c r="X191" s="67">
        <f t="shared" si="349"/>
        <v>0</v>
      </c>
      <c r="Y191" s="67">
        <f t="shared" si="349"/>
        <v>0</v>
      </c>
      <c r="Z191" s="68" t="s">
        <v>145</v>
      </c>
      <c r="AA191" s="68">
        <f t="shared" si="315"/>
        <v>9.8041310211833181</v>
      </c>
      <c r="AB191" s="84" t="s">
        <v>196</v>
      </c>
      <c r="AC191">
        <f t="shared" si="317"/>
        <v>0</v>
      </c>
      <c r="AD191">
        <f t="shared" si="318"/>
        <v>100</v>
      </c>
      <c r="AE191">
        <f t="shared" si="319"/>
        <v>0</v>
      </c>
      <c r="AF191">
        <f t="shared" si="320"/>
        <v>87.6</v>
      </c>
      <c r="AG191">
        <f t="shared" si="321"/>
        <v>2.1286799999999992</v>
      </c>
      <c r="AH191">
        <f t="shared" si="322"/>
        <v>84.271199999999979</v>
      </c>
      <c r="AI191">
        <f t="shared" si="323"/>
        <v>12.556408799999996</v>
      </c>
      <c r="AJ191">
        <f t="shared" si="324"/>
        <v>70.029367199999982</v>
      </c>
      <c r="AK191">
        <f t="shared" si="325"/>
        <v>0</v>
      </c>
      <c r="AL191">
        <f t="shared" si="326"/>
        <v>0</v>
      </c>
      <c r="AM191">
        <f t="shared" si="327"/>
        <v>0</v>
      </c>
    </row>
    <row r="192" spans="1:39" x14ac:dyDescent="0.25">
      <c r="A192" s="2" t="s">
        <v>10</v>
      </c>
      <c r="B192" s="1" t="s">
        <v>97</v>
      </c>
      <c r="C192" s="66">
        <v>4.2299999999999995</v>
      </c>
      <c r="D192" s="66">
        <v>94.699999999999989</v>
      </c>
      <c r="E192" s="66">
        <v>0</v>
      </c>
      <c r="F192" s="66">
        <v>92.600000000000009</v>
      </c>
      <c r="G192" s="66">
        <v>18.7</v>
      </c>
      <c r="H192" s="66">
        <v>74.099999999999994</v>
      </c>
      <c r="I192" s="66">
        <v>14.000000000000002</v>
      </c>
      <c r="J192" s="85">
        <v>33.200000000000003</v>
      </c>
      <c r="K192" s="66">
        <v>45.6</v>
      </c>
      <c r="L192" s="66">
        <v>0</v>
      </c>
      <c r="M192" s="66">
        <v>0</v>
      </c>
      <c r="N192" s="75">
        <v>1536</v>
      </c>
      <c r="O192" s="67">
        <f t="shared" si="338"/>
        <v>64.972799999999992</v>
      </c>
      <c r="P192" s="67">
        <f t="shared" si="339"/>
        <v>1454.5919999999999</v>
      </c>
      <c r="Q192" s="67">
        <f t="shared" si="340"/>
        <v>0</v>
      </c>
      <c r="R192" s="67">
        <f t="shared" si="341"/>
        <v>1346.952192</v>
      </c>
      <c r="S192" s="67">
        <f t="shared" si="342"/>
        <v>251.88005990399998</v>
      </c>
      <c r="T192" s="67">
        <f t="shared" si="343"/>
        <v>998.09157427199989</v>
      </c>
      <c r="U192" s="67">
        <f t="shared" si="344"/>
        <v>139.73282039808001</v>
      </c>
      <c r="V192" s="67">
        <f t="shared" si="345"/>
        <v>331.36640265830397</v>
      </c>
      <c r="W192" s="76">
        <f t="shared" si="346"/>
        <v>455.12975786803196</v>
      </c>
      <c r="X192" s="67">
        <f t="shared" si="349"/>
        <v>0</v>
      </c>
      <c r="Y192" s="67">
        <f t="shared" si="349"/>
        <v>0</v>
      </c>
      <c r="Z192" s="68" t="s">
        <v>150</v>
      </c>
      <c r="AA192" s="68">
        <f t="shared" si="315"/>
        <v>10.584962500721156</v>
      </c>
      <c r="AB192" s="84" t="s">
        <v>196</v>
      </c>
      <c r="AC192">
        <f t="shared" si="317"/>
        <v>4.2299999999999995</v>
      </c>
      <c r="AD192">
        <f t="shared" si="318"/>
        <v>94.699999999999989</v>
      </c>
      <c r="AE192">
        <f t="shared" si="319"/>
        <v>0</v>
      </c>
      <c r="AF192">
        <f t="shared" si="320"/>
        <v>87.6922</v>
      </c>
      <c r="AG192">
        <f t="shared" si="321"/>
        <v>16.398441399999999</v>
      </c>
      <c r="AH192">
        <f t="shared" si="322"/>
        <v>64.979920199999995</v>
      </c>
      <c r="AI192">
        <f t="shared" si="323"/>
        <v>9.0971888280000002</v>
      </c>
      <c r="AJ192">
        <f t="shared" si="324"/>
        <v>21.573333506399997</v>
      </c>
      <c r="AK192">
        <f t="shared" si="325"/>
        <v>29.630843611199996</v>
      </c>
      <c r="AL192">
        <f t="shared" si="326"/>
        <v>0</v>
      </c>
      <c r="AM192">
        <f t="shared" si="327"/>
        <v>0</v>
      </c>
    </row>
    <row r="193" spans="1:39" x14ac:dyDescent="0.25">
      <c r="A193" s="2" t="s">
        <v>10</v>
      </c>
      <c r="B193" s="1" t="s">
        <v>71</v>
      </c>
      <c r="C193" s="66">
        <v>0.05</v>
      </c>
      <c r="D193" s="66">
        <v>99.9</v>
      </c>
      <c r="E193" s="66">
        <v>0</v>
      </c>
      <c r="F193" s="66">
        <v>95.6</v>
      </c>
      <c r="G193" s="66">
        <v>0.84</v>
      </c>
      <c r="H193" s="66">
        <v>98.4</v>
      </c>
      <c r="I193" s="66">
        <v>16.400000000000002</v>
      </c>
      <c r="J193" s="85">
        <v>79.800000000000011</v>
      </c>
      <c r="K193" s="66">
        <v>0</v>
      </c>
      <c r="L193" s="66">
        <v>0</v>
      </c>
      <c r="M193" s="66">
        <v>0</v>
      </c>
      <c r="N193" s="75">
        <v>1987</v>
      </c>
      <c r="O193" s="67">
        <f t="shared" si="338"/>
        <v>0.99350000000000005</v>
      </c>
      <c r="P193" s="67">
        <f t="shared" si="339"/>
        <v>1985.0130000000001</v>
      </c>
      <c r="Q193" s="67">
        <f t="shared" si="340"/>
        <v>0</v>
      </c>
      <c r="R193" s="67">
        <f t="shared" si="341"/>
        <v>1897.6724280000001</v>
      </c>
      <c r="S193" s="67">
        <f t="shared" si="342"/>
        <v>15.940448395200001</v>
      </c>
      <c r="T193" s="67">
        <f t="shared" si="343"/>
        <v>1867.3096691520002</v>
      </c>
      <c r="U193" s="67">
        <f t="shared" si="344"/>
        <v>306.23878574092805</v>
      </c>
      <c r="V193" s="67">
        <f t="shared" si="345"/>
        <v>1490.1131159832962</v>
      </c>
      <c r="W193" s="76">
        <f t="shared" si="346"/>
        <v>0</v>
      </c>
      <c r="X193" s="67">
        <f t="shared" ref="X193:Y205" si="350">L193*W193/100</f>
        <v>0</v>
      </c>
      <c r="Y193" s="67">
        <f t="shared" si="350"/>
        <v>0</v>
      </c>
      <c r="Z193" s="68" t="s">
        <v>150</v>
      </c>
      <c r="AA193" s="68">
        <f t="shared" si="315"/>
        <v>10.956376157249672</v>
      </c>
      <c r="AB193" s="84" t="s">
        <v>196</v>
      </c>
      <c r="AC193">
        <f t="shared" si="317"/>
        <v>0.05</v>
      </c>
      <c r="AD193">
        <f t="shared" si="318"/>
        <v>99.9</v>
      </c>
      <c r="AE193">
        <f t="shared" si="319"/>
        <v>0</v>
      </c>
      <c r="AF193">
        <f t="shared" si="320"/>
        <v>95.504400000000004</v>
      </c>
      <c r="AG193">
        <f t="shared" si="321"/>
        <v>0.80223696000000011</v>
      </c>
      <c r="AH193">
        <f t="shared" si="322"/>
        <v>93.976329600000014</v>
      </c>
      <c r="AI193">
        <f t="shared" si="323"/>
        <v>15.412118054400004</v>
      </c>
      <c r="AJ193">
        <f t="shared" si="324"/>
        <v>74.993111020800001</v>
      </c>
      <c r="AK193">
        <f t="shared" si="325"/>
        <v>0</v>
      </c>
      <c r="AL193">
        <f t="shared" si="326"/>
        <v>0</v>
      </c>
      <c r="AM193">
        <f t="shared" si="327"/>
        <v>0</v>
      </c>
    </row>
    <row r="194" spans="1:39" x14ac:dyDescent="0.25">
      <c r="A194" s="2" t="s">
        <v>10</v>
      </c>
      <c r="B194" s="1" t="s">
        <v>45</v>
      </c>
      <c r="C194" s="66">
        <v>3.2000000000000001E-2</v>
      </c>
      <c r="D194" s="66">
        <v>100</v>
      </c>
      <c r="E194" s="66">
        <v>0</v>
      </c>
      <c r="F194" s="66">
        <v>98.8</v>
      </c>
      <c r="G194" s="66">
        <v>0.44</v>
      </c>
      <c r="H194" s="66">
        <v>99.4</v>
      </c>
      <c r="I194" s="66">
        <v>1.27</v>
      </c>
      <c r="J194" s="85">
        <v>98.5</v>
      </c>
      <c r="K194" s="66">
        <v>0</v>
      </c>
      <c r="L194" s="66">
        <v>0</v>
      </c>
      <c r="M194" s="66">
        <v>0</v>
      </c>
      <c r="N194" s="75">
        <v>6240</v>
      </c>
      <c r="O194" s="67">
        <f t="shared" si="338"/>
        <v>1.9968000000000001</v>
      </c>
      <c r="P194" s="67">
        <f t="shared" si="339"/>
        <v>6240</v>
      </c>
      <c r="Q194" s="67">
        <f t="shared" si="340"/>
        <v>0</v>
      </c>
      <c r="R194" s="67">
        <f t="shared" si="341"/>
        <v>6165.12</v>
      </c>
      <c r="S194" s="67">
        <f t="shared" si="342"/>
        <v>27.126527999999997</v>
      </c>
      <c r="T194" s="67">
        <f t="shared" si="343"/>
        <v>6128.129280000001</v>
      </c>
      <c r="U194" s="67">
        <f t="shared" si="344"/>
        <v>77.827241856000015</v>
      </c>
      <c r="V194" s="67">
        <f t="shared" si="345"/>
        <v>6036.2073408000006</v>
      </c>
      <c r="W194" s="76">
        <f t="shared" si="346"/>
        <v>0</v>
      </c>
      <c r="X194" s="67">
        <f t="shared" si="350"/>
        <v>0</v>
      </c>
      <c r="Y194" s="67">
        <f t="shared" si="350"/>
        <v>0</v>
      </c>
      <c r="Z194" s="68" t="s">
        <v>150</v>
      </c>
      <c r="AA194" s="68">
        <f t="shared" ref="AA194:AA257" si="351">LOG(N194,2)</f>
        <v>12.607330313749612</v>
      </c>
      <c r="AB194" s="84" t="s">
        <v>196</v>
      </c>
      <c r="AC194">
        <f t="shared" si="317"/>
        <v>3.2000000000000001E-2</v>
      </c>
      <c r="AD194">
        <f t="shared" si="318"/>
        <v>100</v>
      </c>
      <c r="AE194">
        <f t="shared" si="319"/>
        <v>0</v>
      </c>
      <c r="AF194">
        <f t="shared" si="320"/>
        <v>98.8</v>
      </c>
      <c r="AG194">
        <f t="shared" si="321"/>
        <v>0.43472</v>
      </c>
      <c r="AH194">
        <f t="shared" si="322"/>
        <v>98.207200000000014</v>
      </c>
      <c r="AI194">
        <f t="shared" si="323"/>
        <v>1.2472314400000002</v>
      </c>
      <c r="AJ194">
        <f t="shared" si="324"/>
        <v>96.734092000000004</v>
      </c>
      <c r="AK194">
        <f t="shared" si="325"/>
        <v>0</v>
      </c>
      <c r="AL194">
        <f t="shared" si="326"/>
        <v>0</v>
      </c>
      <c r="AM194">
        <f t="shared" si="327"/>
        <v>0</v>
      </c>
    </row>
    <row r="195" spans="1:39" x14ac:dyDescent="0.25">
      <c r="A195" s="2" t="s">
        <v>10</v>
      </c>
      <c r="B195" s="1" t="s">
        <v>94</v>
      </c>
      <c r="C195" s="66">
        <v>0.48</v>
      </c>
      <c r="D195" s="66">
        <v>99.5</v>
      </c>
      <c r="E195" s="66">
        <v>0</v>
      </c>
      <c r="F195" s="66">
        <v>78.400000000000006</v>
      </c>
      <c r="G195" s="66">
        <v>7.6499999999999995</v>
      </c>
      <c r="H195" s="66">
        <v>90.2</v>
      </c>
      <c r="I195" s="66">
        <v>9.49</v>
      </c>
      <c r="J195" s="85">
        <v>86.1</v>
      </c>
      <c r="K195" s="66">
        <v>0</v>
      </c>
      <c r="L195" s="66">
        <v>0</v>
      </c>
      <c r="M195" s="66">
        <v>0</v>
      </c>
      <c r="N195" s="75">
        <v>419</v>
      </c>
      <c r="O195" s="67">
        <f t="shared" si="338"/>
        <v>2.0112000000000001</v>
      </c>
      <c r="P195" s="67">
        <f t="shared" si="339"/>
        <v>416.90499999999997</v>
      </c>
      <c r="Q195" s="67">
        <f t="shared" si="340"/>
        <v>0</v>
      </c>
      <c r="R195" s="67">
        <f t="shared" si="341"/>
        <v>326.85352</v>
      </c>
      <c r="S195" s="67">
        <f t="shared" si="342"/>
        <v>25.00429428</v>
      </c>
      <c r="T195" s="67">
        <f t="shared" si="343"/>
        <v>294.82187504000001</v>
      </c>
      <c r="U195" s="67">
        <f t="shared" si="344"/>
        <v>27.978595941296003</v>
      </c>
      <c r="V195" s="67">
        <f t="shared" si="345"/>
        <v>253.84163440943996</v>
      </c>
      <c r="W195" s="76">
        <f t="shared" si="346"/>
        <v>0</v>
      </c>
      <c r="X195" s="67">
        <f t="shared" si="350"/>
        <v>0</v>
      </c>
      <c r="Y195" s="67">
        <f t="shared" si="350"/>
        <v>0</v>
      </c>
      <c r="Z195" s="68" t="s">
        <v>145</v>
      </c>
      <c r="AA195" s="68">
        <f t="shared" si="351"/>
        <v>8.7108064336993518</v>
      </c>
      <c r="AB195" s="84" t="s">
        <v>196</v>
      </c>
      <c r="AC195">
        <f t="shared" ref="AC195:AC258" si="352">(O195/N195)*100</f>
        <v>0.48000000000000004</v>
      </c>
      <c r="AD195">
        <f t="shared" ref="AD195:AD258" si="353">(P195/N195)*100</f>
        <v>99.499999999999986</v>
      </c>
      <c r="AE195">
        <f t="shared" ref="AE195:AE258" si="354">(Q195/N195)*100</f>
        <v>0</v>
      </c>
      <c r="AF195">
        <f t="shared" ref="AF195:AF258" si="355">(R195/N195)*100</f>
        <v>78.007999999999996</v>
      </c>
      <c r="AG195">
        <f t="shared" ref="AG195:AG258" si="356">(S195/N195)*100</f>
        <v>5.9676119999999999</v>
      </c>
      <c r="AH195">
        <f t="shared" ref="AH195:AH258" si="357">(T195/N195)*100</f>
        <v>70.363216000000008</v>
      </c>
      <c r="AI195">
        <f t="shared" ref="AI195:AI258" si="358">(U195/N195)*100</f>
        <v>6.6774691984000007</v>
      </c>
      <c r="AJ195">
        <f t="shared" ref="AJ195:AJ258" si="359">(V195/N195)*100</f>
        <v>60.582728975999991</v>
      </c>
      <c r="AK195">
        <f t="shared" ref="AK195:AK258" si="360">(W195/N195)*100</f>
        <v>0</v>
      </c>
      <c r="AL195">
        <f t="shared" ref="AL195:AL258" si="361">(X195/N195)*100</f>
        <v>0</v>
      </c>
      <c r="AM195">
        <f t="shared" ref="AM195:AM258" si="362">(Y195/N195)*100</f>
        <v>0</v>
      </c>
    </row>
    <row r="196" spans="1:39" x14ac:dyDescent="0.25">
      <c r="A196" s="65" t="s">
        <v>46</v>
      </c>
      <c r="B196" s="1" t="s">
        <v>72</v>
      </c>
      <c r="C196" s="66">
        <v>0</v>
      </c>
      <c r="D196" s="66">
        <v>99</v>
      </c>
      <c r="E196" s="66">
        <v>2.06</v>
      </c>
      <c r="F196" s="66">
        <v>89.7</v>
      </c>
      <c r="G196" s="66">
        <v>13.8</v>
      </c>
      <c r="H196" s="66">
        <v>74.7</v>
      </c>
      <c r="I196" s="66">
        <v>18.5</v>
      </c>
      <c r="J196" s="85">
        <v>7.6899999999999995</v>
      </c>
      <c r="K196" s="66">
        <v>43.1</v>
      </c>
      <c r="L196" s="66">
        <v>0</v>
      </c>
      <c r="M196" s="66">
        <v>0</v>
      </c>
      <c r="N196" s="75">
        <v>98</v>
      </c>
      <c r="O196" s="67">
        <f t="shared" si="338"/>
        <v>0</v>
      </c>
      <c r="P196" s="67">
        <f t="shared" si="339"/>
        <v>97.02</v>
      </c>
      <c r="Q196" s="67">
        <f t="shared" si="340"/>
        <v>1.9986120000000001</v>
      </c>
      <c r="R196" s="67">
        <f t="shared" si="341"/>
        <v>87.026939999999996</v>
      </c>
      <c r="S196" s="67">
        <f t="shared" si="342"/>
        <v>12.009717720000001</v>
      </c>
      <c r="T196" s="67">
        <f t="shared" si="343"/>
        <v>65.009124180000001</v>
      </c>
      <c r="U196" s="67">
        <f t="shared" si="344"/>
        <v>12.0266879733</v>
      </c>
      <c r="V196" s="67">
        <f t="shared" si="345"/>
        <v>4.999201649442</v>
      </c>
      <c r="W196" s="76">
        <f t="shared" si="346"/>
        <v>28.018932521579998</v>
      </c>
      <c r="X196" s="67">
        <f t="shared" si="350"/>
        <v>0</v>
      </c>
      <c r="Y196" s="67">
        <f t="shared" si="350"/>
        <v>0</v>
      </c>
      <c r="Z196" s="68" t="s">
        <v>151</v>
      </c>
      <c r="AA196" s="68">
        <f t="shared" si="351"/>
        <v>6.6147098441152092</v>
      </c>
      <c r="AB196" s="84" t="s">
        <v>196</v>
      </c>
      <c r="AC196">
        <f t="shared" si="352"/>
        <v>0</v>
      </c>
      <c r="AD196">
        <f t="shared" si="353"/>
        <v>99</v>
      </c>
      <c r="AE196">
        <f t="shared" si="354"/>
        <v>2.0394000000000001</v>
      </c>
      <c r="AF196">
        <f t="shared" si="355"/>
        <v>88.802999999999997</v>
      </c>
      <c r="AG196">
        <f t="shared" si="356"/>
        <v>12.254814000000001</v>
      </c>
      <c r="AH196">
        <f t="shared" si="357"/>
        <v>66.335841000000002</v>
      </c>
      <c r="AI196">
        <f t="shared" si="358"/>
        <v>12.272130584999999</v>
      </c>
      <c r="AJ196">
        <f t="shared" si="359"/>
        <v>5.1012261729000006</v>
      </c>
      <c r="AK196">
        <f t="shared" si="360"/>
        <v>28.590747471</v>
      </c>
      <c r="AL196">
        <f t="shared" si="361"/>
        <v>0</v>
      </c>
      <c r="AM196">
        <f t="shared" si="362"/>
        <v>0</v>
      </c>
    </row>
    <row r="197" spans="1:39" x14ac:dyDescent="0.25">
      <c r="A197" s="65" t="s">
        <v>46</v>
      </c>
      <c r="B197" s="1" t="s">
        <v>11</v>
      </c>
      <c r="C197" s="66">
        <v>0.94000000000000006</v>
      </c>
      <c r="D197" s="66">
        <v>99.1</v>
      </c>
      <c r="E197" s="66">
        <v>0</v>
      </c>
      <c r="F197" s="66">
        <v>89.5</v>
      </c>
      <c r="G197" s="66">
        <v>7.4499999999999993</v>
      </c>
      <c r="H197" s="66">
        <v>61.7</v>
      </c>
      <c r="I197" s="66">
        <v>24.099999999999998</v>
      </c>
      <c r="J197" s="85">
        <v>3.45</v>
      </c>
      <c r="K197" s="66">
        <v>37.9</v>
      </c>
      <c r="L197" s="66">
        <v>0</v>
      </c>
      <c r="M197" s="66">
        <v>0</v>
      </c>
      <c r="N197" s="75">
        <v>106</v>
      </c>
      <c r="O197" s="67">
        <f t="shared" si="338"/>
        <v>0.99639999999999995</v>
      </c>
      <c r="P197" s="67">
        <f t="shared" si="339"/>
        <v>105.04599999999999</v>
      </c>
      <c r="Q197" s="67">
        <f t="shared" si="340"/>
        <v>0</v>
      </c>
      <c r="R197" s="67">
        <f t="shared" si="341"/>
        <v>94.016170000000002</v>
      </c>
      <c r="S197" s="67">
        <f t="shared" si="342"/>
        <v>7.0042046649999996</v>
      </c>
      <c r="T197" s="67">
        <f t="shared" si="343"/>
        <v>58.007976890000002</v>
      </c>
      <c r="U197" s="67">
        <f t="shared" si="344"/>
        <v>13.979922430489999</v>
      </c>
      <c r="V197" s="67">
        <f t="shared" si="345"/>
        <v>2.001275202705</v>
      </c>
      <c r="W197" s="76">
        <f t="shared" si="346"/>
        <v>21.98502324131</v>
      </c>
      <c r="X197" s="67">
        <f t="shared" si="350"/>
        <v>0</v>
      </c>
      <c r="Y197" s="67">
        <f t="shared" si="350"/>
        <v>0</v>
      </c>
      <c r="Z197" s="68" t="s">
        <v>145</v>
      </c>
      <c r="AA197" s="68">
        <f t="shared" si="351"/>
        <v>6.7279204545631988</v>
      </c>
      <c r="AB197" s="84" t="s">
        <v>196</v>
      </c>
      <c r="AC197">
        <f t="shared" si="352"/>
        <v>0.94000000000000006</v>
      </c>
      <c r="AD197">
        <f t="shared" si="353"/>
        <v>99.1</v>
      </c>
      <c r="AE197">
        <f t="shared" si="354"/>
        <v>0</v>
      </c>
      <c r="AF197">
        <f t="shared" si="355"/>
        <v>88.694500000000005</v>
      </c>
      <c r="AG197">
        <f t="shared" si="356"/>
        <v>6.6077402499999991</v>
      </c>
      <c r="AH197">
        <f t="shared" si="357"/>
        <v>54.724506500000004</v>
      </c>
      <c r="AI197">
        <f t="shared" si="358"/>
        <v>13.1886060665</v>
      </c>
      <c r="AJ197">
        <f t="shared" si="359"/>
        <v>1.88799547425</v>
      </c>
      <c r="AK197">
        <f t="shared" si="360"/>
        <v>20.740587963499998</v>
      </c>
      <c r="AL197">
        <f t="shared" si="361"/>
        <v>0</v>
      </c>
      <c r="AM197">
        <f t="shared" si="362"/>
        <v>0</v>
      </c>
    </row>
    <row r="198" spans="1:39" x14ac:dyDescent="0.25">
      <c r="A198" s="65" t="s">
        <v>46</v>
      </c>
      <c r="B198" s="1" t="s">
        <v>12</v>
      </c>
      <c r="C198" s="66">
        <v>1.1199999999999999</v>
      </c>
      <c r="D198" s="66">
        <v>98.9</v>
      </c>
      <c r="E198" s="66">
        <v>0</v>
      </c>
      <c r="F198" s="66">
        <v>97.2</v>
      </c>
      <c r="G198" s="66">
        <v>13.5</v>
      </c>
      <c r="H198" s="66">
        <v>60.8</v>
      </c>
      <c r="I198" s="66">
        <v>32.700000000000003</v>
      </c>
      <c r="J198" s="85">
        <v>10.6</v>
      </c>
      <c r="K198" s="66">
        <v>39.4</v>
      </c>
      <c r="L198" s="66">
        <v>0</v>
      </c>
      <c r="M198" s="66">
        <v>0</v>
      </c>
      <c r="N198" s="75">
        <v>178</v>
      </c>
      <c r="O198" s="67">
        <f t="shared" si="338"/>
        <v>1.9935999999999998</v>
      </c>
      <c r="P198" s="67">
        <f t="shared" si="339"/>
        <v>176.042</v>
      </c>
      <c r="Q198" s="67">
        <f t="shared" si="340"/>
        <v>0</v>
      </c>
      <c r="R198" s="67">
        <f t="shared" si="341"/>
        <v>171.11282399999999</v>
      </c>
      <c r="S198" s="67">
        <f t="shared" si="342"/>
        <v>23.100231239999999</v>
      </c>
      <c r="T198" s="67">
        <f t="shared" si="343"/>
        <v>104.036596992</v>
      </c>
      <c r="U198" s="67">
        <f t="shared" si="344"/>
        <v>34.019967216384003</v>
      </c>
      <c r="V198" s="67">
        <f t="shared" si="345"/>
        <v>11.027879281152</v>
      </c>
      <c r="W198" s="76">
        <f t="shared" si="346"/>
        <v>40.990419214847996</v>
      </c>
      <c r="X198" s="67">
        <f t="shared" si="350"/>
        <v>0</v>
      </c>
      <c r="Y198" s="67">
        <f t="shared" si="350"/>
        <v>0</v>
      </c>
      <c r="Z198" s="68" t="s">
        <v>145</v>
      </c>
      <c r="AA198" s="68">
        <f t="shared" si="351"/>
        <v>7.4757334309663976</v>
      </c>
      <c r="AB198" s="84" t="s">
        <v>196</v>
      </c>
      <c r="AC198">
        <f t="shared" si="352"/>
        <v>1.1199999999999999</v>
      </c>
      <c r="AD198">
        <f t="shared" si="353"/>
        <v>98.9</v>
      </c>
      <c r="AE198">
        <f t="shared" si="354"/>
        <v>0</v>
      </c>
      <c r="AF198">
        <f t="shared" si="355"/>
        <v>96.130799999999994</v>
      </c>
      <c r="AG198">
        <f t="shared" si="356"/>
        <v>12.977658</v>
      </c>
      <c r="AH198">
        <f t="shared" si="357"/>
        <v>58.447526400000008</v>
      </c>
      <c r="AI198">
        <f t="shared" si="358"/>
        <v>19.112341132800001</v>
      </c>
      <c r="AJ198">
        <f t="shared" si="359"/>
        <v>6.1954377983999995</v>
      </c>
      <c r="AK198">
        <f t="shared" si="360"/>
        <v>23.028325401599997</v>
      </c>
      <c r="AL198">
        <f t="shared" si="361"/>
        <v>0</v>
      </c>
      <c r="AM198">
        <f t="shared" si="362"/>
        <v>0</v>
      </c>
    </row>
    <row r="199" spans="1:39" x14ac:dyDescent="0.25">
      <c r="A199" s="65" t="s">
        <v>46</v>
      </c>
      <c r="B199" s="1" t="s">
        <v>13</v>
      </c>
      <c r="C199" s="66">
        <v>0</v>
      </c>
      <c r="D199" s="66">
        <v>100</v>
      </c>
      <c r="E199" s="66">
        <v>0</v>
      </c>
      <c r="F199" s="66">
        <v>92.4</v>
      </c>
      <c r="G199" s="66">
        <v>31.1</v>
      </c>
      <c r="H199" s="66">
        <v>60.699999999999996</v>
      </c>
      <c r="I199" s="66">
        <v>0</v>
      </c>
      <c r="J199" s="85">
        <v>89.2</v>
      </c>
      <c r="K199" s="66">
        <v>0</v>
      </c>
      <c r="L199" s="66">
        <v>0</v>
      </c>
      <c r="M199" s="66">
        <v>0</v>
      </c>
      <c r="N199" s="75">
        <v>66</v>
      </c>
      <c r="O199" s="67">
        <f t="shared" si="338"/>
        <v>0</v>
      </c>
      <c r="P199" s="67">
        <f t="shared" si="339"/>
        <v>66</v>
      </c>
      <c r="Q199" s="67">
        <f t="shared" si="340"/>
        <v>0</v>
      </c>
      <c r="R199" s="67">
        <f t="shared" si="341"/>
        <v>60.984000000000009</v>
      </c>
      <c r="S199" s="67">
        <f t="shared" si="342"/>
        <v>18.966024000000004</v>
      </c>
      <c r="T199" s="67">
        <f t="shared" si="343"/>
        <v>37.017288000000001</v>
      </c>
      <c r="U199" s="67">
        <f t="shared" si="344"/>
        <v>0</v>
      </c>
      <c r="V199" s="67">
        <f t="shared" si="345"/>
        <v>33.019420896</v>
      </c>
      <c r="W199" s="76">
        <f t="shared" si="346"/>
        <v>0</v>
      </c>
      <c r="X199" s="67">
        <f t="shared" si="350"/>
        <v>0</v>
      </c>
      <c r="Y199" s="67">
        <f t="shared" si="350"/>
        <v>0</v>
      </c>
      <c r="Z199" s="68" t="s">
        <v>150</v>
      </c>
      <c r="AA199" s="68">
        <f t="shared" si="351"/>
        <v>6.0443941193584534</v>
      </c>
      <c r="AB199" s="84" t="s">
        <v>196</v>
      </c>
      <c r="AC199">
        <f t="shared" si="352"/>
        <v>0</v>
      </c>
      <c r="AD199">
        <f t="shared" si="353"/>
        <v>100</v>
      </c>
      <c r="AE199">
        <f t="shared" si="354"/>
        <v>0</v>
      </c>
      <c r="AF199">
        <f t="shared" si="355"/>
        <v>92.40000000000002</v>
      </c>
      <c r="AG199">
        <f t="shared" si="356"/>
        <v>28.736400000000007</v>
      </c>
      <c r="AH199">
        <f t="shared" si="357"/>
        <v>56.086800000000004</v>
      </c>
      <c r="AI199">
        <f t="shared" si="358"/>
        <v>0</v>
      </c>
      <c r="AJ199">
        <f t="shared" si="359"/>
        <v>50.029425599999996</v>
      </c>
      <c r="AK199">
        <f t="shared" si="360"/>
        <v>0</v>
      </c>
      <c r="AL199">
        <f t="shared" si="361"/>
        <v>0</v>
      </c>
      <c r="AM199">
        <f t="shared" si="362"/>
        <v>0</v>
      </c>
    </row>
    <row r="200" spans="1:39" x14ac:dyDescent="0.25">
      <c r="A200" s="65" t="s">
        <v>46</v>
      </c>
      <c r="B200" s="1" t="s">
        <v>14</v>
      </c>
      <c r="C200" s="66">
        <v>0.64</v>
      </c>
      <c r="D200" s="66">
        <v>99.4</v>
      </c>
      <c r="E200" s="66">
        <v>0</v>
      </c>
      <c r="F200" s="66">
        <v>97.899999999999991</v>
      </c>
      <c r="G200" s="66">
        <v>35.799999999999997</v>
      </c>
      <c r="H200" s="66">
        <v>59.8</v>
      </c>
      <c r="I200" s="66">
        <v>1.0900000000000001</v>
      </c>
      <c r="J200" s="85">
        <v>97.3</v>
      </c>
      <c r="K200" s="66">
        <v>0.27</v>
      </c>
      <c r="L200" s="66">
        <v>0</v>
      </c>
      <c r="M200" s="66">
        <v>0</v>
      </c>
      <c r="N200" s="75">
        <v>629</v>
      </c>
      <c r="O200" s="67">
        <f t="shared" si="338"/>
        <v>4.0255999999999998</v>
      </c>
      <c r="P200" s="67">
        <f t="shared" si="339"/>
        <v>625.22600000000011</v>
      </c>
      <c r="Q200" s="67">
        <f t="shared" si="340"/>
        <v>0</v>
      </c>
      <c r="R200" s="67">
        <f t="shared" si="341"/>
        <v>612.09625400000004</v>
      </c>
      <c r="S200" s="67">
        <f t="shared" si="342"/>
        <v>219.13045893200001</v>
      </c>
      <c r="T200" s="67">
        <f t="shared" si="343"/>
        <v>366.03355989199997</v>
      </c>
      <c r="U200" s="67">
        <f t="shared" si="344"/>
        <v>3.9897658028228</v>
      </c>
      <c r="V200" s="67">
        <f t="shared" si="345"/>
        <v>356.15065377491601</v>
      </c>
      <c r="W200" s="76">
        <f t="shared" si="346"/>
        <v>0.98829061170839994</v>
      </c>
      <c r="X200" s="67">
        <f t="shared" si="350"/>
        <v>0</v>
      </c>
      <c r="Y200" s="67">
        <f t="shared" si="350"/>
        <v>0</v>
      </c>
      <c r="Z200" s="68" t="s">
        <v>145</v>
      </c>
      <c r="AA200" s="68">
        <f t="shared" si="351"/>
        <v>9.2969162068792901</v>
      </c>
      <c r="AB200" s="84" t="s">
        <v>196</v>
      </c>
      <c r="AC200">
        <f t="shared" si="352"/>
        <v>0.6399999999999999</v>
      </c>
      <c r="AD200">
        <f t="shared" si="353"/>
        <v>99.40000000000002</v>
      </c>
      <c r="AE200">
        <f t="shared" si="354"/>
        <v>0</v>
      </c>
      <c r="AF200">
        <f t="shared" si="355"/>
        <v>97.312600000000003</v>
      </c>
      <c r="AG200">
        <f t="shared" si="356"/>
        <v>34.837910799999996</v>
      </c>
      <c r="AH200">
        <f t="shared" si="357"/>
        <v>58.192934799999996</v>
      </c>
      <c r="AI200">
        <f t="shared" si="358"/>
        <v>0.63430298932000007</v>
      </c>
      <c r="AJ200">
        <f t="shared" si="359"/>
        <v>56.621725560400002</v>
      </c>
      <c r="AK200">
        <f t="shared" si="360"/>
        <v>0.15712092395999999</v>
      </c>
      <c r="AL200">
        <f t="shared" si="361"/>
        <v>0</v>
      </c>
      <c r="AM200">
        <f t="shared" si="362"/>
        <v>0</v>
      </c>
    </row>
    <row r="201" spans="1:39" x14ac:dyDescent="0.25">
      <c r="A201" s="65" t="s">
        <v>46</v>
      </c>
      <c r="B201" s="1" t="s">
        <v>15</v>
      </c>
      <c r="C201" s="66">
        <v>4.17</v>
      </c>
      <c r="D201" s="66">
        <v>95.5</v>
      </c>
      <c r="E201" s="66">
        <v>0</v>
      </c>
      <c r="F201" s="66">
        <v>100</v>
      </c>
      <c r="G201" s="66">
        <v>0.47000000000000003</v>
      </c>
      <c r="H201" s="66">
        <v>99.3</v>
      </c>
      <c r="I201" s="66">
        <v>0</v>
      </c>
      <c r="J201" s="85">
        <v>99.9</v>
      </c>
      <c r="K201" s="66">
        <v>6.9999999999999993E-2</v>
      </c>
      <c r="L201" s="66">
        <v>0</v>
      </c>
      <c r="M201" s="66">
        <v>0</v>
      </c>
      <c r="N201" s="75">
        <v>10506</v>
      </c>
      <c r="O201" s="67">
        <f t="shared" si="338"/>
        <v>438.10019999999997</v>
      </c>
      <c r="P201" s="67">
        <f t="shared" si="339"/>
        <v>10033.23</v>
      </c>
      <c r="Q201" s="67">
        <f t="shared" si="340"/>
        <v>0</v>
      </c>
      <c r="R201" s="67">
        <f t="shared" si="341"/>
        <v>10033.23</v>
      </c>
      <c r="S201" s="67">
        <f t="shared" si="342"/>
        <v>47.156180999999997</v>
      </c>
      <c r="T201" s="67">
        <f t="shared" si="343"/>
        <v>9962.9973899999986</v>
      </c>
      <c r="U201" s="67">
        <f t="shared" si="344"/>
        <v>0</v>
      </c>
      <c r="V201" s="67">
        <f t="shared" si="345"/>
        <v>9953.0343926099995</v>
      </c>
      <c r="W201" s="76">
        <f t="shared" si="346"/>
        <v>6.9740981729999989</v>
      </c>
      <c r="X201" s="67">
        <f t="shared" si="350"/>
        <v>0</v>
      </c>
      <c r="Y201" s="67">
        <f t="shared" si="350"/>
        <v>0</v>
      </c>
      <c r="Z201" s="68" t="s">
        <v>152</v>
      </c>
      <c r="AA201" s="68">
        <f t="shared" si="351"/>
        <v>13.358925869154715</v>
      </c>
      <c r="AB201" s="84" t="s">
        <v>196</v>
      </c>
      <c r="AC201">
        <f t="shared" si="352"/>
        <v>4.169999999999999</v>
      </c>
      <c r="AD201">
        <f t="shared" si="353"/>
        <v>95.5</v>
      </c>
      <c r="AE201">
        <f t="shared" si="354"/>
        <v>0</v>
      </c>
      <c r="AF201">
        <f t="shared" si="355"/>
        <v>95.5</v>
      </c>
      <c r="AG201">
        <f t="shared" si="356"/>
        <v>0.44884999999999997</v>
      </c>
      <c r="AH201">
        <f t="shared" si="357"/>
        <v>94.831499999999991</v>
      </c>
      <c r="AI201">
        <f t="shared" si="358"/>
        <v>0</v>
      </c>
      <c r="AJ201">
        <f t="shared" si="359"/>
        <v>94.736668499999993</v>
      </c>
      <c r="AK201">
        <f t="shared" si="360"/>
        <v>6.6382049999999998E-2</v>
      </c>
      <c r="AL201">
        <f t="shared" si="361"/>
        <v>0</v>
      </c>
      <c r="AM201">
        <f t="shared" si="362"/>
        <v>0</v>
      </c>
    </row>
    <row r="202" spans="1:39" x14ac:dyDescent="0.25">
      <c r="A202" s="65" t="s">
        <v>46</v>
      </c>
      <c r="B202" s="1" t="s">
        <v>88</v>
      </c>
      <c r="C202" s="66">
        <v>0.12</v>
      </c>
      <c r="D202" s="66">
        <v>99.8</v>
      </c>
      <c r="E202" s="66">
        <v>4.6600000000000001E-3</v>
      </c>
      <c r="F202" s="66">
        <v>99.9</v>
      </c>
      <c r="G202" s="66">
        <v>19.100000000000001</v>
      </c>
      <c r="H202" s="66">
        <v>79</v>
      </c>
      <c r="I202" s="66">
        <v>3.6900000000000004</v>
      </c>
      <c r="J202" s="85">
        <v>94.899999999999991</v>
      </c>
      <c r="K202" s="66">
        <v>5.9100000000000003E-3</v>
      </c>
      <c r="L202" s="66">
        <v>0</v>
      </c>
      <c r="M202" s="66">
        <v>0</v>
      </c>
      <c r="N202" s="75">
        <v>21505</v>
      </c>
      <c r="O202" s="67">
        <f t="shared" si="338"/>
        <v>25.805999999999997</v>
      </c>
      <c r="P202" s="67">
        <f t="shared" si="339"/>
        <v>21461.99</v>
      </c>
      <c r="Q202" s="67">
        <f t="shared" si="340"/>
        <v>1.000128734</v>
      </c>
      <c r="R202" s="67">
        <f t="shared" si="341"/>
        <v>21440.528010000005</v>
      </c>
      <c r="S202" s="67">
        <f t="shared" si="342"/>
        <v>4095.1408499100012</v>
      </c>
      <c r="T202" s="67">
        <f t="shared" si="343"/>
        <v>16938.017127900006</v>
      </c>
      <c r="U202" s="67">
        <f t="shared" si="344"/>
        <v>625.01283201951037</v>
      </c>
      <c r="V202" s="67">
        <f t="shared" si="345"/>
        <v>16074.178254377104</v>
      </c>
      <c r="W202" s="76">
        <f t="shared" si="346"/>
        <v>1.0010368122588904</v>
      </c>
      <c r="X202" s="67">
        <f t="shared" si="350"/>
        <v>0</v>
      </c>
      <c r="Y202" s="67">
        <f t="shared" si="350"/>
        <v>0</v>
      </c>
      <c r="Z202" s="68" t="s">
        <v>152</v>
      </c>
      <c r="AA202" s="68">
        <f t="shared" si="351"/>
        <v>14.392384510832013</v>
      </c>
      <c r="AB202" s="84" t="s">
        <v>196</v>
      </c>
      <c r="AC202">
        <f t="shared" si="352"/>
        <v>0.12</v>
      </c>
      <c r="AD202">
        <f t="shared" si="353"/>
        <v>99.800000000000011</v>
      </c>
      <c r="AE202">
        <f t="shared" si="354"/>
        <v>4.6506799999999999E-3</v>
      </c>
      <c r="AF202">
        <f t="shared" si="355"/>
        <v>99.700200000000024</v>
      </c>
      <c r="AG202">
        <f t="shared" si="356"/>
        <v>19.042738200000006</v>
      </c>
      <c r="AH202">
        <f t="shared" si="357"/>
        <v>78.763158000000033</v>
      </c>
      <c r="AI202">
        <f t="shared" si="358"/>
        <v>2.906360530200002</v>
      </c>
      <c r="AJ202">
        <f t="shared" si="359"/>
        <v>74.746236942000024</v>
      </c>
      <c r="AK202">
        <f t="shared" si="360"/>
        <v>4.6549026378000019E-3</v>
      </c>
      <c r="AL202">
        <f t="shared" si="361"/>
        <v>0</v>
      </c>
      <c r="AM202">
        <f t="shared" si="362"/>
        <v>0</v>
      </c>
    </row>
    <row r="203" spans="1:39" x14ac:dyDescent="0.25">
      <c r="A203" s="65" t="s">
        <v>46</v>
      </c>
      <c r="B203" s="1" t="s">
        <v>16</v>
      </c>
      <c r="C203" s="66">
        <v>0</v>
      </c>
      <c r="D203" s="66">
        <v>100</v>
      </c>
      <c r="E203" s="66">
        <v>0</v>
      </c>
      <c r="F203" s="66">
        <v>99.9</v>
      </c>
      <c r="G203" s="66">
        <v>0.44999999999999996</v>
      </c>
      <c r="H203" s="66">
        <v>99.4</v>
      </c>
      <c r="I203" s="66">
        <v>0</v>
      </c>
      <c r="J203" s="85">
        <v>99.9</v>
      </c>
      <c r="K203" s="66">
        <v>4.1000000000000002E-2</v>
      </c>
      <c r="L203" s="66">
        <v>0</v>
      </c>
      <c r="M203" s="66">
        <v>0</v>
      </c>
      <c r="N203" s="75">
        <v>2471</v>
      </c>
      <c r="O203" s="67">
        <f t="shared" si="338"/>
        <v>0</v>
      </c>
      <c r="P203" s="67">
        <f t="shared" si="339"/>
        <v>2471</v>
      </c>
      <c r="Q203" s="67">
        <f t="shared" si="340"/>
        <v>0</v>
      </c>
      <c r="R203" s="67">
        <f t="shared" si="341"/>
        <v>2468.5290000000005</v>
      </c>
      <c r="S203" s="67">
        <f t="shared" si="342"/>
        <v>11.108380500000001</v>
      </c>
      <c r="T203" s="67">
        <f t="shared" si="343"/>
        <v>2453.7178260000005</v>
      </c>
      <c r="U203" s="67">
        <f t="shared" si="344"/>
        <v>0</v>
      </c>
      <c r="V203" s="67">
        <f t="shared" si="345"/>
        <v>2451.2641081740007</v>
      </c>
      <c r="W203" s="76">
        <f t="shared" si="346"/>
        <v>1.0060243086600003</v>
      </c>
      <c r="X203" s="67">
        <f t="shared" si="350"/>
        <v>0</v>
      </c>
      <c r="Y203" s="67">
        <f t="shared" si="350"/>
        <v>0</v>
      </c>
      <c r="Z203" s="68" t="s">
        <v>150</v>
      </c>
      <c r="AA203" s="68">
        <f t="shared" si="351"/>
        <v>11.270879295328784</v>
      </c>
      <c r="AB203" s="84" t="s">
        <v>196</v>
      </c>
      <c r="AC203">
        <f t="shared" si="352"/>
        <v>0</v>
      </c>
      <c r="AD203">
        <f t="shared" si="353"/>
        <v>100</v>
      </c>
      <c r="AE203">
        <f t="shared" si="354"/>
        <v>0</v>
      </c>
      <c r="AF203">
        <f t="shared" si="355"/>
        <v>99.90000000000002</v>
      </c>
      <c r="AG203">
        <f t="shared" si="356"/>
        <v>0.44955000000000006</v>
      </c>
      <c r="AH203">
        <f t="shared" si="357"/>
        <v>99.300600000000017</v>
      </c>
      <c r="AI203">
        <f t="shared" si="358"/>
        <v>0</v>
      </c>
      <c r="AJ203">
        <f t="shared" si="359"/>
        <v>99.201299400000025</v>
      </c>
      <c r="AK203">
        <f t="shared" si="360"/>
        <v>4.0713246000000008E-2</v>
      </c>
      <c r="AL203">
        <f t="shared" si="361"/>
        <v>0</v>
      </c>
      <c r="AM203">
        <f t="shared" si="362"/>
        <v>0</v>
      </c>
    </row>
    <row r="204" spans="1:39" x14ac:dyDescent="0.25">
      <c r="A204" s="65" t="s">
        <v>46</v>
      </c>
      <c r="B204" s="1" t="s">
        <v>47</v>
      </c>
      <c r="C204" s="66">
        <v>0.41000000000000003</v>
      </c>
      <c r="D204" s="66">
        <v>99.6</v>
      </c>
      <c r="E204" s="66">
        <v>14.099999999999998</v>
      </c>
      <c r="F204" s="66">
        <v>82.199999999999989</v>
      </c>
      <c r="G204" s="66">
        <v>3.54</v>
      </c>
      <c r="H204" s="66">
        <v>91.9</v>
      </c>
      <c r="I204" s="66">
        <v>32.4</v>
      </c>
      <c r="J204" s="85">
        <v>4.3999999999999995</v>
      </c>
      <c r="K204" s="66">
        <v>12.1</v>
      </c>
      <c r="L204" s="66">
        <v>0</v>
      </c>
      <c r="M204" s="66">
        <v>0</v>
      </c>
      <c r="N204" s="75">
        <v>242</v>
      </c>
      <c r="O204" s="67">
        <f t="shared" si="338"/>
        <v>0.99220000000000008</v>
      </c>
      <c r="P204" s="67">
        <f t="shared" si="339"/>
        <v>241.03199999999998</v>
      </c>
      <c r="Q204" s="67">
        <f t="shared" si="340"/>
        <v>33.985511999999993</v>
      </c>
      <c r="R204" s="67">
        <f t="shared" si="341"/>
        <v>198.12830399999996</v>
      </c>
      <c r="S204" s="67">
        <f t="shared" si="342"/>
        <v>7.0137419615999992</v>
      </c>
      <c r="T204" s="67">
        <f t="shared" si="343"/>
        <v>182.07991137599998</v>
      </c>
      <c r="U204" s="67">
        <f t="shared" si="344"/>
        <v>58.993891285823992</v>
      </c>
      <c r="V204" s="67">
        <f t="shared" si="345"/>
        <v>8.0115161005439983</v>
      </c>
      <c r="W204" s="76">
        <f t="shared" si="346"/>
        <v>22.031669276495997</v>
      </c>
      <c r="X204" s="67">
        <f t="shared" si="350"/>
        <v>0</v>
      </c>
      <c r="Y204" s="67">
        <f t="shared" si="350"/>
        <v>0</v>
      </c>
      <c r="Z204" s="68" t="s">
        <v>145</v>
      </c>
      <c r="AA204" s="68">
        <f t="shared" si="351"/>
        <v>7.9188632372745955</v>
      </c>
      <c r="AB204" s="84" t="s">
        <v>196</v>
      </c>
      <c r="AC204">
        <f t="shared" si="352"/>
        <v>0.41000000000000003</v>
      </c>
      <c r="AD204">
        <f t="shared" si="353"/>
        <v>99.6</v>
      </c>
      <c r="AE204">
        <f t="shared" si="354"/>
        <v>14.043599999999998</v>
      </c>
      <c r="AF204">
        <f t="shared" si="355"/>
        <v>81.871199999999973</v>
      </c>
      <c r="AG204">
        <f t="shared" si="356"/>
        <v>2.8982404799999997</v>
      </c>
      <c r="AH204">
        <f t="shared" si="357"/>
        <v>75.239632799999995</v>
      </c>
      <c r="AI204">
        <f t="shared" si="358"/>
        <v>24.377641027199999</v>
      </c>
      <c r="AJ204">
        <f t="shared" si="359"/>
        <v>3.3105438431999992</v>
      </c>
      <c r="AK204">
        <f t="shared" si="360"/>
        <v>9.1039955687999985</v>
      </c>
      <c r="AL204">
        <f t="shared" si="361"/>
        <v>0</v>
      </c>
      <c r="AM204">
        <f t="shared" si="362"/>
        <v>0</v>
      </c>
    </row>
    <row r="205" spans="1:39" x14ac:dyDescent="0.25">
      <c r="A205" s="65" t="s">
        <v>46</v>
      </c>
      <c r="B205" s="1" t="s">
        <v>48</v>
      </c>
      <c r="C205" s="66">
        <v>0</v>
      </c>
      <c r="D205" s="66">
        <v>100</v>
      </c>
      <c r="E205" s="66">
        <v>0</v>
      </c>
      <c r="F205" s="66">
        <v>99.4</v>
      </c>
      <c r="G205" s="66">
        <v>1.79</v>
      </c>
      <c r="H205" s="66">
        <v>84.1</v>
      </c>
      <c r="I205" s="66">
        <v>90.8</v>
      </c>
      <c r="J205" s="85">
        <v>7.580000000000001</v>
      </c>
      <c r="K205" s="66">
        <v>1.18</v>
      </c>
      <c r="L205" s="66">
        <v>0</v>
      </c>
      <c r="M205" s="66">
        <v>0</v>
      </c>
      <c r="N205" s="75">
        <v>505</v>
      </c>
      <c r="O205" s="67">
        <f t="shared" si="338"/>
        <v>0</v>
      </c>
      <c r="P205" s="67">
        <f t="shared" si="339"/>
        <v>505</v>
      </c>
      <c r="Q205" s="67">
        <f t="shared" si="340"/>
        <v>0</v>
      </c>
      <c r="R205" s="67">
        <f t="shared" si="341"/>
        <v>501.97</v>
      </c>
      <c r="S205" s="67">
        <f t="shared" si="342"/>
        <v>8.9852630000000016</v>
      </c>
      <c r="T205" s="67">
        <f t="shared" si="343"/>
        <v>422.15676999999994</v>
      </c>
      <c r="U205" s="67">
        <f t="shared" si="344"/>
        <v>383.31834715999992</v>
      </c>
      <c r="V205" s="67">
        <f t="shared" si="345"/>
        <v>31.999483166000001</v>
      </c>
      <c r="W205" s="76">
        <f t="shared" si="346"/>
        <v>4.9814498859999992</v>
      </c>
      <c r="X205" s="67">
        <f t="shared" si="350"/>
        <v>0</v>
      </c>
      <c r="Y205" s="67">
        <f t="shared" si="350"/>
        <v>0</v>
      </c>
      <c r="Z205" s="68" t="s">
        <v>145</v>
      </c>
      <c r="AA205" s="68">
        <f t="shared" si="351"/>
        <v>8.9801395776391573</v>
      </c>
      <c r="AB205" s="84" t="s">
        <v>196</v>
      </c>
      <c r="AC205">
        <f t="shared" si="352"/>
        <v>0</v>
      </c>
      <c r="AD205">
        <f t="shared" si="353"/>
        <v>100</v>
      </c>
      <c r="AE205">
        <f t="shared" si="354"/>
        <v>0</v>
      </c>
      <c r="AF205">
        <f t="shared" si="355"/>
        <v>99.4</v>
      </c>
      <c r="AG205">
        <f t="shared" si="356"/>
        <v>1.7792600000000003</v>
      </c>
      <c r="AH205">
        <f t="shared" si="357"/>
        <v>83.595399999999984</v>
      </c>
      <c r="AI205">
        <f t="shared" si="358"/>
        <v>75.904623199999989</v>
      </c>
      <c r="AJ205">
        <f t="shared" si="359"/>
        <v>6.3365313199999997</v>
      </c>
      <c r="AK205">
        <f t="shared" si="360"/>
        <v>0.98642571999999984</v>
      </c>
      <c r="AL205">
        <f t="shared" si="361"/>
        <v>0</v>
      </c>
      <c r="AM205">
        <f t="shared" si="362"/>
        <v>0</v>
      </c>
    </row>
    <row r="206" spans="1:39" x14ac:dyDescent="0.25">
      <c r="A206" s="65" t="s">
        <v>46</v>
      </c>
      <c r="B206" s="1" t="s">
        <v>89</v>
      </c>
      <c r="C206" s="66">
        <v>0.13</v>
      </c>
      <c r="D206" s="66">
        <v>99.9</v>
      </c>
      <c r="E206" s="66">
        <v>0</v>
      </c>
      <c r="F206" s="66">
        <v>99.7</v>
      </c>
      <c r="G206" s="66">
        <v>12.5</v>
      </c>
      <c r="H206" s="66">
        <v>85.3</v>
      </c>
      <c r="I206" s="66">
        <v>19.7</v>
      </c>
      <c r="J206" s="85">
        <v>76.5</v>
      </c>
      <c r="K206" s="66">
        <v>0</v>
      </c>
      <c r="L206" s="66">
        <v>0</v>
      </c>
      <c r="M206" s="66">
        <v>0</v>
      </c>
      <c r="N206" s="75">
        <v>2298</v>
      </c>
      <c r="O206" s="67">
        <f t="shared" ref="O206:O269" si="363">C206*N206/100</f>
        <v>2.9874000000000001</v>
      </c>
      <c r="P206" s="67">
        <f t="shared" ref="P206:P269" si="364">D206*N206/100</f>
        <v>2295.7020000000002</v>
      </c>
      <c r="Q206" s="67">
        <f t="shared" ref="Q206:Q269" si="365">E206*P206/100</f>
        <v>0</v>
      </c>
      <c r="R206" s="67">
        <f t="shared" ref="R206:R269" si="366">F206*P206/100</f>
        <v>2288.8148940000001</v>
      </c>
      <c r="S206" s="67">
        <f t="shared" ref="S206:S269" si="367">G206*R206/100</f>
        <v>286.10186175000001</v>
      </c>
      <c r="T206" s="67">
        <f t="shared" ref="T206:T269" si="368">H206*R206/100</f>
        <v>1952.3591045820001</v>
      </c>
      <c r="U206" s="67">
        <f t="shared" ref="U206:U269" si="369">I206*T206/100</f>
        <v>384.61474360265396</v>
      </c>
      <c r="V206" s="67">
        <f t="shared" ref="V206:V269" si="370">J206*T206/100</f>
        <v>1493.55471500523</v>
      </c>
      <c r="W206" s="76">
        <f t="shared" ref="W206:W269" si="371">K206*T206/100</f>
        <v>0</v>
      </c>
      <c r="X206" s="67">
        <f t="shared" ref="X206:Y218" si="372">L206*W206/100</f>
        <v>0</v>
      </c>
      <c r="Y206" s="67">
        <f t="shared" si="372"/>
        <v>0</v>
      </c>
      <c r="Z206" s="68" t="s">
        <v>150</v>
      </c>
      <c r="AA206" s="68">
        <f t="shared" si="351"/>
        <v>11.166163082646113</v>
      </c>
      <c r="AB206" s="84" t="s">
        <v>196</v>
      </c>
      <c r="AC206">
        <f t="shared" si="352"/>
        <v>0.13</v>
      </c>
      <c r="AD206">
        <f t="shared" si="353"/>
        <v>99.9</v>
      </c>
      <c r="AE206">
        <f t="shared" si="354"/>
        <v>0</v>
      </c>
      <c r="AF206">
        <f t="shared" si="355"/>
        <v>99.600300000000004</v>
      </c>
      <c r="AG206">
        <f t="shared" si="356"/>
        <v>12.450037500000001</v>
      </c>
      <c r="AH206">
        <f t="shared" si="357"/>
        <v>84.959055899999996</v>
      </c>
      <c r="AI206">
        <f t="shared" si="358"/>
        <v>16.736934012299997</v>
      </c>
      <c r="AJ206">
        <f t="shared" si="359"/>
        <v>64.993677763500003</v>
      </c>
      <c r="AK206">
        <f t="shared" si="360"/>
        <v>0</v>
      </c>
      <c r="AL206">
        <f t="shared" si="361"/>
        <v>0</v>
      </c>
      <c r="AM206">
        <f t="shared" si="362"/>
        <v>0</v>
      </c>
    </row>
    <row r="207" spans="1:39" x14ac:dyDescent="0.25">
      <c r="A207" s="65" t="s">
        <v>46</v>
      </c>
      <c r="B207" s="1" t="s">
        <v>73</v>
      </c>
      <c r="C207" s="66">
        <v>3.4999999999999996E-2</v>
      </c>
      <c r="D207" s="66">
        <v>100</v>
      </c>
      <c r="E207" s="66">
        <v>0</v>
      </c>
      <c r="F207" s="66">
        <v>99.6</v>
      </c>
      <c r="G207" s="66">
        <v>0.41000000000000003</v>
      </c>
      <c r="H207" s="66">
        <v>99.1</v>
      </c>
      <c r="I207" s="66">
        <v>15.1</v>
      </c>
      <c r="J207" s="85">
        <v>81.3</v>
      </c>
      <c r="K207" s="66">
        <v>0</v>
      </c>
      <c r="L207" s="66">
        <v>0</v>
      </c>
      <c r="M207" s="66">
        <v>0</v>
      </c>
      <c r="N207" s="75">
        <v>8490</v>
      </c>
      <c r="O207" s="67">
        <f t="shared" si="363"/>
        <v>2.9714999999999998</v>
      </c>
      <c r="P207" s="67">
        <f t="shared" si="364"/>
        <v>8490</v>
      </c>
      <c r="Q207" s="67">
        <f t="shared" si="365"/>
        <v>0</v>
      </c>
      <c r="R207" s="67">
        <f t="shared" si="366"/>
        <v>8456.0400000000009</v>
      </c>
      <c r="S207" s="67">
        <f t="shared" si="367"/>
        <v>34.669764000000008</v>
      </c>
      <c r="T207" s="67">
        <f t="shared" si="368"/>
        <v>8379.9356399999997</v>
      </c>
      <c r="U207" s="67">
        <f t="shared" si="369"/>
        <v>1265.3702816399998</v>
      </c>
      <c r="V207" s="67">
        <f t="shared" si="370"/>
        <v>6812.8876753199993</v>
      </c>
      <c r="W207" s="76">
        <f t="shared" si="371"/>
        <v>0</v>
      </c>
      <c r="X207" s="67">
        <f t="shared" si="372"/>
        <v>0</v>
      </c>
      <c r="Y207" s="67">
        <f t="shared" si="372"/>
        <v>0</v>
      </c>
      <c r="Z207" s="68" t="s">
        <v>150</v>
      </c>
      <c r="AA207" s="68">
        <f t="shared" si="351"/>
        <v>13.051548838440402</v>
      </c>
      <c r="AB207" s="84" t="s">
        <v>196</v>
      </c>
      <c r="AC207">
        <f t="shared" si="352"/>
        <v>3.4999999999999996E-2</v>
      </c>
      <c r="AD207">
        <f t="shared" si="353"/>
        <v>100</v>
      </c>
      <c r="AE207">
        <f t="shared" si="354"/>
        <v>0</v>
      </c>
      <c r="AF207">
        <f t="shared" si="355"/>
        <v>99.600000000000009</v>
      </c>
      <c r="AG207">
        <f t="shared" si="356"/>
        <v>0.40836000000000006</v>
      </c>
      <c r="AH207">
        <f t="shared" si="357"/>
        <v>98.703599999999994</v>
      </c>
      <c r="AI207">
        <f t="shared" si="358"/>
        <v>14.904243599999997</v>
      </c>
      <c r="AJ207">
        <f t="shared" si="359"/>
        <v>80.246026799999996</v>
      </c>
      <c r="AK207">
        <f t="shared" si="360"/>
        <v>0</v>
      </c>
      <c r="AL207">
        <f t="shared" si="361"/>
        <v>0</v>
      </c>
      <c r="AM207">
        <f t="shared" si="362"/>
        <v>0</v>
      </c>
    </row>
    <row r="208" spans="1:39" x14ac:dyDescent="0.25">
      <c r="A208" s="65" t="s">
        <v>46</v>
      </c>
      <c r="B208" s="1" t="s">
        <v>82</v>
      </c>
      <c r="C208" s="66">
        <v>0.02</v>
      </c>
      <c r="D208" s="66">
        <v>100</v>
      </c>
      <c r="E208" s="66">
        <v>0</v>
      </c>
      <c r="F208" s="66">
        <v>98.3</v>
      </c>
      <c r="G208" s="66">
        <v>0.27999999999999997</v>
      </c>
      <c r="H208" s="66">
        <v>99.6</v>
      </c>
      <c r="I208" s="66">
        <v>9.98</v>
      </c>
      <c r="J208" s="85">
        <v>86.1</v>
      </c>
      <c r="K208" s="66">
        <v>1.2999999999999999E-2</v>
      </c>
      <c r="L208" s="66">
        <v>0</v>
      </c>
      <c r="M208" s="66">
        <v>0</v>
      </c>
      <c r="N208" s="75">
        <v>40767</v>
      </c>
      <c r="O208" s="67">
        <f t="shared" si="363"/>
        <v>8.1533999999999995</v>
      </c>
      <c r="P208" s="67">
        <f t="shared" si="364"/>
        <v>40767</v>
      </c>
      <c r="Q208" s="67">
        <f t="shared" si="365"/>
        <v>0</v>
      </c>
      <c r="R208" s="67">
        <f t="shared" si="366"/>
        <v>40073.961000000003</v>
      </c>
      <c r="S208" s="67">
        <f t="shared" si="367"/>
        <v>112.2070908</v>
      </c>
      <c r="T208" s="67">
        <f t="shared" si="368"/>
        <v>39913.665156000003</v>
      </c>
      <c r="U208" s="67">
        <f t="shared" si="369"/>
        <v>3983.3837825688006</v>
      </c>
      <c r="V208" s="67">
        <f t="shared" si="370"/>
        <v>34365.665699316</v>
      </c>
      <c r="W208" s="76">
        <f t="shared" si="371"/>
        <v>5.1887764702799997</v>
      </c>
      <c r="X208" s="67">
        <f t="shared" si="372"/>
        <v>0</v>
      </c>
      <c r="Y208" s="67">
        <f t="shared" si="372"/>
        <v>0</v>
      </c>
      <c r="Z208" s="68" t="s">
        <v>152</v>
      </c>
      <c r="AA208" s="68">
        <f t="shared" si="351"/>
        <v>15.31511417389447</v>
      </c>
      <c r="AB208" s="84" t="s">
        <v>196</v>
      </c>
      <c r="AC208">
        <f t="shared" si="352"/>
        <v>1.9999999999999997E-2</v>
      </c>
      <c r="AD208">
        <f t="shared" si="353"/>
        <v>100</v>
      </c>
      <c r="AE208">
        <f t="shared" si="354"/>
        <v>0</v>
      </c>
      <c r="AF208">
        <f t="shared" si="355"/>
        <v>98.300000000000011</v>
      </c>
      <c r="AG208">
        <f t="shared" si="356"/>
        <v>0.27523999999999998</v>
      </c>
      <c r="AH208">
        <f t="shared" si="357"/>
        <v>97.906800000000004</v>
      </c>
      <c r="AI208">
        <f t="shared" si="358"/>
        <v>9.7710986400000017</v>
      </c>
      <c r="AJ208">
        <f t="shared" si="359"/>
        <v>84.297754800000007</v>
      </c>
      <c r="AK208">
        <f t="shared" si="360"/>
        <v>1.2727883999999998E-2</v>
      </c>
      <c r="AL208">
        <f t="shared" si="361"/>
        <v>0</v>
      </c>
      <c r="AM208">
        <f t="shared" si="362"/>
        <v>0</v>
      </c>
    </row>
    <row r="209" spans="1:39" x14ac:dyDescent="0.25">
      <c r="A209" s="65" t="s">
        <v>46</v>
      </c>
      <c r="B209" s="1" t="s">
        <v>74</v>
      </c>
      <c r="C209" s="66">
        <v>0</v>
      </c>
      <c r="D209" s="66">
        <v>100</v>
      </c>
      <c r="E209" s="66">
        <v>0</v>
      </c>
      <c r="F209" s="66">
        <v>97.399999999999991</v>
      </c>
      <c r="G209" s="66">
        <v>0</v>
      </c>
      <c r="H209" s="66">
        <v>93</v>
      </c>
      <c r="I209" s="66">
        <v>98.8</v>
      </c>
      <c r="J209" s="85">
        <v>0.57999999999999996</v>
      </c>
      <c r="K209" s="66">
        <v>0</v>
      </c>
      <c r="L209" s="66">
        <v>0</v>
      </c>
      <c r="M209" s="66">
        <v>0</v>
      </c>
      <c r="N209" s="75">
        <v>380</v>
      </c>
      <c r="O209" s="67">
        <f t="shared" si="363"/>
        <v>0</v>
      </c>
      <c r="P209" s="67">
        <f t="shared" si="364"/>
        <v>380</v>
      </c>
      <c r="Q209" s="67">
        <f t="shared" si="365"/>
        <v>0</v>
      </c>
      <c r="R209" s="67">
        <f t="shared" si="366"/>
        <v>370.12</v>
      </c>
      <c r="S209" s="67">
        <f t="shared" si="367"/>
        <v>0</v>
      </c>
      <c r="T209" s="67">
        <f t="shared" si="368"/>
        <v>344.21160000000003</v>
      </c>
      <c r="U209" s="67">
        <f t="shared" si="369"/>
        <v>340.08106080000005</v>
      </c>
      <c r="V209" s="67">
        <f t="shared" si="370"/>
        <v>1.99642728</v>
      </c>
      <c r="W209" s="76">
        <f t="shared" si="371"/>
        <v>0</v>
      </c>
      <c r="X209" s="67">
        <f t="shared" si="372"/>
        <v>0</v>
      </c>
      <c r="Y209" s="67">
        <f t="shared" si="372"/>
        <v>0</v>
      </c>
      <c r="Z209" s="68" t="s">
        <v>145</v>
      </c>
      <c r="AA209" s="68">
        <f t="shared" si="351"/>
        <v>8.5698556083309487</v>
      </c>
      <c r="AB209" s="84" t="s">
        <v>196</v>
      </c>
      <c r="AC209">
        <f t="shared" si="352"/>
        <v>0</v>
      </c>
      <c r="AD209">
        <f t="shared" si="353"/>
        <v>100</v>
      </c>
      <c r="AE209">
        <f t="shared" si="354"/>
        <v>0</v>
      </c>
      <c r="AF209">
        <f t="shared" si="355"/>
        <v>97.399999999999991</v>
      </c>
      <c r="AG209">
        <f t="shared" si="356"/>
        <v>0</v>
      </c>
      <c r="AH209">
        <f t="shared" si="357"/>
        <v>90.582000000000008</v>
      </c>
      <c r="AI209">
        <f t="shared" si="358"/>
        <v>89.495016000000021</v>
      </c>
      <c r="AJ209">
        <f t="shared" si="359"/>
        <v>0.52537560000000005</v>
      </c>
      <c r="AK209">
        <f t="shared" si="360"/>
        <v>0</v>
      </c>
      <c r="AL209">
        <f t="shared" si="361"/>
        <v>0</v>
      </c>
      <c r="AM209">
        <f t="shared" si="362"/>
        <v>0</v>
      </c>
    </row>
    <row r="210" spans="1:39" x14ac:dyDescent="0.25">
      <c r="A210" s="65" t="s">
        <v>46</v>
      </c>
      <c r="B210" s="1" t="s">
        <v>19</v>
      </c>
      <c r="C210" s="66">
        <v>0.35000000000000003</v>
      </c>
      <c r="D210" s="66">
        <v>99.6</v>
      </c>
      <c r="E210" s="66">
        <v>0</v>
      </c>
      <c r="F210" s="66">
        <v>98.2</v>
      </c>
      <c r="G210" s="66">
        <v>3.7699999999999996</v>
      </c>
      <c r="H210" s="66">
        <v>73.099999999999994</v>
      </c>
      <c r="I210" s="66">
        <v>11.799999999999999</v>
      </c>
      <c r="J210" s="85">
        <v>0.49</v>
      </c>
      <c r="K210" s="66">
        <v>8.1100000000000012</v>
      </c>
      <c r="L210" s="66">
        <v>0</v>
      </c>
      <c r="M210" s="66">
        <v>0</v>
      </c>
      <c r="N210" s="75">
        <v>569</v>
      </c>
      <c r="O210" s="67">
        <f t="shared" si="363"/>
        <v>1.9915</v>
      </c>
      <c r="P210" s="67">
        <f t="shared" si="364"/>
        <v>566.72399999999993</v>
      </c>
      <c r="Q210" s="67">
        <f t="shared" si="365"/>
        <v>0</v>
      </c>
      <c r="R210" s="67">
        <f t="shared" si="366"/>
        <v>556.52296799999999</v>
      </c>
      <c r="S210" s="67">
        <f t="shared" si="367"/>
        <v>20.980915893599999</v>
      </c>
      <c r="T210" s="67">
        <f t="shared" si="368"/>
        <v>406.81828960799999</v>
      </c>
      <c r="U210" s="67">
        <f t="shared" si="369"/>
        <v>48.004558173743987</v>
      </c>
      <c r="V210" s="67">
        <f t="shared" si="370"/>
        <v>1.9934096190791999</v>
      </c>
      <c r="W210" s="76">
        <f t="shared" si="371"/>
        <v>32.992963287208802</v>
      </c>
      <c r="X210" s="67">
        <f t="shared" si="372"/>
        <v>0</v>
      </c>
      <c r="Y210" s="67">
        <f t="shared" si="372"/>
        <v>0</v>
      </c>
      <c r="Z210" s="68" t="s">
        <v>145</v>
      </c>
      <c r="AA210" s="68">
        <f t="shared" si="351"/>
        <v>9.1522848423065817</v>
      </c>
      <c r="AB210" s="84" t="s">
        <v>196</v>
      </c>
      <c r="AC210">
        <f t="shared" si="352"/>
        <v>0.35000000000000003</v>
      </c>
      <c r="AD210">
        <f t="shared" si="353"/>
        <v>99.6</v>
      </c>
      <c r="AE210">
        <f t="shared" si="354"/>
        <v>0</v>
      </c>
      <c r="AF210">
        <f t="shared" si="355"/>
        <v>97.807199999999995</v>
      </c>
      <c r="AG210">
        <f t="shared" si="356"/>
        <v>3.6873314399999995</v>
      </c>
      <c r="AH210">
        <f t="shared" si="357"/>
        <v>71.497063199999999</v>
      </c>
      <c r="AI210">
        <f t="shared" si="358"/>
        <v>8.4366534575999985</v>
      </c>
      <c r="AJ210">
        <f t="shared" si="359"/>
        <v>0.35033560967999999</v>
      </c>
      <c r="AK210">
        <f t="shared" si="360"/>
        <v>5.7984118255200006</v>
      </c>
      <c r="AL210">
        <f t="shared" si="361"/>
        <v>0</v>
      </c>
      <c r="AM210">
        <f t="shared" si="362"/>
        <v>0</v>
      </c>
    </row>
    <row r="211" spans="1:39" x14ac:dyDescent="0.25">
      <c r="A211" s="65" t="s">
        <v>46</v>
      </c>
      <c r="B211" s="1" t="s">
        <v>20</v>
      </c>
      <c r="C211" s="66">
        <v>0.15</v>
      </c>
      <c r="D211" s="66">
        <v>99.8</v>
      </c>
      <c r="E211" s="66">
        <v>0</v>
      </c>
      <c r="F211" s="66">
        <v>99.9</v>
      </c>
      <c r="G211" s="66">
        <v>2.91</v>
      </c>
      <c r="H211" s="66">
        <v>89.7</v>
      </c>
      <c r="I211" s="66">
        <v>20.399999999999999</v>
      </c>
      <c r="J211" s="85">
        <v>63.6</v>
      </c>
      <c r="K211" s="66">
        <v>3.2199999999999998</v>
      </c>
      <c r="L211" s="66">
        <v>0</v>
      </c>
      <c r="M211" s="66">
        <v>0</v>
      </c>
      <c r="N211" s="75">
        <v>4762</v>
      </c>
      <c r="O211" s="67">
        <f t="shared" si="363"/>
        <v>7.1429999999999998</v>
      </c>
      <c r="P211" s="67">
        <f t="shared" si="364"/>
        <v>4752.4759999999997</v>
      </c>
      <c r="Q211" s="67">
        <f t="shared" si="365"/>
        <v>0</v>
      </c>
      <c r="R211" s="67">
        <f t="shared" si="366"/>
        <v>4747.723524</v>
      </c>
      <c r="S211" s="67">
        <f t="shared" si="367"/>
        <v>138.1587545484</v>
      </c>
      <c r="T211" s="67">
        <f t="shared" si="368"/>
        <v>4258.7080010280006</v>
      </c>
      <c r="U211" s="67">
        <f t="shared" si="369"/>
        <v>868.77643220971208</v>
      </c>
      <c r="V211" s="67">
        <f t="shared" si="370"/>
        <v>2708.5382886538082</v>
      </c>
      <c r="W211" s="76">
        <f t="shared" si="371"/>
        <v>137.13039763310161</v>
      </c>
      <c r="X211" s="67">
        <f t="shared" si="372"/>
        <v>0</v>
      </c>
      <c r="Y211" s="67">
        <f t="shared" si="372"/>
        <v>0</v>
      </c>
      <c r="Z211" s="68" t="s">
        <v>150</v>
      </c>
      <c r="AA211" s="68">
        <f t="shared" si="351"/>
        <v>12.217351905270336</v>
      </c>
      <c r="AB211" s="84" t="s">
        <v>196</v>
      </c>
      <c r="AC211">
        <f t="shared" si="352"/>
        <v>0.15</v>
      </c>
      <c r="AD211">
        <f t="shared" si="353"/>
        <v>99.799999999999983</v>
      </c>
      <c r="AE211">
        <f t="shared" si="354"/>
        <v>0</v>
      </c>
      <c r="AF211">
        <f t="shared" si="355"/>
        <v>99.700200000000009</v>
      </c>
      <c r="AG211">
        <f t="shared" si="356"/>
        <v>2.9012758199999999</v>
      </c>
      <c r="AH211">
        <f t="shared" si="357"/>
        <v>89.431079400000016</v>
      </c>
      <c r="AI211">
        <f t="shared" si="358"/>
        <v>18.243940197600001</v>
      </c>
      <c r="AJ211">
        <f t="shared" si="359"/>
        <v>56.878166498400006</v>
      </c>
      <c r="AK211">
        <f t="shared" si="360"/>
        <v>2.8796807566800005</v>
      </c>
      <c r="AL211">
        <f t="shared" si="361"/>
        <v>0</v>
      </c>
      <c r="AM211">
        <f t="shared" si="362"/>
        <v>0</v>
      </c>
    </row>
    <row r="212" spans="1:39" x14ac:dyDescent="0.25">
      <c r="A212" s="65" t="s">
        <v>46</v>
      </c>
      <c r="B212" s="1" t="s">
        <v>50</v>
      </c>
      <c r="C212" s="66">
        <v>0</v>
      </c>
      <c r="D212" s="66">
        <v>99.8</v>
      </c>
      <c r="E212" s="66">
        <v>0</v>
      </c>
      <c r="F212" s="66">
        <v>98.2</v>
      </c>
      <c r="G212" s="66">
        <v>3.47</v>
      </c>
      <c r="H212" s="66">
        <v>95.1</v>
      </c>
      <c r="I212" s="66">
        <v>0</v>
      </c>
      <c r="J212" s="85">
        <v>99.1</v>
      </c>
      <c r="K212" s="66">
        <v>0.21</v>
      </c>
      <c r="L212" s="66">
        <v>0</v>
      </c>
      <c r="M212" s="66">
        <v>0</v>
      </c>
      <c r="N212" s="75">
        <v>500</v>
      </c>
      <c r="O212" s="67">
        <f t="shared" si="363"/>
        <v>0</v>
      </c>
      <c r="P212" s="67">
        <f t="shared" si="364"/>
        <v>499</v>
      </c>
      <c r="Q212" s="67">
        <f t="shared" si="365"/>
        <v>0</v>
      </c>
      <c r="R212" s="67">
        <f t="shared" si="366"/>
        <v>490.01800000000003</v>
      </c>
      <c r="S212" s="67">
        <f t="shared" si="367"/>
        <v>17.003624600000002</v>
      </c>
      <c r="T212" s="67">
        <f t="shared" si="368"/>
        <v>466.00711799999999</v>
      </c>
      <c r="U212" s="67">
        <f t="shared" si="369"/>
        <v>0</v>
      </c>
      <c r="V212" s="67">
        <f t="shared" si="370"/>
        <v>461.81305393799994</v>
      </c>
      <c r="W212" s="76">
        <f t="shared" si="371"/>
        <v>0.97861494780000002</v>
      </c>
      <c r="X212" s="67">
        <f t="shared" si="372"/>
        <v>0</v>
      </c>
      <c r="Y212" s="67">
        <f t="shared" si="372"/>
        <v>0</v>
      </c>
      <c r="Z212" s="68" t="s">
        <v>145</v>
      </c>
      <c r="AA212" s="68">
        <f t="shared" si="351"/>
        <v>8.965784284662087</v>
      </c>
      <c r="AB212" s="84" t="s">
        <v>196</v>
      </c>
      <c r="AC212">
        <f t="shared" si="352"/>
        <v>0</v>
      </c>
      <c r="AD212">
        <f t="shared" si="353"/>
        <v>99.8</v>
      </c>
      <c r="AE212">
        <f t="shared" si="354"/>
        <v>0</v>
      </c>
      <c r="AF212">
        <f t="shared" si="355"/>
        <v>98.003600000000006</v>
      </c>
      <c r="AG212">
        <f t="shared" si="356"/>
        <v>3.4007249200000005</v>
      </c>
      <c r="AH212">
        <f t="shared" si="357"/>
        <v>93.201423599999998</v>
      </c>
      <c r="AI212">
        <f t="shared" si="358"/>
        <v>0</v>
      </c>
      <c r="AJ212">
        <f t="shared" si="359"/>
        <v>92.362610787599991</v>
      </c>
      <c r="AK212">
        <f t="shared" si="360"/>
        <v>0.19572298956</v>
      </c>
      <c r="AL212">
        <f t="shared" si="361"/>
        <v>0</v>
      </c>
      <c r="AM212">
        <f t="shared" si="362"/>
        <v>0</v>
      </c>
    </row>
    <row r="213" spans="1:39" x14ac:dyDescent="0.25">
      <c r="A213" s="65" t="s">
        <v>46</v>
      </c>
      <c r="B213" s="1" t="s">
        <v>51</v>
      </c>
      <c r="C213" s="66">
        <v>0.18</v>
      </c>
      <c r="D213" s="66">
        <v>99.8</v>
      </c>
      <c r="E213" s="66">
        <v>0</v>
      </c>
      <c r="F213" s="66">
        <v>99.6</v>
      </c>
      <c r="G213" s="66">
        <v>9.51</v>
      </c>
      <c r="H213" s="66">
        <v>74</v>
      </c>
      <c r="I213" s="66">
        <v>46</v>
      </c>
      <c r="J213" s="85">
        <v>30.099999999999998</v>
      </c>
      <c r="K213" s="66">
        <v>7.7200000000000006</v>
      </c>
      <c r="L213" s="66">
        <v>0</v>
      </c>
      <c r="M213" s="66">
        <v>0</v>
      </c>
      <c r="N213" s="75">
        <v>1671</v>
      </c>
      <c r="O213" s="67">
        <f t="shared" si="363"/>
        <v>3.0077999999999996</v>
      </c>
      <c r="P213" s="67">
        <f t="shared" si="364"/>
        <v>1667.6579999999999</v>
      </c>
      <c r="Q213" s="67">
        <f t="shared" si="365"/>
        <v>0</v>
      </c>
      <c r="R213" s="67">
        <f t="shared" si="366"/>
        <v>1660.9873679999998</v>
      </c>
      <c r="S213" s="67">
        <f t="shared" si="367"/>
        <v>157.95989869679997</v>
      </c>
      <c r="T213" s="67">
        <f t="shared" si="368"/>
        <v>1229.1306523199999</v>
      </c>
      <c r="U213" s="67">
        <f t="shared" si="369"/>
        <v>565.40010006720001</v>
      </c>
      <c r="V213" s="67">
        <f t="shared" si="370"/>
        <v>369.96832634831992</v>
      </c>
      <c r="W213" s="76">
        <f t="shared" si="371"/>
        <v>94.888886359103992</v>
      </c>
      <c r="X213" s="67">
        <f t="shared" si="372"/>
        <v>0</v>
      </c>
      <c r="Y213" s="67">
        <f t="shared" si="372"/>
        <v>0</v>
      </c>
      <c r="Z213" s="68" t="s">
        <v>150</v>
      </c>
      <c r="AA213" s="68">
        <f t="shared" si="351"/>
        <v>10.706496018061188</v>
      </c>
      <c r="AB213" s="84" t="s">
        <v>196</v>
      </c>
      <c r="AC213">
        <f t="shared" si="352"/>
        <v>0.17999999999999997</v>
      </c>
      <c r="AD213">
        <f t="shared" si="353"/>
        <v>99.799999999999983</v>
      </c>
      <c r="AE213">
        <f t="shared" si="354"/>
        <v>0</v>
      </c>
      <c r="AF213">
        <f t="shared" si="355"/>
        <v>99.40079999999999</v>
      </c>
      <c r="AG213">
        <f t="shared" si="356"/>
        <v>9.4530160799999976</v>
      </c>
      <c r="AH213">
        <f t="shared" si="357"/>
        <v>73.556591999999981</v>
      </c>
      <c r="AI213">
        <f t="shared" si="358"/>
        <v>33.836032320000001</v>
      </c>
      <c r="AJ213">
        <f t="shared" si="359"/>
        <v>22.140534191999993</v>
      </c>
      <c r="AK213">
        <f t="shared" si="360"/>
        <v>5.6785689023999995</v>
      </c>
      <c r="AL213">
        <f t="shared" si="361"/>
        <v>0</v>
      </c>
      <c r="AM213">
        <f t="shared" si="362"/>
        <v>0</v>
      </c>
    </row>
    <row r="214" spans="1:39" x14ac:dyDescent="0.25">
      <c r="A214" s="65" t="s">
        <v>46</v>
      </c>
      <c r="B214" s="1" t="s">
        <v>21</v>
      </c>
      <c r="C214" s="66">
        <v>0</v>
      </c>
      <c r="D214" s="66">
        <v>100</v>
      </c>
      <c r="E214" s="66">
        <v>35.5</v>
      </c>
      <c r="F214" s="66">
        <v>62.9</v>
      </c>
      <c r="G214" s="66">
        <v>18.099999999999998</v>
      </c>
      <c r="H214" s="66">
        <v>63.3</v>
      </c>
      <c r="I214" s="66">
        <v>2.52</v>
      </c>
      <c r="J214" s="85">
        <v>0.84</v>
      </c>
      <c r="K214" s="66">
        <v>63.9</v>
      </c>
      <c r="L214" s="66">
        <v>0</v>
      </c>
      <c r="M214" s="66">
        <v>0</v>
      </c>
      <c r="N214" s="75">
        <v>299</v>
      </c>
      <c r="O214" s="67">
        <f t="shared" si="363"/>
        <v>0</v>
      </c>
      <c r="P214" s="67">
        <f t="shared" si="364"/>
        <v>299</v>
      </c>
      <c r="Q214" s="67">
        <f t="shared" si="365"/>
        <v>106.145</v>
      </c>
      <c r="R214" s="67">
        <f t="shared" si="366"/>
        <v>188.071</v>
      </c>
      <c r="S214" s="67">
        <f t="shared" si="367"/>
        <v>34.040850999999996</v>
      </c>
      <c r="T214" s="67">
        <f t="shared" si="368"/>
        <v>119.04894299999999</v>
      </c>
      <c r="U214" s="67">
        <f t="shared" si="369"/>
        <v>3.0000333636000001</v>
      </c>
      <c r="V214" s="67">
        <f t="shared" si="370"/>
        <v>1.0000111211999998</v>
      </c>
      <c r="W214" s="76">
        <f t="shared" si="371"/>
        <v>76.072274577000002</v>
      </c>
      <c r="X214" s="67">
        <f t="shared" si="372"/>
        <v>0</v>
      </c>
      <c r="Y214" s="67">
        <f t="shared" si="372"/>
        <v>0</v>
      </c>
      <c r="Z214" s="68" t="s">
        <v>145</v>
      </c>
      <c r="AA214" s="68">
        <f t="shared" si="351"/>
        <v>8.2240016741981066</v>
      </c>
      <c r="AB214" s="84" t="s">
        <v>196</v>
      </c>
      <c r="AC214">
        <f t="shared" si="352"/>
        <v>0</v>
      </c>
      <c r="AD214">
        <f t="shared" si="353"/>
        <v>100</v>
      </c>
      <c r="AE214">
        <f t="shared" si="354"/>
        <v>35.5</v>
      </c>
      <c r="AF214">
        <f t="shared" si="355"/>
        <v>62.9</v>
      </c>
      <c r="AG214">
        <f t="shared" si="356"/>
        <v>11.3849</v>
      </c>
      <c r="AH214">
        <f t="shared" si="357"/>
        <v>39.8157</v>
      </c>
      <c r="AI214">
        <f t="shared" si="358"/>
        <v>1.0033556400000001</v>
      </c>
      <c r="AJ214">
        <f t="shared" si="359"/>
        <v>0.33445187999999992</v>
      </c>
      <c r="AK214">
        <f t="shared" si="360"/>
        <v>25.442232300000001</v>
      </c>
      <c r="AL214">
        <f t="shared" si="361"/>
        <v>0</v>
      </c>
      <c r="AM214">
        <f t="shared" si="362"/>
        <v>0</v>
      </c>
    </row>
    <row r="215" spans="1:39" x14ac:dyDescent="0.25">
      <c r="A215" s="65" t="s">
        <v>46</v>
      </c>
      <c r="B215" s="1" t="s">
        <v>22</v>
      </c>
      <c r="C215" s="66">
        <v>0.25</v>
      </c>
      <c r="D215" s="66">
        <v>99.5</v>
      </c>
      <c r="E215" s="66">
        <v>0</v>
      </c>
      <c r="F215" s="66">
        <v>99.6</v>
      </c>
      <c r="G215" s="66">
        <v>2.34</v>
      </c>
      <c r="H215" s="66">
        <v>97</v>
      </c>
      <c r="I215" s="66">
        <v>19.600000000000001</v>
      </c>
      <c r="J215" s="85">
        <v>76.400000000000006</v>
      </c>
      <c r="K215" s="66">
        <v>0</v>
      </c>
      <c r="L215" s="66">
        <v>0</v>
      </c>
      <c r="M215" s="66">
        <v>0</v>
      </c>
      <c r="N215" s="75">
        <v>5123</v>
      </c>
      <c r="O215" s="67">
        <f t="shared" si="363"/>
        <v>12.807499999999999</v>
      </c>
      <c r="P215" s="67">
        <f t="shared" si="364"/>
        <v>5097.3850000000002</v>
      </c>
      <c r="Q215" s="67">
        <f t="shared" si="365"/>
        <v>0</v>
      </c>
      <c r="R215" s="67">
        <f t="shared" si="366"/>
        <v>5076.9954600000001</v>
      </c>
      <c r="S215" s="67">
        <f t="shared" si="367"/>
        <v>118.80169376399999</v>
      </c>
      <c r="T215" s="67">
        <f t="shared" si="368"/>
        <v>4924.6855962</v>
      </c>
      <c r="U215" s="67">
        <f t="shared" si="369"/>
        <v>965.23837685520004</v>
      </c>
      <c r="V215" s="67">
        <f t="shared" si="370"/>
        <v>3762.4597954968003</v>
      </c>
      <c r="W215" s="76">
        <f t="shared" si="371"/>
        <v>0</v>
      </c>
      <c r="X215" s="67">
        <f t="shared" si="372"/>
        <v>0</v>
      </c>
      <c r="Y215" s="67">
        <f t="shared" si="372"/>
        <v>0</v>
      </c>
      <c r="Z215" s="68" t="s">
        <v>150</v>
      </c>
      <c r="AA215" s="68">
        <f t="shared" si="351"/>
        <v>12.322773176454564</v>
      </c>
      <c r="AB215" s="84" t="s">
        <v>196</v>
      </c>
      <c r="AC215">
        <f t="shared" si="352"/>
        <v>0.25</v>
      </c>
      <c r="AD215">
        <f t="shared" si="353"/>
        <v>99.5</v>
      </c>
      <c r="AE215">
        <f t="shared" si="354"/>
        <v>0</v>
      </c>
      <c r="AF215">
        <f t="shared" si="355"/>
        <v>99.102000000000004</v>
      </c>
      <c r="AG215">
        <f t="shared" si="356"/>
        <v>2.3189867999999998</v>
      </c>
      <c r="AH215">
        <f t="shared" si="357"/>
        <v>96.12894</v>
      </c>
      <c r="AI215">
        <f t="shared" si="358"/>
        <v>18.841272240000002</v>
      </c>
      <c r="AJ215">
        <f t="shared" si="359"/>
        <v>73.442510160000012</v>
      </c>
      <c r="AK215">
        <f t="shared" si="360"/>
        <v>0</v>
      </c>
      <c r="AL215">
        <f t="shared" si="361"/>
        <v>0</v>
      </c>
      <c r="AM215">
        <f t="shared" si="362"/>
        <v>0</v>
      </c>
    </row>
    <row r="216" spans="1:39" x14ac:dyDescent="0.25">
      <c r="A216" s="65" t="s">
        <v>46</v>
      </c>
      <c r="B216" s="1" t="s">
        <v>23</v>
      </c>
      <c r="C216" s="66">
        <v>0</v>
      </c>
      <c r="D216" s="66">
        <v>100</v>
      </c>
      <c r="E216" s="66">
        <v>0</v>
      </c>
      <c r="F216" s="66">
        <v>88.7</v>
      </c>
      <c r="G216" s="66">
        <v>9.5200000000000014</v>
      </c>
      <c r="H216" s="66">
        <v>90.5</v>
      </c>
      <c r="I216" s="66">
        <v>1.7500000000000002</v>
      </c>
      <c r="J216" s="85">
        <v>94.699999999999989</v>
      </c>
      <c r="K216" s="66">
        <v>0</v>
      </c>
      <c r="L216" s="66">
        <v>0</v>
      </c>
      <c r="M216" s="66">
        <v>0</v>
      </c>
      <c r="N216" s="75">
        <v>71</v>
      </c>
      <c r="O216" s="67">
        <f t="shared" si="363"/>
        <v>0</v>
      </c>
      <c r="P216" s="67">
        <f t="shared" si="364"/>
        <v>71</v>
      </c>
      <c r="Q216" s="67">
        <f t="shared" si="365"/>
        <v>0</v>
      </c>
      <c r="R216" s="67">
        <f t="shared" si="366"/>
        <v>62.976999999999997</v>
      </c>
      <c r="S216" s="67">
        <f t="shared" si="367"/>
        <v>5.9954104000000008</v>
      </c>
      <c r="T216" s="67">
        <f t="shared" si="368"/>
        <v>56.994184999999995</v>
      </c>
      <c r="U216" s="67">
        <f t="shared" si="369"/>
        <v>0.99739823750000001</v>
      </c>
      <c r="V216" s="67">
        <f t="shared" si="370"/>
        <v>53.973493194999989</v>
      </c>
      <c r="W216" s="76">
        <f t="shared" si="371"/>
        <v>0</v>
      </c>
      <c r="X216" s="67">
        <f t="shared" si="372"/>
        <v>0</v>
      </c>
      <c r="Y216" s="67">
        <f t="shared" si="372"/>
        <v>0</v>
      </c>
      <c r="Z216" s="68" t="s">
        <v>151</v>
      </c>
      <c r="AA216" s="68">
        <f t="shared" si="351"/>
        <v>6.1497471195046822</v>
      </c>
      <c r="AB216" s="84" t="s">
        <v>196</v>
      </c>
      <c r="AC216">
        <f t="shared" si="352"/>
        <v>0</v>
      </c>
      <c r="AD216">
        <f t="shared" si="353"/>
        <v>100</v>
      </c>
      <c r="AE216">
        <f t="shared" si="354"/>
        <v>0</v>
      </c>
      <c r="AF216">
        <f t="shared" si="355"/>
        <v>88.699999999999989</v>
      </c>
      <c r="AG216">
        <f t="shared" si="356"/>
        <v>8.4442400000000006</v>
      </c>
      <c r="AH216">
        <f t="shared" si="357"/>
        <v>80.273499999999999</v>
      </c>
      <c r="AI216">
        <f t="shared" si="358"/>
        <v>1.4047862499999999</v>
      </c>
      <c r="AJ216">
        <f t="shared" si="359"/>
        <v>76.019004499999994</v>
      </c>
      <c r="AK216">
        <f t="shared" si="360"/>
        <v>0</v>
      </c>
      <c r="AL216">
        <f t="shared" si="361"/>
        <v>0</v>
      </c>
      <c r="AM216">
        <f t="shared" si="362"/>
        <v>0</v>
      </c>
    </row>
    <row r="217" spans="1:39" x14ac:dyDescent="0.25">
      <c r="A217" s="65" t="s">
        <v>46</v>
      </c>
      <c r="B217" s="1" t="s">
        <v>54</v>
      </c>
      <c r="C217" s="66">
        <v>0</v>
      </c>
      <c r="D217" s="66">
        <v>100</v>
      </c>
      <c r="E217" s="66">
        <v>0</v>
      </c>
      <c r="F217" s="66">
        <v>96.6</v>
      </c>
      <c r="G217" s="66">
        <v>33.700000000000003</v>
      </c>
      <c r="H217" s="66">
        <v>64</v>
      </c>
      <c r="I217" s="66">
        <v>1.82</v>
      </c>
      <c r="J217" s="85">
        <v>96.399999999999991</v>
      </c>
      <c r="K217" s="66">
        <v>0</v>
      </c>
      <c r="L217" s="66">
        <v>0</v>
      </c>
      <c r="M217" s="66">
        <v>0</v>
      </c>
      <c r="N217" s="75">
        <v>89</v>
      </c>
      <c r="O217" s="67">
        <f t="shared" si="363"/>
        <v>0</v>
      </c>
      <c r="P217" s="67">
        <f t="shared" si="364"/>
        <v>89</v>
      </c>
      <c r="Q217" s="67">
        <f t="shared" si="365"/>
        <v>0</v>
      </c>
      <c r="R217" s="67">
        <f t="shared" si="366"/>
        <v>85.97399999999999</v>
      </c>
      <c r="S217" s="67">
        <f t="shared" si="367"/>
        <v>28.973238000000002</v>
      </c>
      <c r="T217" s="67">
        <f t="shared" si="368"/>
        <v>55.023359999999997</v>
      </c>
      <c r="U217" s="67">
        <f t="shared" si="369"/>
        <v>1.0014251519999999</v>
      </c>
      <c r="V217" s="67">
        <f t="shared" si="370"/>
        <v>53.042519039999988</v>
      </c>
      <c r="W217" s="76">
        <f t="shared" si="371"/>
        <v>0</v>
      </c>
      <c r="X217" s="67">
        <f t="shared" si="372"/>
        <v>0</v>
      </c>
      <c r="Y217" s="67">
        <f t="shared" si="372"/>
        <v>0</v>
      </c>
      <c r="Z217" s="68" t="s">
        <v>151</v>
      </c>
      <c r="AA217" s="68">
        <f t="shared" si="351"/>
        <v>6.4757334309663976</v>
      </c>
      <c r="AB217" s="84" t="s">
        <v>196</v>
      </c>
      <c r="AC217">
        <f t="shared" si="352"/>
        <v>0</v>
      </c>
      <c r="AD217">
        <f t="shared" si="353"/>
        <v>100</v>
      </c>
      <c r="AE217">
        <f t="shared" si="354"/>
        <v>0</v>
      </c>
      <c r="AF217">
        <f t="shared" si="355"/>
        <v>96.59999999999998</v>
      </c>
      <c r="AG217">
        <f t="shared" si="356"/>
        <v>32.554200000000002</v>
      </c>
      <c r="AH217">
        <f t="shared" si="357"/>
        <v>61.823999999999998</v>
      </c>
      <c r="AI217">
        <f t="shared" si="358"/>
        <v>1.1251967999999999</v>
      </c>
      <c r="AJ217">
        <f t="shared" si="359"/>
        <v>59.598335999999982</v>
      </c>
      <c r="AK217">
        <f t="shared" si="360"/>
        <v>0</v>
      </c>
      <c r="AL217">
        <f t="shared" si="361"/>
        <v>0</v>
      </c>
      <c r="AM217">
        <f t="shared" si="362"/>
        <v>0</v>
      </c>
    </row>
    <row r="218" spans="1:39" x14ac:dyDescent="0.25">
      <c r="A218" s="65" t="s">
        <v>46</v>
      </c>
      <c r="B218" s="1" t="s">
        <v>83</v>
      </c>
      <c r="C218" s="66">
        <v>1.6400000000000001</v>
      </c>
      <c r="D218" s="66">
        <v>98.2</v>
      </c>
      <c r="E218" s="66">
        <v>0</v>
      </c>
      <c r="F218" s="66">
        <v>99.8</v>
      </c>
      <c r="G218" s="66">
        <v>7.2000000000000008E-2</v>
      </c>
      <c r="H218" s="66">
        <v>99.8</v>
      </c>
      <c r="I218" s="66">
        <v>4.74</v>
      </c>
      <c r="J218" s="85">
        <v>93.600000000000009</v>
      </c>
      <c r="K218" s="66">
        <v>1.2E-2</v>
      </c>
      <c r="L218" s="66">
        <v>0</v>
      </c>
      <c r="M218" s="66">
        <v>0</v>
      </c>
      <c r="N218" s="75">
        <v>25632</v>
      </c>
      <c r="O218" s="67">
        <f t="shared" si="363"/>
        <v>420.36480000000006</v>
      </c>
      <c r="P218" s="67">
        <f t="shared" si="364"/>
        <v>25170.624</v>
      </c>
      <c r="Q218" s="67">
        <f t="shared" si="365"/>
        <v>0</v>
      </c>
      <c r="R218" s="67">
        <f t="shared" si="366"/>
        <v>25120.282751999999</v>
      </c>
      <c r="S218" s="67">
        <f t="shared" si="367"/>
        <v>18.086603581440002</v>
      </c>
      <c r="T218" s="67">
        <f t="shared" si="368"/>
        <v>25070.042186495997</v>
      </c>
      <c r="U218" s="67">
        <f t="shared" si="369"/>
        <v>1188.3199996399103</v>
      </c>
      <c r="V218" s="67">
        <f t="shared" si="370"/>
        <v>23465.559486560254</v>
      </c>
      <c r="W218" s="76">
        <f t="shared" si="371"/>
        <v>3.0084050623795195</v>
      </c>
      <c r="X218" s="67">
        <f t="shared" si="372"/>
        <v>0</v>
      </c>
      <c r="Y218" s="67">
        <f t="shared" si="372"/>
        <v>0</v>
      </c>
      <c r="Z218" s="68" t="s">
        <v>152</v>
      </c>
      <c r="AA218" s="68">
        <f t="shared" si="351"/>
        <v>14.645658432408712</v>
      </c>
      <c r="AB218" s="84" t="s">
        <v>196</v>
      </c>
      <c r="AC218">
        <f t="shared" si="352"/>
        <v>1.6400000000000001</v>
      </c>
      <c r="AD218">
        <f t="shared" si="353"/>
        <v>98.2</v>
      </c>
      <c r="AE218">
        <f t="shared" si="354"/>
        <v>0</v>
      </c>
      <c r="AF218">
        <f t="shared" si="355"/>
        <v>98.003600000000006</v>
      </c>
      <c r="AG218">
        <f t="shared" si="356"/>
        <v>7.0562592000000007E-2</v>
      </c>
      <c r="AH218">
        <f t="shared" si="357"/>
        <v>97.807592799999981</v>
      </c>
      <c r="AI218">
        <f t="shared" si="358"/>
        <v>4.6360798987199994</v>
      </c>
      <c r="AJ218">
        <f t="shared" si="359"/>
        <v>91.547906860799984</v>
      </c>
      <c r="AK218">
        <f t="shared" si="360"/>
        <v>1.1736911135999999E-2</v>
      </c>
      <c r="AL218">
        <f t="shared" si="361"/>
        <v>0</v>
      </c>
      <c r="AM218">
        <f t="shared" si="362"/>
        <v>0</v>
      </c>
    </row>
    <row r="219" spans="1:39" x14ac:dyDescent="0.25">
      <c r="A219" s="65" t="s">
        <v>46</v>
      </c>
      <c r="B219" s="1" t="s">
        <v>24</v>
      </c>
      <c r="C219" s="66">
        <v>0.13999999999999999</v>
      </c>
      <c r="D219" s="66">
        <v>99.8</v>
      </c>
      <c r="E219" s="66">
        <v>3.6000000000000004E-2</v>
      </c>
      <c r="F219" s="66">
        <v>99.7</v>
      </c>
      <c r="G219" s="66">
        <v>40.300000000000004</v>
      </c>
      <c r="H219" s="66">
        <v>52.400000000000006</v>
      </c>
      <c r="I219" s="66">
        <v>3.61</v>
      </c>
      <c r="J219" s="85">
        <v>94.1</v>
      </c>
      <c r="K219" s="66">
        <v>0</v>
      </c>
      <c r="L219" s="66">
        <v>0</v>
      </c>
      <c r="M219" s="66">
        <v>0</v>
      </c>
      <c r="N219" s="75">
        <v>2760</v>
      </c>
      <c r="O219" s="67">
        <f t="shared" si="363"/>
        <v>3.8639999999999999</v>
      </c>
      <c r="P219" s="67">
        <f t="shared" si="364"/>
        <v>2754.48</v>
      </c>
      <c r="Q219" s="67">
        <f t="shared" si="365"/>
        <v>0.99161280000000018</v>
      </c>
      <c r="R219" s="67">
        <f t="shared" si="366"/>
        <v>2746.2165600000003</v>
      </c>
      <c r="S219" s="67">
        <f t="shared" si="367"/>
        <v>1106.7252736800003</v>
      </c>
      <c r="T219" s="67">
        <f t="shared" si="368"/>
        <v>1439.0174774400002</v>
      </c>
      <c r="U219" s="67">
        <f t="shared" si="369"/>
        <v>51.948530935584003</v>
      </c>
      <c r="V219" s="67">
        <f t="shared" si="370"/>
        <v>1354.1154462710401</v>
      </c>
      <c r="W219" s="76">
        <f t="shared" si="371"/>
        <v>0</v>
      </c>
      <c r="X219" s="67">
        <f t="shared" ref="X219:Y231" si="373">L219*W219/100</f>
        <v>0</v>
      </c>
      <c r="Y219" s="67">
        <f t="shared" si="373"/>
        <v>0</v>
      </c>
      <c r="Z219" s="68" t="s">
        <v>150</v>
      </c>
      <c r="AA219" s="68">
        <f t="shared" si="351"/>
        <v>11.430452551665532</v>
      </c>
      <c r="AB219" s="84" t="s">
        <v>196</v>
      </c>
      <c r="AC219">
        <f t="shared" si="352"/>
        <v>0.13999999999999999</v>
      </c>
      <c r="AD219">
        <f t="shared" si="353"/>
        <v>99.8</v>
      </c>
      <c r="AE219">
        <f t="shared" si="354"/>
        <v>3.5928000000000009E-2</v>
      </c>
      <c r="AF219">
        <f t="shared" si="355"/>
        <v>99.500600000000006</v>
      </c>
      <c r="AG219">
        <f t="shared" si="356"/>
        <v>40.098741800000006</v>
      </c>
      <c r="AH219">
        <f t="shared" si="357"/>
        <v>52.138314400000006</v>
      </c>
      <c r="AI219">
        <f t="shared" si="358"/>
        <v>1.8821931498400002</v>
      </c>
      <c r="AJ219">
        <f t="shared" si="359"/>
        <v>49.062153850400001</v>
      </c>
      <c r="AK219">
        <f t="shared" si="360"/>
        <v>0</v>
      </c>
      <c r="AL219">
        <f t="shared" si="361"/>
        <v>0</v>
      </c>
      <c r="AM219">
        <f t="shared" si="362"/>
        <v>0</v>
      </c>
    </row>
    <row r="220" spans="1:39" x14ac:dyDescent="0.25">
      <c r="A220" s="65" t="s">
        <v>46</v>
      </c>
      <c r="B220" s="1" t="s">
        <v>90</v>
      </c>
      <c r="C220" s="66">
        <v>0.15</v>
      </c>
      <c r="D220" s="66">
        <v>99.7</v>
      </c>
      <c r="E220" s="66">
        <v>0</v>
      </c>
      <c r="F220" s="66">
        <v>99.8</v>
      </c>
      <c r="G220" s="66">
        <v>38.200000000000003</v>
      </c>
      <c r="H220" s="66">
        <v>55.600000000000009</v>
      </c>
      <c r="I220" s="66">
        <v>7.48</v>
      </c>
      <c r="J220" s="85">
        <v>89.8</v>
      </c>
      <c r="K220" s="66">
        <v>0</v>
      </c>
      <c r="L220" s="66">
        <v>0</v>
      </c>
      <c r="M220" s="66">
        <v>0</v>
      </c>
      <c r="N220" s="75">
        <v>5467</v>
      </c>
      <c r="O220" s="67">
        <f t="shared" si="363"/>
        <v>8.2004999999999999</v>
      </c>
      <c r="P220" s="67">
        <f t="shared" si="364"/>
        <v>5450.5990000000002</v>
      </c>
      <c r="Q220" s="67">
        <f t="shared" si="365"/>
        <v>0</v>
      </c>
      <c r="R220" s="67">
        <f t="shared" si="366"/>
        <v>5439.6978020000006</v>
      </c>
      <c r="S220" s="67">
        <f t="shared" si="367"/>
        <v>2077.9645603640006</v>
      </c>
      <c r="T220" s="67">
        <f t="shared" si="368"/>
        <v>3024.4719779120005</v>
      </c>
      <c r="U220" s="67">
        <f t="shared" si="369"/>
        <v>226.23050394781762</v>
      </c>
      <c r="V220" s="67">
        <f t="shared" si="370"/>
        <v>2715.9758361649765</v>
      </c>
      <c r="W220" s="76">
        <f t="shared" si="371"/>
        <v>0</v>
      </c>
      <c r="X220" s="67">
        <f t="shared" si="373"/>
        <v>0</v>
      </c>
      <c r="Y220" s="67">
        <f t="shared" si="373"/>
        <v>0</v>
      </c>
      <c r="Z220" s="68" t="s">
        <v>150</v>
      </c>
      <c r="AA220" s="68">
        <f t="shared" si="351"/>
        <v>12.416533660199583</v>
      </c>
      <c r="AB220" s="84" t="s">
        <v>196</v>
      </c>
      <c r="AC220">
        <f t="shared" si="352"/>
        <v>0.15</v>
      </c>
      <c r="AD220">
        <f t="shared" si="353"/>
        <v>99.7</v>
      </c>
      <c r="AE220">
        <f t="shared" si="354"/>
        <v>0</v>
      </c>
      <c r="AF220">
        <f t="shared" si="355"/>
        <v>99.500600000000006</v>
      </c>
      <c r="AG220">
        <f t="shared" si="356"/>
        <v>38.009229200000014</v>
      </c>
      <c r="AH220">
        <f t="shared" si="357"/>
        <v>55.322333600000007</v>
      </c>
      <c r="AI220">
        <f t="shared" si="358"/>
        <v>4.1381105532800007</v>
      </c>
      <c r="AJ220">
        <f t="shared" si="359"/>
        <v>49.679455572800009</v>
      </c>
      <c r="AK220">
        <f t="shared" si="360"/>
        <v>0</v>
      </c>
      <c r="AL220">
        <f t="shared" si="361"/>
        <v>0</v>
      </c>
      <c r="AM220">
        <f t="shared" si="362"/>
        <v>0</v>
      </c>
    </row>
    <row r="221" spans="1:39" x14ac:dyDescent="0.25">
      <c r="A221" s="65" t="s">
        <v>46</v>
      </c>
      <c r="B221" s="1" t="s">
        <v>55</v>
      </c>
      <c r="C221" s="66">
        <v>0.32</v>
      </c>
      <c r="D221" s="66">
        <v>99.6</v>
      </c>
      <c r="E221" s="66">
        <v>0</v>
      </c>
      <c r="F221" s="66">
        <v>99.8</v>
      </c>
      <c r="G221" s="66">
        <v>15.9</v>
      </c>
      <c r="H221" s="66">
        <v>82.6</v>
      </c>
      <c r="I221" s="66">
        <v>0.37</v>
      </c>
      <c r="J221" s="85">
        <v>99.3</v>
      </c>
      <c r="K221" s="66">
        <v>1.6E-2</v>
      </c>
      <c r="L221" s="66">
        <v>0</v>
      </c>
      <c r="M221" s="66">
        <v>0</v>
      </c>
      <c r="N221" s="75">
        <v>15455</v>
      </c>
      <c r="O221" s="67">
        <f t="shared" si="363"/>
        <v>49.456000000000003</v>
      </c>
      <c r="P221" s="67">
        <f t="shared" si="364"/>
        <v>15393.18</v>
      </c>
      <c r="Q221" s="67">
        <f t="shared" si="365"/>
        <v>0</v>
      </c>
      <c r="R221" s="67">
        <f t="shared" si="366"/>
        <v>15362.39364</v>
      </c>
      <c r="S221" s="67">
        <f t="shared" si="367"/>
        <v>2442.6205887599999</v>
      </c>
      <c r="T221" s="67">
        <f t="shared" si="368"/>
        <v>12689.337146639999</v>
      </c>
      <c r="U221" s="67">
        <f t="shared" si="369"/>
        <v>46.950547442567995</v>
      </c>
      <c r="V221" s="67">
        <f t="shared" si="370"/>
        <v>12600.511786613519</v>
      </c>
      <c r="W221" s="76">
        <f t="shared" si="371"/>
        <v>2.0302939434623997</v>
      </c>
      <c r="X221" s="67">
        <f t="shared" si="373"/>
        <v>0</v>
      </c>
      <c r="Y221" s="67">
        <f t="shared" si="373"/>
        <v>0</v>
      </c>
      <c r="Z221" s="68" t="s">
        <v>152</v>
      </c>
      <c r="AA221" s="68">
        <f t="shared" si="351"/>
        <v>13.915786033745587</v>
      </c>
      <c r="AB221" s="84" t="s">
        <v>196</v>
      </c>
      <c r="AC221">
        <f t="shared" si="352"/>
        <v>0.32</v>
      </c>
      <c r="AD221">
        <f t="shared" si="353"/>
        <v>99.6</v>
      </c>
      <c r="AE221">
        <f t="shared" si="354"/>
        <v>0</v>
      </c>
      <c r="AF221">
        <f t="shared" si="355"/>
        <v>99.400800000000004</v>
      </c>
      <c r="AG221">
        <f t="shared" si="356"/>
        <v>15.804727199999999</v>
      </c>
      <c r="AH221">
        <f t="shared" si="357"/>
        <v>82.10506079999999</v>
      </c>
      <c r="AI221">
        <f t="shared" si="358"/>
        <v>0.30378872495999992</v>
      </c>
      <c r="AJ221">
        <f t="shared" si="359"/>
        <v>81.530325374399993</v>
      </c>
      <c r="AK221">
        <f t="shared" si="360"/>
        <v>1.3136809727999998E-2</v>
      </c>
      <c r="AL221">
        <f t="shared" si="361"/>
        <v>0</v>
      </c>
      <c r="AM221">
        <f t="shared" si="362"/>
        <v>0</v>
      </c>
    </row>
    <row r="222" spans="1:39" x14ac:dyDescent="0.25">
      <c r="A222" s="65" t="s">
        <v>46</v>
      </c>
      <c r="B222" s="1" t="s">
        <v>26</v>
      </c>
      <c r="C222" s="66">
        <v>0</v>
      </c>
      <c r="D222" s="66">
        <v>99.7</v>
      </c>
      <c r="E222" s="66">
        <v>20</v>
      </c>
      <c r="F222" s="66">
        <v>73.3</v>
      </c>
      <c r="G222" s="66">
        <v>1.82</v>
      </c>
      <c r="H222" s="66">
        <v>94.899999999999991</v>
      </c>
      <c r="I222" s="66">
        <v>4.9799999999999995</v>
      </c>
      <c r="J222" s="85">
        <v>3.0700000000000003</v>
      </c>
      <c r="K222" s="66">
        <v>59.4</v>
      </c>
      <c r="L222" s="66">
        <v>0</v>
      </c>
      <c r="M222" s="66">
        <v>0</v>
      </c>
      <c r="N222" s="75">
        <v>376</v>
      </c>
      <c r="O222" s="67">
        <f t="shared" si="363"/>
        <v>0</v>
      </c>
      <c r="P222" s="67">
        <f t="shared" si="364"/>
        <v>374.87200000000007</v>
      </c>
      <c r="Q222" s="67">
        <f t="shared" si="365"/>
        <v>74.974400000000017</v>
      </c>
      <c r="R222" s="67">
        <f t="shared" si="366"/>
        <v>274.78117600000007</v>
      </c>
      <c r="S222" s="67">
        <f t="shared" si="367"/>
        <v>5.0010174032000014</v>
      </c>
      <c r="T222" s="67">
        <f t="shared" si="368"/>
        <v>260.76733602400003</v>
      </c>
      <c r="U222" s="67">
        <f t="shared" si="369"/>
        <v>12.986213333995199</v>
      </c>
      <c r="V222" s="67">
        <f t="shared" si="370"/>
        <v>8.0055572159368005</v>
      </c>
      <c r="W222" s="76">
        <f t="shared" si="371"/>
        <v>154.89579759825602</v>
      </c>
      <c r="X222" s="67">
        <f t="shared" si="373"/>
        <v>0</v>
      </c>
      <c r="Y222" s="67">
        <f t="shared" si="373"/>
        <v>0</v>
      </c>
      <c r="Z222" s="68" t="s">
        <v>145</v>
      </c>
      <c r="AA222" s="68">
        <f t="shared" si="351"/>
        <v>8.5545888516776376</v>
      </c>
      <c r="AB222" s="84" t="s">
        <v>196</v>
      </c>
      <c r="AC222">
        <f t="shared" si="352"/>
        <v>0</v>
      </c>
      <c r="AD222">
        <f t="shared" si="353"/>
        <v>99.700000000000017</v>
      </c>
      <c r="AE222">
        <f t="shared" si="354"/>
        <v>19.940000000000005</v>
      </c>
      <c r="AF222">
        <f t="shared" si="355"/>
        <v>73.080100000000016</v>
      </c>
      <c r="AG222">
        <f t="shared" si="356"/>
        <v>1.3300578200000004</v>
      </c>
      <c r="AH222">
        <f t="shared" si="357"/>
        <v>69.353014900000005</v>
      </c>
      <c r="AI222">
        <f t="shared" si="358"/>
        <v>3.4537801420199998</v>
      </c>
      <c r="AJ222">
        <f t="shared" si="359"/>
        <v>2.12913755743</v>
      </c>
      <c r="AK222">
        <f t="shared" si="360"/>
        <v>41.195690850600009</v>
      </c>
      <c r="AL222">
        <f t="shared" si="361"/>
        <v>0</v>
      </c>
      <c r="AM222">
        <f t="shared" si="362"/>
        <v>0</v>
      </c>
    </row>
    <row r="223" spans="1:39" x14ac:dyDescent="0.25">
      <c r="A223" s="65" t="s">
        <v>46</v>
      </c>
      <c r="B223" s="1" t="s">
        <v>75</v>
      </c>
      <c r="C223" s="66">
        <v>1.26</v>
      </c>
      <c r="D223" s="66">
        <v>98.7</v>
      </c>
      <c r="E223" s="66">
        <v>71.3</v>
      </c>
      <c r="F223" s="66">
        <v>23.599999999999998</v>
      </c>
      <c r="G223" s="66">
        <v>21.6</v>
      </c>
      <c r="H223" s="66">
        <v>70.3</v>
      </c>
      <c r="I223" s="66">
        <v>0</v>
      </c>
      <c r="J223" s="85">
        <v>3.85</v>
      </c>
      <c r="K223" s="66">
        <v>65.400000000000006</v>
      </c>
      <c r="L223" s="66">
        <v>0</v>
      </c>
      <c r="M223" s="66">
        <v>0</v>
      </c>
      <c r="N223" s="75">
        <v>159</v>
      </c>
      <c r="O223" s="67">
        <f t="shared" si="363"/>
        <v>2.0034000000000001</v>
      </c>
      <c r="P223" s="67">
        <f t="shared" si="364"/>
        <v>156.93300000000002</v>
      </c>
      <c r="Q223" s="67">
        <f t="shared" si="365"/>
        <v>111.89322900000001</v>
      </c>
      <c r="R223" s="67">
        <f t="shared" si="366"/>
        <v>37.036188000000003</v>
      </c>
      <c r="S223" s="67">
        <f t="shared" si="367"/>
        <v>7.9998166080000006</v>
      </c>
      <c r="T223" s="67">
        <f t="shared" si="368"/>
        <v>26.036440164000002</v>
      </c>
      <c r="U223" s="67">
        <f t="shared" si="369"/>
        <v>0</v>
      </c>
      <c r="V223" s="67">
        <f t="shared" si="370"/>
        <v>1.0024029463140001</v>
      </c>
      <c r="W223" s="76">
        <f t="shared" si="371"/>
        <v>17.027831867256001</v>
      </c>
      <c r="X223" s="67">
        <f t="shared" si="373"/>
        <v>0</v>
      </c>
      <c r="Y223" s="67">
        <f t="shared" si="373"/>
        <v>0</v>
      </c>
      <c r="Z223" s="68" t="s">
        <v>145</v>
      </c>
      <c r="AA223" s="68">
        <f t="shared" si="351"/>
        <v>7.3128829552843557</v>
      </c>
      <c r="AB223" s="84" t="s">
        <v>196</v>
      </c>
      <c r="AC223">
        <f t="shared" si="352"/>
        <v>1.26</v>
      </c>
      <c r="AD223">
        <f t="shared" si="353"/>
        <v>98.700000000000017</v>
      </c>
      <c r="AE223">
        <f t="shared" si="354"/>
        <v>70.373099999999994</v>
      </c>
      <c r="AF223">
        <f t="shared" si="355"/>
        <v>23.293200000000002</v>
      </c>
      <c r="AG223">
        <f t="shared" si="356"/>
        <v>5.0313312000000003</v>
      </c>
      <c r="AH223">
        <f t="shared" si="357"/>
        <v>16.375119600000001</v>
      </c>
      <c r="AI223">
        <f t="shared" si="358"/>
        <v>0</v>
      </c>
      <c r="AJ223">
        <f t="shared" si="359"/>
        <v>0.63044210460000005</v>
      </c>
      <c r="AK223">
        <f t="shared" si="360"/>
        <v>10.709328218400001</v>
      </c>
      <c r="AL223">
        <f t="shared" si="361"/>
        <v>0</v>
      </c>
      <c r="AM223">
        <f t="shared" si="362"/>
        <v>0</v>
      </c>
    </row>
    <row r="224" spans="1:39" x14ac:dyDescent="0.25">
      <c r="A224" s="65" t="s">
        <v>46</v>
      </c>
      <c r="B224" s="1" t="s">
        <v>27</v>
      </c>
      <c r="C224" s="66">
        <v>0</v>
      </c>
      <c r="D224" s="66">
        <v>98.7</v>
      </c>
      <c r="E224" s="66">
        <v>0</v>
      </c>
      <c r="F224" s="66">
        <v>98.4</v>
      </c>
      <c r="G224" s="66">
        <v>19.3</v>
      </c>
      <c r="H224" s="66">
        <v>77.100000000000009</v>
      </c>
      <c r="I224" s="66">
        <v>0</v>
      </c>
      <c r="J224" s="85">
        <v>98.9</v>
      </c>
      <c r="K224" s="66">
        <v>0.36</v>
      </c>
      <c r="L224" s="66">
        <v>0</v>
      </c>
      <c r="M224" s="66">
        <v>0</v>
      </c>
      <c r="N224" s="75">
        <v>486</v>
      </c>
      <c r="O224" s="67">
        <f t="shared" si="363"/>
        <v>0</v>
      </c>
      <c r="P224" s="67">
        <f t="shared" si="364"/>
        <v>479.68200000000002</v>
      </c>
      <c r="Q224" s="67">
        <f t="shared" si="365"/>
        <v>0</v>
      </c>
      <c r="R224" s="67">
        <f t="shared" si="366"/>
        <v>472.00708800000007</v>
      </c>
      <c r="S224" s="67">
        <f t="shared" si="367"/>
        <v>91.097367984000016</v>
      </c>
      <c r="T224" s="67">
        <f t="shared" si="368"/>
        <v>363.91746484800007</v>
      </c>
      <c r="U224" s="67">
        <f t="shared" si="369"/>
        <v>0</v>
      </c>
      <c r="V224" s="67">
        <f t="shared" si="370"/>
        <v>359.91437273467204</v>
      </c>
      <c r="W224" s="76">
        <f t="shared" si="371"/>
        <v>1.3101028734528</v>
      </c>
      <c r="X224" s="67">
        <f t="shared" si="373"/>
        <v>0</v>
      </c>
      <c r="Y224" s="67">
        <f t="shared" si="373"/>
        <v>0</v>
      </c>
      <c r="Z224" s="68" t="s">
        <v>145</v>
      </c>
      <c r="AA224" s="68">
        <f t="shared" si="351"/>
        <v>8.9248125036057804</v>
      </c>
      <c r="AB224" s="84" t="s">
        <v>196</v>
      </c>
      <c r="AC224">
        <f t="shared" si="352"/>
        <v>0</v>
      </c>
      <c r="AD224">
        <f t="shared" si="353"/>
        <v>98.7</v>
      </c>
      <c r="AE224">
        <f t="shared" si="354"/>
        <v>0</v>
      </c>
      <c r="AF224">
        <f t="shared" si="355"/>
        <v>97.120800000000017</v>
      </c>
      <c r="AG224">
        <f t="shared" si="356"/>
        <v>18.744314400000004</v>
      </c>
      <c r="AH224">
        <f t="shared" si="357"/>
        <v>74.880136800000017</v>
      </c>
      <c r="AI224">
        <f t="shared" si="358"/>
        <v>0</v>
      </c>
      <c r="AJ224">
        <f t="shared" si="359"/>
        <v>74.05645529520001</v>
      </c>
      <c r="AK224">
        <f t="shared" si="360"/>
        <v>0.26956849247999998</v>
      </c>
      <c r="AL224">
        <f t="shared" si="361"/>
        <v>0</v>
      </c>
      <c r="AM224">
        <f t="shared" si="362"/>
        <v>0</v>
      </c>
    </row>
    <row r="225" spans="1:39" x14ac:dyDescent="0.25">
      <c r="A225" s="65" t="s">
        <v>46</v>
      </c>
      <c r="B225" s="1" t="s">
        <v>28</v>
      </c>
      <c r="C225" s="66">
        <v>3.4999999999999996E-2</v>
      </c>
      <c r="D225" s="66">
        <v>100</v>
      </c>
      <c r="E225" s="66">
        <v>0</v>
      </c>
      <c r="F225" s="66">
        <v>99.7</v>
      </c>
      <c r="G225" s="66">
        <v>1.58</v>
      </c>
      <c r="H225" s="66">
        <v>97.2</v>
      </c>
      <c r="I225" s="66">
        <v>11.899999999999999</v>
      </c>
      <c r="J225" s="85">
        <v>82.8</v>
      </c>
      <c r="K225" s="66">
        <v>0.33</v>
      </c>
      <c r="L225" s="66">
        <v>0</v>
      </c>
      <c r="M225" s="66">
        <v>0</v>
      </c>
      <c r="N225" s="75">
        <v>8517</v>
      </c>
      <c r="O225" s="67">
        <f t="shared" si="363"/>
        <v>2.9809499999999995</v>
      </c>
      <c r="P225" s="67">
        <f t="shared" si="364"/>
        <v>8517</v>
      </c>
      <c r="Q225" s="67">
        <f t="shared" si="365"/>
        <v>0</v>
      </c>
      <c r="R225" s="67">
        <f t="shared" si="366"/>
        <v>8491.4490000000005</v>
      </c>
      <c r="S225" s="67">
        <f t="shared" si="367"/>
        <v>134.16489420000002</v>
      </c>
      <c r="T225" s="67">
        <f t="shared" si="368"/>
        <v>8253.6884280000013</v>
      </c>
      <c r="U225" s="67">
        <f t="shared" si="369"/>
        <v>982.18892293199997</v>
      </c>
      <c r="V225" s="67">
        <f t="shared" si="370"/>
        <v>6834.0540183840003</v>
      </c>
      <c r="W225" s="76">
        <f t="shared" si="371"/>
        <v>27.237171812400007</v>
      </c>
      <c r="X225" s="67">
        <f t="shared" si="373"/>
        <v>0</v>
      </c>
      <c r="Y225" s="67">
        <f t="shared" si="373"/>
        <v>0</v>
      </c>
      <c r="Z225" s="68" t="s">
        <v>150</v>
      </c>
      <c r="AA225" s="68">
        <f t="shared" si="351"/>
        <v>13.056129634445549</v>
      </c>
      <c r="AB225" s="84" t="s">
        <v>196</v>
      </c>
      <c r="AC225">
        <f t="shared" si="352"/>
        <v>3.4999999999999996E-2</v>
      </c>
      <c r="AD225">
        <f t="shared" si="353"/>
        <v>100</v>
      </c>
      <c r="AE225">
        <f t="shared" si="354"/>
        <v>0</v>
      </c>
      <c r="AF225">
        <f t="shared" si="355"/>
        <v>99.700000000000017</v>
      </c>
      <c r="AG225">
        <f t="shared" si="356"/>
        <v>1.5752600000000001</v>
      </c>
      <c r="AH225">
        <f t="shared" si="357"/>
        <v>96.908400000000015</v>
      </c>
      <c r="AI225">
        <f t="shared" si="358"/>
        <v>11.532099599999999</v>
      </c>
      <c r="AJ225">
        <f t="shared" si="359"/>
        <v>80.240155200000004</v>
      </c>
      <c r="AK225">
        <f t="shared" si="360"/>
        <v>0.31979772000000006</v>
      </c>
      <c r="AL225">
        <f t="shared" si="361"/>
        <v>0</v>
      </c>
      <c r="AM225">
        <f t="shared" si="362"/>
        <v>0</v>
      </c>
    </row>
    <row r="226" spans="1:39" x14ac:dyDescent="0.25">
      <c r="A226" s="65" t="s">
        <v>46</v>
      </c>
      <c r="B226" s="1" t="s">
        <v>29</v>
      </c>
      <c r="C226" s="66">
        <v>6.3E-2</v>
      </c>
      <c r="D226" s="66">
        <v>99.9</v>
      </c>
      <c r="E226" s="66">
        <v>0.16</v>
      </c>
      <c r="F226" s="66">
        <v>99.7</v>
      </c>
      <c r="G226" s="66">
        <v>2.34</v>
      </c>
      <c r="H226" s="66">
        <v>81.5</v>
      </c>
      <c r="I226" s="66">
        <v>66.7</v>
      </c>
      <c r="J226" s="85">
        <v>7.55</v>
      </c>
      <c r="K226" s="66">
        <v>12.4</v>
      </c>
      <c r="L226" s="66">
        <v>0</v>
      </c>
      <c r="M226" s="66">
        <v>0</v>
      </c>
      <c r="N226" s="75">
        <v>6342</v>
      </c>
      <c r="O226" s="67">
        <f t="shared" si="363"/>
        <v>3.99546</v>
      </c>
      <c r="P226" s="67">
        <f t="shared" si="364"/>
        <v>6335.6580000000004</v>
      </c>
      <c r="Q226" s="67">
        <f t="shared" si="365"/>
        <v>10.137052800000001</v>
      </c>
      <c r="R226" s="67">
        <f t="shared" si="366"/>
        <v>6316.6510260000014</v>
      </c>
      <c r="S226" s="67">
        <f t="shared" si="367"/>
        <v>147.80963400840002</v>
      </c>
      <c r="T226" s="67">
        <f t="shared" si="368"/>
        <v>5148.0705861900014</v>
      </c>
      <c r="U226" s="67">
        <f t="shared" si="369"/>
        <v>3433.7630809887314</v>
      </c>
      <c r="V226" s="67">
        <f t="shared" si="370"/>
        <v>388.6793292573451</v>
      </c>
      <c r="W226" s="76">
        <f t="shared" si="371"/>
        <v>638.36075268756019</v>
      </c>
      <c r="X226" s="67">
        <f t="shared" si="373"/>
        <v>0</v>
      </c>
      <c r="Y226" s="67">
        <f t="shared" si="373"/>
        <v>0</v>
      </c>
      <c r="Z226" s="68" t="s">
        <v>150</v>
      </c>
      <c r="AA226" s="68">
        <f t="shared" si="351"/>
        <v>12.63072216210384</v>
      </c>
      <c r="AB226" s="84" t="s">
        <v>196</v>
      </c>
      <c r="AC226">
        <f t="shared" si="352"/>
        <v>6.3E-2</v>
      </c>
      <c r="AD226">
        <f t="shared" si="353"/>
        <v>99.9</v>
      </c>
      <c r="AE226">
        <f t="shared" si="354"/>
        <v>0.15984000000000004</v>
      </c>
      <c r="AF226">
        <f t="shared" si="355"/>
        <v>99.600300000000018</v>
      </c>
      <c r="AG226">
        <f t="shared" si="356"/>
        <v>2.3306470200000007</v>
      </c>
      <c r="AH226">
        <f t="shared" si="357"/>
        <v>81.174244500000029</v>
      </c>
      <c r="AI226">
        <f t="shared" si="358"/>
        <v>54.143221081500023</v>
      </c>
      <c r="AJ226">
        <f t="shared" si="359"/>
        <v>6.1286554597500018</v>
      </c>
      <c r="AK226">
        <f t="shared" si="360"/>
        <v>10.065606318000004</v>
      </c>
      <c r="AL226">
        <f t="shared" si="361"/>
        <v>0</v>
      </c>
      <c r="AM226">
        <f t="shared" si="362"/>
        <v>0</v>
      </c>
    </row>
    <row r="227" spans="1:39" x14ac:dyDescent="0.25">
      <c r="A227" s="65" t="s">
        <v>46</v>
      </c>
      <c r="B227" s="1" t="s">
        <v>57</v>
      </c>
      <c r="C227" s="66">
        <v>0.42</v>
      </c>
      <c r="D227" s="66">
        <v>99.6</v>
      </c>
      <c r="E227" s="66">
        <v>0</v>
      </c>
      <c r="F227" s="66">
        <v>97.899999999999991</v>
      </c>
      <c r="G227" s="66">
        <v>10</v>
      </c>
      <c r="H227" s="66">
        <v>78.2</v>
      </c>
      <c r="I227" s="66">
        <v>50.9</v>
      </c>
      <c r="J227" s="85">
        <v>5.7799999999999994</v>
      </c>
      <c r="K227" s="66">
        <v>22.5</v>
      </c>
      <c r="L227" s="66">
        <v>0</v>
      </c>
      <c r="M227" s="66">
        <v>0</v>
      </c>
      <c r="N227" s="75">
        <v>236</v>
      </c>
      <c r="O227" s="67">
        <f t="shared" si="363"/>
        <v>0.99119999999999986</v>
      </c>
      <c r="P227" s="67">
        <f t="shared" si="364"/>
        <v>235.05599999999998</v>
      </c>
      <c r="Q227" s="67">
        <f t="shared" si="365"/>
        <v>0</v>
      </c>
      <c r="R227" s="67">
        <f t="shared" si="366"/>
        <v>230.11982399999997</v>
      </c>
      <c r="S227" s="67">
        <f t="shared" si="367"/>
        <v>23.011982399999997</v>
      </c>
      <c r="T227" s="67">
        <f t="shared" si="368"/>
        <v>179.95370236799997</v>
      </c>
      <c r="U227" s="67">
        <f t="shared" si="369"/>
        <v>91.596434505311976</v>
      </c>
      <c r="V227" s="67">
        <f t="shared" si="370"/>
        <v>10.401323996870396</v>
      </c>
      <c r="W227" s="76">
        <f t="shared" si="371"/>
        <v>40.489583032799992</v>
      </c>
      <c r="X227" s="67">
        <f t="shared" si="373"/>
        <v>0</v>
      </c>
      <c r="Y227" s="67">
        <f t="shared" si="373"/>
        <v>0</v>
      </c>
      <c r="Z227" s="68" t="s">
        <v>145</v>
      </c>
      <c r="AA227" s="68">
        <f t="shared" si="351"/>
        <v>7.8826430493618425</v>
      </c>
      <c r="AB227" s="84" t="s">
        <v>196</v>
      </c>
      <c r="AC227">
        <f t="shared" si="352"/>
        <v>0.42</v>
      </c>
      <c r="AD227">
        <f t="shared" si="353"/>
        <v>99.6</v>
      </c>
      <c r="AE227">
        <f t="shared" si="354"/>
        <v>0</v>
      </c>
      <c r="AF227">
        <f t="shared" si="355"/>
        <v>97.50839999999998</v>
      </c>
      <c r="AG227">
        <f t="shared" si="356"/>
        <v>9.7508400000000002</v>
      </c>
      <c r="AH227">
        <f t="shared" si="357"/>
        <v>76.251568799999987</v>
      </c>
      <c r="AI227">
        <f t="shared" si="358"/>
        <v>38.81204851919999</v>
      </c>
      <c r="AJ227">
        <f t="shared" si="359"/>
        <v>4.4073406766399978</v>
      </c>
      <c r="AK227">
        <f t="shared" si="360"/>
        <v>17.156602979999995</v>
      </c>
      <c r="AL227">
        <f t="shared" si="361"/>
        <v>0</v>
      </c>
      <c r="AM227">
        <f t="shared" si="362"/>
        <v>0</v>
      </c>
    </row>
    <row r="228" spans="1:39" x14ac:dyDescent="0.25">
      <c r="A228" s="65" t="s">
        <v>46</v>
      </c>
      <c r="B228" s="1" t="s">
        <v>30</v>
      </c>
      <c r="C228" s="66">
        <v>4.7E-2</v>
      </c>
      <c r="D228" s="66">
        <v>99.7</v>
      </c>
      <c r="E228" s="66">
        <v>0</v>
      </c>
      <c r="F228" s="66">
        <v>99.7</v>
      </c>
      <c r="G228" s="66">
        <v>13.8</v>
      </c>
      <c r="H228" s="66">
        <v>83.5</v>
      </c>
      <c r="I228" s="66">
        <v>3.94</v>
      </c>
      <c r="J228" s="85">
        <v>94.899999999999991</v>
      </c>
      <c r="K228" s="66">
        <v>0.16999999999999998</v>
      </c>
      <c r="L228" s="66">
        <v>0</v>
      </c>
      <c r="M228" s="66">
        <v>0</v>
      </c>
      <c r="N228" s="75">
        <v>2140</v>
      </c>
      <c r="O228" s="67">
        <f t="shared" si="363"/>
        <v>1.0058</v>
      </c>
      <c r="P228" s="67">
        <f t="shared" si="364"/>
        <v>2133.58</v>
      </c>
      <c r="Q228" s="67">
        <f t="shared" si="365"/>
        <v>0</v>
      </c>
      <c r="R228" s="67">
        <f t="shared" si="366"/>
        <v>2127.1792599999999</v>
      </c>
      <c r="S228" s="67">
        <f t="shared" si="367"/>
        <v>293.55073788000004</v>
      </c>
      <c r="T228" s="67">
        <f t="shared" si="368"/>
        <v>1776.1946820999999</v>
      </c>
      <c r="U228" s="67">
        <f t="shared" si="369"/>
        <v>69.982070474739999</v>
      </c>
      <c r="V228" s="67">
        <f t="shared" si="370"/>
        <v>1685.6087533128998</v>
      </c>
      <c r="W228" s="76">
        <f t="shared" si="371"/>
        <v>3.0195309595699995</v>
      </c>
      <c r="X228" s="67">
        <f t="shared" si="373"/>
        <v>0</v>
      </c>
      <c r="Y228" s="67">
        <f t="shared" si="373"/>
        <v>0</v>
      </c>
      <c r="Z228" s="68" t="s">
        <v>150</v>
      </c>
      <c r="AA228" s="68">
        <f t="shared" si="351"/>
        <v>11.06339508128851</v>
      </c>
      <c r="AB228" s="84" t="s">
        <v>196</v>
      </c>
      <c r="AC228">
        <f t="shared" si="352"/>
        <v>4.7E-2</v>
      </c>
      <c r="AD228">
        <f t="shared" si="353"/>
        <v>99.7</v>
      </c>
      <c r="AE228">
        <f t="shared" si="354"/>
        <v>0</v>
      </c>
      <c r="AF228">
        <f t="shared" si="355"/>
        <v>99.400899999999993</v>
      </c>
      <c r="AG228">
        <f t="shared" si="356"/>
        <v>13.717324200000004</v>
      </c>
      <c r="AH228">
        <f t="shared" si="357"/>
        <v>82.999751500000002</v>
      </c>
      <c r="AI228">
        <f t="shared" si="358"/>
        <v>3.2701902090999999</v>
      </c>
      <c r="AJ228">
        <f t="shared" si="359"/>
        <v>78.766764173499993</v>
      </c>
      <c r="AK228">
        <f t="shared" si="360"/>
        <v>0.14109957754999997</v>
      </c>
      <c r="AL228">
        <f t="shared" si="361"/>
        <v>0</v>
      </c>
      <c r="AM228">
        <f t="shared" si="362"/>
        <v>0</v>
      </c>
    </row>
    <row r="229" spans="1:39" x14ac:dyDescent="0.25">
      <c r="A229" s="65" t="s">
        <v>46</v>
      </c>
      <c r="B229" s="1" t="s">
        <v>31</v>
      </c>
      <c r="C229" s="66">
        <v>0.52</v>
      </c>
      <c r="D229" s="66">
        <v>99.3</v>
      </c>
      <c r="E229" s="66">
        <v>3.29E-3</v>
      </c>
      <c r="F229" s="66">
        <v>99.7</v>
      </c>
      <c r="G229" s="66">
        <v>0.12</v>
      </c>
      <c r="H229" s="66">
        <v>99.4</v>
      </c>
      <c r="I229" s="66">
        <v>1.4200000000000002</v>
      </c>
      <c r="J229" s="85">
        <v>95.1</v>
      </c>
      <c r="K229" s="66">
        <v>2.12</v>
      </c>
      <c r="L229" s="66">
        <v>0</v>
      </c>
      <c r="M229" s="66">
        <v>0</v>
      </c>
      <c r="N229" s="75">
        <v>30601</v>
      </c>
      <c r="O229" s="67">
        <f t="shared" si="363"/>
        <v>159.12520000000001</v>
      </c>
      <c r="P229" s="67">
        <f t="shared" si="364"/>
        <v>30386.792999999998</v>
      </c>
      <c r="Q229" s="67">
        <f t="shared" si="365"/>
        <v>0.99972548969999986</v>
      </c>
      <c r="R229" s="67">
        <f t="shared" si="366"/>
        <v>30295.632621000001</v>
      </c>
      <c r="S229" s="67">
        <f t="shared" si="367"/>
        <v>36.354759145199999</v>
      </c>
      <c r="T229" s="67">
        <f t="shared" si="368"/>
        <v>30113.858825274001</v>
      </c>
      <c r="U229" s="67">
        <f t="shared" si="369"/>
        <v>427.61679531889087</v>
      </c>
      <c r="V229" s="67">
        <f t="shared" si="370"/>
        <v>28638.279742835573</v>
      </c>
      <c r="W229" s="76">
        <f t="shared" si="371"/>
        <v>638.41380709580892</v>
      </c>
      <c r="X229" s="67">
        <f t="shared" si="373"/>
        <v>0</v>
      </c>
      <c r="Y229" s="67">
        <f t="shared" si="373"/>
        <v>0</v>
      </c>
      <c r="Z229" s="68" t="s">
        <v>152</v>
      </c>
      <c r="AA229" s="68">
        <f t="shared" si="351"/>
        <v>14.90129117859378</v>
      </c>
      <c r="AB229" s="84" t="s">
        <v>196</v>
      </c>
      <c r="AC229">
        <f t="shared" si="352"/>
        <v>0.52</v>
      </c>
      <c r="AD229">
        <f t="shared" si="353"/>
        <v>99.299999999999983</v>
      </c>
      <c r="AE229">
        <f t="shared" si="354"/>
        <v>3.2669699999999997E-3</v>
      </c>
      <c r="AF229">
        <f t="shared" si="355"/>
        <v>99.002099999999999</v>
      </c>
      <c r="AG229">
        <f t="shared" si="356"/>
        <v>0.11880251999999999</v>
      </c>
      <c r="AH229">
        <f t="shared" si="357"/>
        <v>98.408087399999999</v>
      </c>
      <c r="AI229">
        <f t="shared" si="358"/>
        <v>1.3973948410800001</v>
      </c>
      <c r="AJ229">
        <f t="shared" si="359"/>
        <v>93.586091117399988</v>
      </c>
      <c r="AK229">
        <f t="shared" si="360"/>
        <v>2.08625145288</v>
      </c>
      <c r="AL229">
        <f t="shared" si="361"/>
        <v>0</v>
      </c>
      <c r="AM229">
        <f t="shared" si="362"/>
        <v>0</v>
      </c>
    </row>
    <row r="230" spans="1:39" x14ac:dyDescent="0.25">
      <c r="A230" s="65" t="s">
        <v>46</v>
      </c>
      <c r="B230" s="1" t="s">
        <v>32</v>
      </c>
      <c r="C230" s="66">
        <v>0.04</v>
      </c>
      <c r="D230" s="66">
        <v>99.9</v>
      </c>
      <c r="E230" s="66">
        <v>0</v>
      </c>
      <c r="F230" s="66">
        <v>99.8</v>
      </c>
      <c r="G230" s="66">
        <v>0.24</v>
      </c>
      <c r="H230" s="66">
        <v>99.7</v>
      </c>
      <c r="I230" s="66">
        <v>0.67999999999999994</v>
      </c>
      <c r="J230" s="85">
        <v>99.1</v>
      </c>
      <c r="K230" s="66">
        <v>0</v>
      </c>
      <c r="L230" s="66">
        <v>0</v>
      </c>
      <c r="M230" s="66">
        <v>0</v>
      </c>
      <c r="N230" s="75">
        <v>5044</v>
      </c>
      <c r="O230" s="67">
        <f t="shared" si="363"/>
        <v>2.0175999999999998</v>
      </c>
      <c r="P230" s="67">
        <f t="shared" si="364"/>
        <v>5038.9560000000001</v>
      </c>
      <c r="Q230" s="67">
        <f t="shared" si="365"/>
        <v>0</v>
      </c>
      <c r="R230" s="67">
        <f t="shared" si="366"/>
        <v>5028.8780880000004</v>
      </c>
      <c r="S230" s="67">
        <f t="shared" si="367"/>
        <v>12.069307411200001</v>
      </c>
      <c r="T230" s="67">
        <f t="shared" si="368"/>
        <v>5013.7914537360011</v>
      </c>
      <c r="U230" s="67">
        <f t="shared" si="369"/>
        <v>34.093781885404809</v>
      </c>
      <c r="V230" s="67">
        <f t="shared" si="370"/>
        <v>4968.6673306523771</v>
      </c>
      <c r="W230" s="76">
        <f t="shared" si="371"/>
        <v>0</v>
      </c>
      <c r="X230" s="67">
        <f t="shared" si="373"/>
        <v>0</v>
      </c>
      <c r="Y230" s="67">
        <f t="shared" si="373"/>
        <v>0</v>
      </c>
      <c r="Z230" s="68" t="s">
        <v>150</v>
      </c>
      <c r="AA230" s="68">
        <f t="shared" si="351"/>
        <v>12.30035256032822</v>
      </c>
      <c r="AB230" s="84" t="s">
        <v>196</v>
      </c>
      <c r="AC230">
        <f t="shared" si="352"/>
        <v>3.9999999999999994E-2</v>
      </c>
      <c r="AD230">
        <f t="shared" si="353"/>
        <v>99.9</v>
      </c>
      <c r="AE230">
        <f t="shared" si="354"/>
        <v>0</v>
      </c>
      <c r="AF230">
        <f t="shared" si="355"/>
        <v>99.700200000000009</v>
      </c>
      <c r="AG230">
        <f t="shared" si="356"/>
        <v>0.23928047999999999</v>
      </c>
      <c r="AH230">
        <f t="shared" si="357"/>
        <v>99.401099400000021</v>
      </c>
      <c r="AI230">
        <f t="shared" si="358"/>
        <v>0.67592747592000013</v>
      </c>
      <c r="AJ230">
        <f t="shared" si="359"/>
        <v>98.506489505400026</v>
      </c>
      <c r="AK230">
        <f t="shared" si="360"/>
        <v>0</v>
      </c>
      <c r="AL230">
        <f t="shared" si="361"/>
        <v>0</v>
      </c>
      <c r="AM230">
        <f t="shared" si="362"/>
        <v>0</v>
      </c>
    </row>
    <row r="231" spans="1:39" x14ac:dyDescent="0.25">
      <c r="A231" s="65" t="s">
        <v>46</v>
      </c>
      <c r="B231" s="1" t="s">
        <v>33</v>
      </c>
      <c r="C231" s="66">
        <v>0</v>
      </c>
      <c r="D231" s="66">
        <v>100</v>
      </c>
      <c r="E231" s="66">
        <v>0</v>
      </c>
      <c r="F231" s="66">
        <v>99.5</v>
      </c>
      <c r="G231" s="66">
        <v>0.9900000000000001</v>
      </c>
      <c r="H231" s="66">
        <v>98.5</v>
      </c>
      <c r="I231" s="66">
        <v>14.299999999999999</v>
      </c>
      <c r="J231" s="85">
        <v>82.6</v>
      </c>
      <c r="K231" s="66">
        <v>0</v>
      </c>
      <c r="L231" s="66">
        <v>0</v>
      </c>
      <c r="M231" s="66">
        <v>0</v>
      </c>
      <c r="N231" s="75">
        <v>4143</v>
      </c>
      <c r="O231" s="67">
        <f t="shared" si="363"/>
        <v>0</v>
      </c>
      <c r="P231" s="67">
        <f t="shared" si="364"/>
        <v>4143</v>
      </c>
      <c r="Q231" s="67">
        <f t="shared" si="365"/>
        <v>0</v>
      </c>
      <c r="R231" s="67">
        <f t="shared" si="366"/>
        <v>4122.2849999999999</v>
      </c>
      <c r="S231" s="67">
        <f t="shared" si="367"/>
        <v>40.810621500000003</v>
      </c>
      <c r="T231" s="67">
        <f t="shared" si="368"/>
        <v>4060.4507250000001</v>
      </c>
      <c r="U231" s="67">
        <f t="shared" si="369"/>
        <v>580.64445367500002</v>
      </c>
      <c r="V231" s="67">
        <f t="shared" si="370"/>
        <v>3353.9322988499998</v>
      </c>
      <c r="W231" s="76">
        <f t="shared" si="371"/>
        <v>0</v>
      </c>
      <c r="X231" s="67">
        <f t="shared" si="373"/>
        <v>0</v>
      </c>
      <c r="Y231" s="67">
        <f t="shared" si="373"/>
        <v>0</v>
      </c>
      <c r="Z231" s="68" t="s">
        <v>150</v>
      </c>
      <c r="AA231" s="68">
        <f t="shared" si="351"/>
        <v>12.016460104979208</v>
      </c>
      <c r="AB231" s="84" t="s">
        <v>196</v>
      </c>
      <c r="AC231">
        <f t="shared" si="352"/>
        <v>0</v>
      </c>
      <c r="AD231">
        <f t="shared" si="353"/>
        <v>100</v>
      </c>
      <c r="AE231">
        <f t="shared" si="354"/>
        <v>0</v>
      </c>
      <c r="AF231">
        <f t="shared" si="355"/>
        <v>99.5</v>
      </c>
      <c r="AG231">
        <f t="shared" si="356"/>
        <v>0.9850500000000002</v>
      </c>
      <c r="AH231">
        <f t="shared" si="357"/>
        <v>98.007500000000007</v>
      </c>
      <c r="AI231">
        <f t="shared" si="358"/>
        <v>14.0150725</v>
      </c>
      <c r="AJ231">
        <f t="shared" si="359"/>
        <v>80.954194999999999</v>
      </c>
      <c r="AK231">
        <f t="shared" si="360"/>
        <v>0</v>
      </c>
      <c r="AL231">
        <f t="shared" si="361"/>
        <v>0</v>
      </c>
      <c r="AM231">
        <f t="shared" si="362"/>
        <v>0</v>
      </c>
    </row>
    <row r="232" spans="1:39" x14ac:dyDescent="0.25">
      <c r="A232" s="65" t="s">
        <v>46</v>
      </c>
      <c r="B232" s="1" t="s">
        <v>58</v>
      </c>
      <c r="C232" s="66">
        <v>0.22</v>
      </c>
      <c r="D232" s="66">
        <v>99.7</v>
      </c>
      <c r="E232" s="66">
        <v>5.5E-2</v>
      </c>
      <c r="F232" s="66">
        <v>99.6</v>
      </c>
      <c r="G232" s="66">
        <v>7.02</v>
      </c>
      <c r="H232" s="66">
        <v>72.899999999999991</v>
      </c>
      <c r="I232" s="66">
        <v>45.5</v>
      </c>
      <c r="J232" s="85">
        <v>13</v>
      </c>
      <c r="K232" s="66">
        <v>17.599999999999998</v>
      </c>
      <c r="L232" s="66">
        <v>0</v>
      </c>
      <c r="M232" s="66">
        <v>0</v>
      </c>
      <c r="N232" s="75">
        <v>1821</v>
      </c>
      <c r="O232" s="67">
        <f t="shared" si="363"/>
        <v>4.0061999999999998</v>
      </c>
      <c r="P232" s="67">
        <f t="shared" si="364"/>
        <v>1815.537</v>
      </c>
      <c r="Q232" s="67">
        <f t="shared" si="365"/>
        <v>0.99854535</v>
      </c>
      <c r="R232" s="67">
        <f t="shared" si="366"/>
        <v>1808.274852</v>
      </c>
      <c r="S232" s="67">
        <f t="shared" si="367"/>
        <v>126.94089461039999</v>
      </c>
      <c r="T232" s="67">
        <f t="shared" si="368"/>
        <v>1318.2323671079998</v>
      </c>
      <c r="U232" s="67">
        <f t="shared" si="369"/>
        <v>599.79572703413987</v>
      </c>
      <c r="V232" s="67">
        <f t="shared" si="370"/>
        <v>171.37020772403997</v>
      </c>
      <c r="W232" s="76">
        <f t="shared" si="371"/>
        <v>232.00889661100794</v>
      </c>
      <c r="X232" s="67">
        <f t="shared" ref="X232:Y244" si="374">L232*W232/100</f>
        <v>0</v>
      </c>
      <c r="Y232" s="67">
        <f t="shared" si="374"/>
        <v>0</v>
      </c>
      <c r="Z232" s="68" t="s">
        <v>150</v>
      </c>
      <c r="AA232" s="68">
        <f t="shared" si="351"/>
        <v>10.830515206976839</v>
      </c>
      <c r="AB232" s="84" t="s">
        <v>196</v>
      </c>
      <c r="AC232">
        <f t="shared" si="352"/>
        <v>0.21999999999999997</v>
      </c>
      <c r="AD232">
        <f t="shared" si="353"/>
        <v>99.7</v>
      </c>
      <c r="AE232">
        <f t="shared" si="354"/>
        <v>5.4834999999999995E-2</v>
      </c>
      <c r="AF232">
        <f t="shared" si="355"/>
        <v>99.301199999999994</v>
      </c>
      <c r="AG232">
        <f t="shared" si="356"/>
        <v>6.9709442400000006</v>
      </c>
      <c r="AH232">
        <f t="shared" si="357"/>
        <v>72.390574799999996</v>
      </c>
      <c r="AI232">
        <f t="shared" si="358"/>
        <v>32.937711533999995</v>
      </c>
      <c r="AJ232">
        <f t="shared" si="359"/>
        <v>9.4107747239999977</v>
      </c>
      <c r="AK232">
        <f t="shared" si="360"/>
        <v>12.740741164799996</v>
      </c>
      <c r="AL232">
        <f t="shared" si="361"/>
        <v>0</v>
      </c>
      <c r="AM232">
        <f t="shared" si="362"/>
        <v>0</v>
      </c>
    </row>
    <row r="233" spans="1:39" x14ac:dyDescent="0.25">
      <c r="A233" s="65" t="s">
        <v>46</v>
      </c>
      <c r="B233" s="1" t="s">
        <v>84</v>
      </c>
      <c r="C233" s="66">
        <v>0</v>
      </c>
      <c r="D233" s="66">
        <v>100</v>
      </c>
      <c r="E233" s="66">
        <v>0</v>
      </c>
      <c r="F233" s="66">
        <v>96.5</v>
      </c>
      <c r="G233" s="66">
        <v>35.199999999999996</v>
      </c>
      <c r="H233" s="66">
        <v>22.8</v>
      </c>
      <c r="I233" s="66">
        <v>57.9</v>
      </c>
      <c r="J233" s="85">
        <v>36.799999999999997</v>
      </c>
      <c r="K233" s="66">
        <v>0</v>
      </c>
      <c r="L233" s="66">
        <v>0</v>
      </c>
      <c r="M233" s="66">
        <v>0</v>
      </c>
      <c r="N233" s="75">
        <v>259</v>
      </c>
      <c r="O233" s="67">
        <f t="shared" si="363"/>
        <v>0</v>
      </c>
      <c r="P233" s="67">
        <f t="shared" si="364"/>
        <v>259</v>
      </c>
      <c r="Q233" s="67">
        <f t="shared" si="365"/>
        <v>0</v>
      </c>
      <c r="R233" s="67">
        <f t="shared" si="366"/>
        <v>249.935</v>
      </c>
      <c r="S233" s="67">
        <f t="shared" si="367"/>
        <v>87.977119999999999</v>
      </c>
      <c r="T233" s="67">
        <f t="shared" si="368"/>
        <v>56.98518</v>
      </c>
      <c r="U233" s="67">
        <f t="shared" si="369"/>
        <v>32.994419219999997</v>
      </c>
      <c r="V233" s="67">
        <f t="shared" si="370"/>
        <v>20.970546239999997</v>
      </c>
      <c r="W233" s="76">
        <f t="shared" si="371"/>
        <v>0</v>
      </c>
      <c r="X233" s="67">
        <f t="shared" si="374"/>
        <v>0</v>
      </c>
      <c r="Y233" s="67">
        <f t="shared" si="374"/>
        <v>0</v>
      </c>
      <c r="Z233" s="68" t="s">
        <v>145</v>
      </c>
      <c r="AA233" s="68">
        <f t="shared" si="351"/>
        <v>8.016808287686553</v>
      </c>
      <c r="AB233" s="84" t="s">
        <v>196</v>
      </c>
      <c r="AC233">
        <f t="shared" si="352"/>
        <v>0</v>
      </c>
      <c r="AD233">
        <f t="shared" si="353"/>
        <v>100</v>
      </c>
      <c r="AE233">
        <f t="shared" si="354"/>
        <v>0</v>
      </c>
      <c r="AF233">
        <f t="shared" si="355"/>
        <v>96.5</v>
      </c>
      <c r="AG233">
        <f t="shared" si="356"/>
        <v>33.967999999999996</v>
      </c>
      <c r="AH233">
        <f t="shared" si="357"/>
        <v>22.001999999999999</v>
      </c>
      <c r="AI233">
        <f t="shared" si="358"/>
        <v>12.739157999999998</v>
      </c>
      <c r="AJ233">
        <f t="shared" si="359"/>
        <v>8.0967359999999982</v>
      </c>
      <c r="AK233">
        <f t="shared" si="360"/>
        <v>0</v>
      </c>
      <c r="AL233">
        <f t="shared" si="361"/>
        <v>0</v>
      </c>
      <c r="AM233">
        <f t="shared" si="362"/>
        <v>0</v>
      </c>
    </row>
    <row r="234" spans="1:39" x14ac:dyDescent="0.25">
      <c r="A234" s="65" t="s">
        <v>46</v>
      </c>
      <c r="B234" s="1" t="s">
        <v>34</v>
      </c>
      <c r="C234" s="66">
        <v>0.11</v>
      </c>
      <c r="D234" s="66">
        <v>99.8</v>
      </c>
      <c r="E234" s="66">
        <v>0</v>
      </c>
      <c r="F234" s="66">
        <v>99.8</v>
      </c>
      <c r="G234" s="66">
        <v>25.1</v>
      </c>
      <c r="H234" s="66">
        <v>67.7</v>
      </c>
      <c r="I234" s="66">
        <v>4.8899999999999997</v>
      </c>
      <c r="J234" s="85">
        <v>93.899999999999991</v>
      </c>
      <c r="K234" s="66">
        <v>4.2000000000000003E-2</v>
      </c>
      <c r="L234" s="66">
        <v>0</v>
      </c>
      <c r="M234" s="66">
        <v>0</v>
      </c>
      <c r="N234" s="75">
        <v>7024</v>
      </c>
      <c r="O234" s="67">
        <f t="shared" si="363"/>
        <v>7.7263999999999999</v>
      </c>
      <c r="P234" s="67">
        <f t="shared" si="364"/>
        <v>7009.9519999999993</v>
      </c>
      <c r="Q234" s="67">
        <f t="shared" si="365"/>
        <v>0</v>
      </c>
      <c r="R234" s="67">
        <f t="shared" si="366"/>
        <v>6995.9320959999995</v>
      </c>
      <c r="S234" s="67">
        <f t="shared" si="367"/>
        <v>1755.978956096</v>
      </c>
      <c r="T234" s="67">
        <f t="shared" si="368"/>
        <v>4736.246028992</v>
      </c>
      <c r="U234" s="67">
        <f t="shared" si="369"/>
        <v>231.60243081770878</v>
      </c>
      <c r="V234" s="67">
        <f t="shared" si="370"/>
        <v>4447.3350212234873</v>
      </c>
      <c r="W234" s="76">
        <f t="shared" si="371"/>
        <v>1.9892233321766399</v>
      </c>
      <c r="X234" s="67">
        <f t="shared" si="374"/>
        <v>0</v>
      </c>
      <c r="Y234" s="67">
        <f t="shared" si="374"/>
        <v>0</v>
      </c>
      <c r="Z234" s="68" t="s">
        <v>150</v>
      </c>
      <c r="AA234" s="68">
        <f t="shared" si="351"/>
        <v>12.77807712953536</v>
      </c>
      <c r="AB234" s="84" t="s">
        <v>196</v>
      </c>
      <c r="AC234">
        <f t="shared" si="352"/>
        <v>0.11</v>
      </c>
      <c r="AD234">
        <f t="shared" si="353"/>
        <v>99.799999999999983</v>
      </c>
      <c r="AE234">
        <f t="shared" si="354"/>
        <v>0</v>
      </c>
      <c r="AF234">
        <f t="shared" si="355"/>
        <v>99.600399999999993</v>
      </c>
      <c r="AG234">
        <f t="shared" si="356"/>
        <v>24.999700399999998</v>
      </c>
      <c r="AH234">
        <f t="shared" si="357"/>
        <v>67.429470800000004</v>
      </c>
      <c r="AI234">
        <f t="shared" si="358"/>
        <v>3.2973011221199999</v>
      </c>
      <c r="AJ234">
        <f t="shared" si="359"/>
        <v>63.316273081199995</v>
      </c>
      <c r="AK234">
        <f t="shared" si="360"/>
        <v>2.8320377735999998E-2</v>
      </c>
      <c r="AL234">
        <f t="shared" si="361"/>
        <v>0</v>
      </c>
      <c r="AM234">
        <f t="shared" si="362"/>
        <v>0</v>
      </c>
    </row>
    <row r="235" spans="1:39" x14ac:dyDescent="0.25">
      <c r="A235" s="65" t="s">
        <v>46</v>
      </c>
      <c r="B235" s="1" t="s">
        <v>59</v>
      </c>
      <c r="C235" s="66">
        <v>3.1E-2</v>
      </c>
      <c r="D235" s="66">
        <v>100</v>
      </c>
      <c r="E235" s="66">
        <v>0</v>
      </c>
      <c r="F235" s="66">
        <v>99.6</v>
      </c>
      <c r="G235" s="66">
        <v>18.899999999999999</v>
      </c>
      <c r="H235" s="66">
        <v>67.600000000000009</v>
      </c>
      <c r="I235" s="66">
        <v>3.2199999999999998</v>
      </c>
      <c r="J235" s="85">
        <v>53.2</v>
      </c>
      <c r="K235" s="66">
        <v>8.5400000000000009</v>
      </c>
      <c r="L235" s="66">
        <v>0</v>
      </c>
      <c r="M235" s="66">
        <v>0</v>
      </c>
      <c r="N235" s="75">
        <v>6424</v>
      </c>
      <c r="O235" s="67">
        <f t="shared" si="363"/>
        <v>1.9914400000000001</v>
      </c>
      <c r="P235" s="67">
        <f t="shared" si="364"/>
        <v>6424</v>
      </c>
      <c r="Q235" s="67">
        <f t="shared" si="365"/>
        <v>0</v>
      </c>
      <c r="R235" s="67">
        <f t="shared" si="366"/>
        <v>6398.3039999999992</v>
      </c>
      <c r="S235" s="67">
        <f t="shared" si="367"/>
        <v>1209.2794559999998</v>
      </c>
      <c r="T235" s="67">
        <f t="shared" si="368"/>
        <v>4325.2535040000002</v>
      </c>
      <c r="U235" s="67">
        <f t="shared" si="369"/>
        <v>139.2731628288</v>
      </c>
      <c r="V235" s="67">
        <f t="shared" si="370"/>
        <v>2301.0348641280002</v>
      </c>
      <c r="W235" s="76">
        <f t="shared" si="371"/>
        <v>369.37664924160003</v>
      </c>
      <c r="X235" s="67">
        <f t="shared" si="374"/>
        <v>0</v>
      </c>
      <c r="Y235" s="67">
        <f t="shared" si="374"/>
        <v>0</v>
      </c>
      <c r="Z235" s="68" t="s">
        <v>150</v>
      </c>
      <c r="AA235" s="68">
        <f t="shared" si="351"/>
        <v>12.649256177517316</v>
      </c>
      <c r="AB235" s="84" t="s">
        <v>196</v>
      </c>
      <c r="AC235">
        <f t="shared" si="352"/>
        <v>3.1E-2</v>
      </c>
      <c r="AD235">
        <f t="shared" si="353"/>
        <v>100</v>
      </c>
      <c r="AE235">
        <f t="shared" si="354"/>
        <v>0</v>
      </c>
      <c r="AF235">
        <f t="shared" si="355"/>
        <v>99.6</v>
      </c>
      <c r="AG235">
        <f t="shared" si="356"/>
        <v>18.824399999999997</v>
      </c>
      <c r="AH235">
        <f t="shared" si="357"/>
        <v>67.329599999999999</v>
      </c>
      <c r="AI235">
        <f t="shared" si="358"/>
        <v>2.1680131199999999</v>
      </c>
      <c r="AJ235">
        <f t="shared" si="359"/>
        <v>35.819347200000003</v>
      </c>
      <c r="AK235">
        <f t="shared" si="360"/>
        <v>5.7499478400000008</v>
      </c>
      <c r="AL235">
        <f t="shared" si="361"/>
        <v>0</v>
      </c>
      <c r="AM235">
        <f t="shared" si="362"/>
        <v>0</v>
      </c>
    </row>
    <row r="236" spans="1:39" x14ac:dyDescent="0.25">
      <c r="A236" s="65" t="s">
        <v>46</v>
      </c>
      <c r="B236" s="1" t="s">
        <v>85</v>
      </c>
      <c r="C236" s="66">
        <v>7.1000000000000008E-2</v>
      </c>
      <c r="D236" s="66">
        <v>99.9</v>
      </c>
      <c r="E236" s="66">
        <v>0.01</v>
      </c>
      <c r="F236" s="66">
        <v>99.6</v>
      </c>
      <c r="G236" s="66">
        <v>14.000000000000002</v>
      </c>
      <c r="H236" s="66">
        <v>79.3</v>
      </c>
      <c r="I236" s="66">
        <v>12.8</v>
      </c>
      <c r="J236" s="85">
        <v>75.599999999999994</v>
      </c>
      <c r="K236" s="66">
        <v>4.2</v>
      </c>
      <c r="L236" s="66">
        <v>0</v>
      </c>
      <c r="M236" s="66">
        <v>0</v>
      </c>
      <c r="N236" s="75">
        <v>9865</v>
      </c>
      <c r="O236" s="67">
        <f t="shared" si="363"/>
        <v>7.004150000000001</v>
      </c>
      <c r="P236" s="67">
        <f t="shared" si="364"/>
        <v>9855.1350000000002</v>
      </c>
      <c r="Q236" s="67">
        <f t="shared" si="365"/>
        <v>0.98551350000000004</v>
      </c>
      <c r="R236" s="67">
        <f t="shared" si="366"/>
        <v>9815.7144599999992</v>
      </c>
      <c r="S236" s="67">
        <f t="shared" si="367"/>
        <v>1374.2000244000001</v>
      </c>
      <c r="T236" s="67">
        <f t="shared" si="368"/>
        <v>7783.8615667799986</v>
      </c>
      <c r="U236" s="67">
        <f t="shared" si="369"/>
        <v>996.33428054783985</v>
      </c>
      <c r="V236" s="67">
        <f t="shared" si="370"/>
        <v>5884.5993444856776</v>
      </c>
      <c r="W236" s="76">
        <f t="shared" si="371"/>
        <v>326.92218580475992</v>
      </c>
      <c r="X236" s="67">
        <f t="shared" si="374"/>
        <v>0</v>
      </c>
      <c r="Y236" s="67">
        <f t="shared" si="374"/>
        <v>0</v>
      </c>
      <c r="Z236" s="68" t="s">
        <v>150</v>
      </c>
      <c r="AA236" s="68">
        <f t="shared" si="351"/>
        <v>13.268103335610922</v>
      </c>
      <c r="AB236" s="84" t="s">
        <v>196</v>
      </c>
      <c r="AC236">
        <f t="shared" si="352"/>
        <v>7.1000000000000008E-2</v>
      </c>
      <c r="AD236">
        <f t="shared" si="353"/>
        <v>99.9</v>
      </c>
      <c r="AE236">
        <f t="shared" si="354"/>
        <v>9.9900000000000006E-3</v>
      </c>
      <c r="AF236">
        <f t="shared" si="355"/>
        <v>99.500399999999985</v>
      </c>
      <c r="AG236">
        <f t="shared" si="356"/>
        <v>13.930056000000002</v>
      </c>
      <c r="AH236">
        <f t="shared" si="357"/>
        <v>78.903817199999978</v>
      </c>
      <c r="AI236">
        <f t="shared" si="358"/>
        <v>10.099688601599999</v>
      </c>
      <c r="AJ236">
        <f t="shared" si="359"/>
        <v>59.651285803199968</v>
      </c>
      <c r="AK236">
        <f t="shared" si="360"/>
        <v>3.3139603223999989</v>
      </c>
      <c r="AL236">
        <f t="shared" si="361"/>
        <v>0</v>
      </c>
      <c r="AM236">
        <f t="shared" si="362"/>
        <v>0</v>
      </c>
    </row>
    <row r="237" spans="1:39" x14ac:dyDescent="0.25">
      <c r="A237" s="65" t="s">
        <v>46</v>
      </c>
      <c r="B237" s="1" t="s">
        <v>76</v>
      </c>
      <c r="C237" s="66">
        <v>0</v>
      </c>
      <c r="D237" s="66">
        <v>99.9</v>
      </c>
      <c r="E237" s="66">
        <v>0</v>
      </c>
      <c r="F237" s="66">
        <v>99.9</v>
      </c>
      <c r="G237" s="66">
        <v>10.7</v>
      </c>
      <c r="H237" s="66">
        <v>83.2</v>
      </c>
      <c r="I237" s="66">
        <v>8.4500000000000011</v>
      </c>
      <c r="J237" s="85">
        <v>87.3</v>
      </c>
      <c r="K237" s="66">
        <v>0.66</v>
      </c>
      <c r="L237" s="66">
        <v>0</v>
      </c>
      <c r="M237" s="66">
        <v>0</v>
      </c>
      <c r="N237" s="75">
        <v>4591</v>
      </c>
      <c r="O237" s="67">
        <f t="shared" si="363"/>
        <v>0</v>
      </c>
      <c r="P237" s="67">
        <f t="shared" si="364"/>
        <v>4586.4090000000006</v>
      </c>
      <c r="Q237" s="67">
        <f t="shared" si="365"/>
        <v>0</v>
      </c>
      <c r="R237" s="67">
        <f t="shared" si="366"/>
        <v>4581.822591000001</v>
      </c>
      <c r="S237" s="67">
        <f t="shared" si="367"/>
        <v>490.25501723700006</v>
      </c>
      <c r="T237" s="67">
        <f t="shared" si="368"/>
        <v>3812.0763957120012</v>
      </c>
      <c r="U237" s="67">
        <f t="shared" si="369"/>
        <v>322.12045543766413</v>
      </c>
      <c r="V237" s="67">
        <f t="shared" si="370"/>
        <v>3327.9426934565768</v>
      </c>
      <c r="W237" s="76">
        <f t="shared" si="371"/>
        <v>25.159704211699207</v>
      </c>
      <c r="X237" s="67">
        <f t="shared" si="374"/>
        <v>0</v>
      </c>
      <c r="Y237" s="67">
        <f t="shared" si="374"/>
        <v>0</v>
      </c>
      <c r="Z237" s="68" t="s">
        <v>150</v>
      </c>
      <c r="AA237" s="68">
        <f t="shared" si="351"/>
        <v>12.164592716712367</v>
      </c>
      <c r="AB237" s="84" t="s">
        <v>196</v>
      </c>
      <c r="AC237">
        <f t="shared" si="352"/>
        <v>0</v>
      </c>
      <c r="AD237">
        <f t="shared" si="353"/>
        <v>99.9</v>
      </c>
      <c r="AE237">
        <f t="shared" si="354"/>
        <v>0</v>
      </c>
      <c r="AF237">
        <f t="shared" si="355"/>
        <v>99.800100000000029</v>
      </c>
      <c r="AG237">
        <f t="shared" si="356"/>
        <v>10.678610700000002</v>
      </c>
      <c r="AH237">
        <f t="shared" si="357"/>
        <v>83.033683200000027</v>
      </c>
      <c r="AI237">
        <f t="shared" si="358"/>
        <v>7.0163462304000026</v>
      </c>
      <c r="AJ237">
        <f t="shared" si="359"/>
        <v>72.488405433600008</v>
      </c>
      <c r="AK237">
        <f t="shared" si="360"/>
        <v>0.54802230912000016</v>
      </c>
      <c r="AL237">
        <f t="shared" si="361"/>
        <v>0</v>
      </c>
      <c r="AM237">
        <f t="shared" si="362"/>
        <v>0</v>
      </c>
    </row>
    <row r="238" spans="1:39" x14ac:dyDescent="0.25">
      <c r="A238" s="65" t="s">
        <v>46</v>
      </c>
      <c r="B238" s="1" t="s">
        <v>96</v>
      </c>
      <c r="C238" s="66">
        <v>0</v>
      </c>
      <c r="D238" s="66">
        <v>100</v>
      </c>
      <c r="E238" s="66">
        <v>0</v>
      </c>
      <c r="F238" s="66">
        <v>99.6</v>
      </c>
      <c r="G238" s="66">
        <v>0.2</v>
      </c>
      <c r="H238" s="66">
        <v>99.5</v>
      </c>
      <c r="I238" s="66">
        <v>15.1</v>
      </c>
      <c r="J238" s="85">
        <v>81.5</v>
      </c>
      <c r="K238" s="66">
        <v>0.02</v>
      </c>
      <c r="L238" s="66">
        <v>0</v>
      </c>
      <c r="M238" s="66">
        <v>0</v>
      </c>
      <c r="N238" s="75">
        <v>5128</v>
      </c>
      <c r="O238" s="67">
        <f t="shared" si="363"/>
        <v>0</v>
      </c>
      <c r="P238" s="67">
        <f t="shared" si="364"/>
        <v>5128</v>
      </c>
      <c r="Q238" s="67">
        <f t="shared" si="365"/>
        <v>0</v>
      </c>
      <c r="R238" s="67">
        <f t="shared" si="366"/>
        <v>5107.4880000000003</v>
      </c>
      <c r="S238" s="67">
        <f t="shared" si="367"/>
        <v>10.214976000000002</v>
      </c>
      <c r="T238" s="67">
        <f t="shared" si="368"/>
        <v>5081.9505600000002</v>
      </c>
      <c r="U238" s="67">
        <f t="shared" si="369"/>
        <v>767.37453456000003</v>
      </c>
      <c r="V238" s="67">
        <f t="shared" si="370"/>
        <v>4141.7897063999999</v>
      </c>
      <c r="W238" s="76">
        <f t="shared" si="371"/>
        <v>1.0163901120000001</v>
      </c>
      <c r="X238" s="67">
        <f t="shared" si="374"/>
        <v>0</v>
      </c>
      <c r="Y238" s="67">
        <f t="shared" si="374"/>
        <v>0</v>
      </c>
      <c r="Z238" s="68" t="s">
        <v>150</v>
      </c>
      <c r="AA238" s="68">
        <f t="shared" si="351"/>
        <v>12.32418054661874</v>
      </c>
      <c r="AB238" s="84" t="s">
        <v>196</v>
      </c>
      <c r="AC238">
        <f t="shared" si="352"/>
        <v>0</v>
      </c>
      <c r="AD238">
        <f t="shared" si="353"/>
        <v>100</v>
      </c>
      <c r="AE238">
        <f t="shared" si="354"/>
        <v>0</v>
      </c>
      <c r="AF238">
        <f t="shared" si="355"/>
        <v>99.600000000000009</v>
      </c>
      <c r="AG238">
        <f t="shared" si="356"/>
        <v>0.19920000000000002</v>
      </c>
      <c r="AH238">
        <f t="shared" si="357"/>
        <v>99.102000000000004</v>
      </c>
      <c r="AI238">
        <f t="shared" si="358"/>
        <v>14.964402000000002</v>
      </c>
      <c r="AJ238">
        <f t="shared" si="359"/>
        <v>80.768129999999999</v>
      </c>
      <c r="AK238">
        <f t="shared" si="360"/>
        <v>1.9820400000000002E-2</v>
      </c>
      <c r="AL238">
        <f t="shared" si="361"/>
        <v>0</v>
      </c>
      <c r="AM238">
        <f t="shared" si="362"/>
        <v>0</v>
      </c>
    </row>
    <row r="239" spans="1:39" x14ac:dyDescent="0.25">
      <c r="A239" s="65" t="s">
        <v>46</v>
      </c>
      <c r="B239" s="1" t="s">
        <v>61</v>
      </c>
      <c r="C239" s="66">
        <v>0</v>
      </c>
      <c r="D239" s="66">
        <v>99.8</v>
      </c>
      <c r="E239" s="66">
        <v>0</v>
      </c>
      <c r="F239" s="66">
        <v>96.1</v>
      </c>
      <c r="G239" s="66">
        <v>8.89</v>
      </c>
      <c r="H239" s="66">
        <v>89.2</v>
      </c>
      <c r="I239" s="66">
        <v>0</v>
      </c>
      <c r="J239" s="85">
        <v>99.7</v>
      </c>
      <c r="K239" s="66">
        <v>0.27</v>
      </c>
      <c r="L239" s="66">
        <v>0</v>
      </c>
      <c r="M239" s="66">
        <v>0</v>
      </c>
      <c r="N239" s="75">
        <v>434</v>
      </c>
      <c r="O239" s="67">
        <f t="shared" si="363"/>
        <v>0</v>
      </c>
      <c r="P239" s="67">
        <f t="shared" si="364"/>
        <v>433.13199999999995</v>
      </c>
      <c r="Q239" s="67">
        <f t="shared" si="365"/>
        <v>0</v>
      </c>
      <c r="R239" s="67">
        <f t="shared" si="366"/>
        <v>416.23985199999993</v>
      </c>
      <c r="S239" s="67">
        <f t="shared" si="367"/>
        <v>37.003722842799995</v>
      </c>
      <c r="T239" s="67">
        <f t="shared" si="368"/>
        <v>371.28594798399996</v>
      </c>
      <c r="U239" s="67">
        <f t="shared" si="369"/>
        <v>0</v>
      </c>
      <c r="V239" s="67">
        <f t="shared" si="370"/>
        <v>370.17209014004794</v>
      </c>
      <c r="W239" s="76">
        <f t="shared" si="371"/>
        <v>1.0024720595568</v>
      </c>
      <c r="X239" s="67">
        <f t="shared" si="374"/>
        <v>0</v>
      </c>
      <c r="Y239" s="67">
        <f t="shared" si="374"/>
        <v>0</v>
      </c>
      <c r="Z239" s="68" t="s">
        <v>145</v>
      </c>
      <c r="AA239" s="68">
        <f t="shared" si="351"/>
        <v>8.7615512324444804</v>
      </c>
      <c r="AB239" s="84" t="s">
        <v>196</v>
      </c>
      <c r="AC239">
        <f t="shared" si="352"/>
        <v>0</v>
      </c>
      <c r="AD239">
        <f t="shared" si="353"/>
        <v>99.799999999999983</v>
      </c>
      <c r="AE239">
        <f t="shared" si="354"/>
        <v>0</v>
      </c>
      <c r="AF239">
        <f t="shared" si="355"/>
        <v>95.90779999999998</v>
      </c>
      <c r="AG239">
        <f t="shared" si="356"/>
        <v>8.5262034199999981</v>
      </c>
      <c r="AH239">
        <f t="shared" si="357"/>
        <v>85.549757599999992</v>
      </c>
      <c r="AI239">
        <f t="shared" si="358"/>
        <v>0</v>
      </c>
      <c r="AJ239">
        <f t="shared" si="359"/>
        <v>85.293108327199988</v>
      </c>
      <c r="AK239">
        <f t="shared" si="360"/>
        <v>0.23098434552</v>
      </c>
      <c r="AL239">
        <f t="shared" si="361"/>
        <v>0</v>
      </c>
      <c r="AM239">
        <f t="shared" si="362"/>
        <v>0</v>
      </c>
    </row>
    <row r="240" spans="1:39" x14ac:dyDescent="0.25">
      <c r="A240" s="65" t="s">
        <v>46</v>
      </c>
      <c r="B240" s="1" t="s">
        <v>77</v>
      </c>
      <c r="C240" s="66">
        <v>0</v>
      </c>
      <c r="D240" s="66">
        <v>100</v>
      </c>
      <c r="E240" s="66">
        <v>2.3E-2</v>
      </c>
      <c r="F240" s="66">
        <v>99.4</v>
      </c>
      <c r="G240" s="66">
        <v>1.66</v>
      </c>
      <c r="H240" s="66">
        <v>97.899999999999991</v>
      </c>
      <c r="I240" s="66">
        <v>9.2899999999999991</v>
      </c>
      <c r="J240" s="85">
        <v>88</v>
      </c>
      <c r="K240" s="66">
        <v>0</v>
      </c>
      <c r="L240" s="66">
        <v>0</v>
      </c>
      <c r="M240" s="66">
        <v>0</v>
      </c>
      <c r="N240" s="75">
        <v>4369</v>
      </c>
      <c r="O240" s="67">
        <f t="shared" si="363"/>
        <v>0</v>
      </c>
      <c r="P240" s="67">
        <f t="shared" si="364"/>
        <v>4369</v>
      </c>
      <c r="Q240" s="67">
        <f t="shared" si="365"/>
        <v>1.0048699999999999</v>
      </c>
      <c r="R240" s="67">
        <f t="shared" si="366"/>
        <v>4342.7860000000001</v>
      </c>
      <c r="S240" s="67">
        <f t="shared" si="367"/>
        <v>72.090247599999998</v>
      </c>
      <c r="T240" s="67">
        <f t="shared" si="368"/>
        <v>4251.5874939999994</v>
      </c>
      <c r="U240" s="67">
        <f t="shared" si="369"/>
        <v>394.97247819259991</v>
      </c>
      <c r="V240" s="67">
        <f t="shared" si="370"/>
        <v>3741.3969947199994</v>
      </c>
      <c r="W240" s="76">
        <f t="shared" si="371"/>
        <v>0</v>
      </c>
      <c r="X240" s="67">
        <f t="shared" si="374"/>
        <v>0</v>
      </c>
      <c r="Y240" s="67">
        <f t="shared" si="374"/>
        <v>0</v>
      </c>
      <c r="Z240" s="68" t="s">
        <v>150</v>
      </c>
      <c r="AA240" s="68">
        <f t="shared" si="351"/>
        <v>12.093087390444218</v>
      </c>
      <c r="AB240" s="84" t="s">
        <v>196</v>
      </c>
      <c r="AC240">
        <f t="shared" si="352"/>
        <v>0</v>
      </c>
      <c r="AD240">
        <f t="shared" si="353"/>
        <v>100</v>
      </c>
      <c r="AE240">
        <f t="shared" si="354"/>
        <v>2.3E-2</v>
      </c>
      <c r="AF240">
        <f t="shared" si="355"/>
        <v>99.4</v>
      </c>
      <c r="AG240">
        <f t="shared" si="356"/>
        <v>1.6500399999999997</v>
      </c>
      <c r="AH240">
        <f t="shared" si="357"/>
        <v>97.312599999999989</v>
      </c>
      <c r="AI240">
        <f t="shared" si="358"/>
        <v>9.040340539999999</v>
      </c>
      <c r="AJ240">
        <f t="shared" si="359"/>
        <v>85.635087999999982</v>
      </c>
      <c r="AK240">
        <f t="shared" si="360"/>
        <v>0</v>
      </c>
      <c r="AL240">
        <f t="shared" si="361"/>
        <v>0</v>
      </c>
      <c r="AM240">
        <f t="shared" si="362"/>
        <v>0</v>
      </c>
    </row>
    <row r="241" spans="1:39" x14ac:dyDescent="0.25">
      <c r="A241" s="65" t="s">
        <v>46</v>
      </c>
      <c r="B241" s="1" t="s">
        <v>35</v>
      </c>
      <c r="C241" s="66">
        <v>0</v>
      </c>
      <c r="D241" s="66">
        <v>99.5</v>
      </c>
      <c r="E241" s="66">
        <v>0</v>
      </c>
      <c r="F241" s="66">
        <v>98.4</v>
      </c>
      <c r="G241" s="66">
        <v>14.6</v>
      </c>
      <c r="H241" s="66">
        <v>82</v>
      </c>
      <c r="I241" s="66">
        <v>0</v>
      </c>
      <c r="J241" s="85">
        <v>98.2</v>
      </c>
      <c r="K241" s="66">
        <v>0.59</v>
      </c>
      <c r="L241" s="66">
        <v>0</v>
      </c>
      <c r="M241" s="66">
        <v>0</v>
      </c>
      <c r="N241" s="75">
        <v>630</v>
      </c>
      <c r="O241" s="67">
        <f t="shared" si="363"/>
        <v>0</v>
      </c>
      <c r="P241" s="67">
        <f t="shared" si="364"/>
        <v>626.85</v>
      </c>
      <c r="Q241" s="67">
        <f t="shared" si="365"/>
        <v>0</v>
      </c>
      <c r="R241" s="67">
        <f t="shared" si="366"/>
        <v>616.82040000000006</v>
      </c>
      <c r="S241" s="67">
        <f t="shared" si="367"/>
        <v>90.055778399999994</v>
      </c>
      <c r="T241" s="67">
        <f t="shared" si="368"/>
        <v>505.79272800000007</v>
      </c>
      <c r="U241" s="67">
        <f t="shared" si="369"/>
        <v>0</v>
      </c>
      <c r="V241" s="67">
        <f t="shared" si="370"/>
        <v>496.6884588960001</v>
      </c>
      <c r="W241" s="76">
        <f t="shared" si="371"/>
        <v>2.9841770952000002</v>
      </c>
      <c r="X241" s="67">
        <f t="shared" si="374"/>
        <v>0</v>
      </c>
      <c r="Y241" s="67">
        <f t="shared" si="374"/>
        <v>0</v>
      </c>
      <c r="Z241" s="68" t="s">
        <v>145</v>
      </c>
      <c r="AA241" s="68">
        <f t="shared" si="351"/>
        <v>9.2992080183872794</v>
      </c>
      <c r="AB241" s="84" t="s">
        <v>196</v>
      </c>
      <c r="AC241">
        <f t="shared" si="352"/>
        <v>0</v>
      </c>
      <c r="AD241">
        <f t="shared" si="353"/>
        <v>99.5</v>
      </c>
      <c r="AE241">
        <f t="shared" si="354"/>
        <v>0</v>
      </c>
      <c r="AF241">
        <f t="shared" si="355"/>
        <v>97.908000000000001</v>
      </c>
      <c r="AG241">
        <f t="shared" si="356"/>
        <v>14.294568</v>
      </c>
      <c r="AH241">
        <f t="shared" si="357"/>
        <v>80.284560000000013</v>
      </c>
      <c r="AI241">
        <f t="shared" si="358"/>
        <v>0</v>
      </c>
      <c r="AJ241">
        <f t="shared" si="359"/>
        <v>78.839437920000009</v>
      </c>
      <c r="AK241">
        <f t="shared" si="360"/>
        <v>0.47367890400000007</v>
      </c>
      <c r="AL241">
        <f t="shared" si="361"/>
        <v>0</v>
      </c>
      <c r="AM241">
        <f t="shared" si="362"/>
        <v>0</v>
      </c>
    </row>
    <row r="242" spans="1:39" x14ac:dyDescent="0.25">
      <c r="A242" s="65" t="s">
        <v>46</v>
      </c>
      <c r="B242" s="1" t="s">
        <v>62</v>
      </c>
      <c r="C242" s="66">
        <v>0</v>
      </c>
      <c r="D242" s="66">
        <v>100</v>
      </c>
      <c r="E242" s="66">
        <v>0</v>
      </c>
      <c r="F242" s="66">
        <v>90.8</v>
      </c>
      <c r="G242" s="66">
        <v>7.5600000000000005</v>
      </c>
      <c r="H242" s="66">
        <v>86.6</v>
      </c>
      <c r="I242" s="66">
        <v>42.699999999999996</v>
      </c>
      <c r="J242" s="85">
        <v>39.800000000000004</v>
      </c>
      <c r="K242" s="66">
        <v>11.700000000000001</v>
      </c>
      <c r="L242" s="66">
        <v>0</v>
      </c>
      <c r="M242" s="66">
        <v>0</v>
      </c>
      <c r="N242" s="75">
        <v>131</v>
      </c>
      <c r="O242" s="67">
        <f t="shared" si="363"/>
        <v>0</v>
      </c>
      <c r="P242" s="67">
        <f t="shared" si="364"/>
        <v>131</v>
      </c>
      <c r="Q242" s="67">
        <f t="shared" si="365"/>
        <v>0</v>
      </c>
      <c r="R242" s="67">
        <f t="shared" si="366"/>
        <v>118.94799999999999</v>
      </c>
      <c r="S242" s="67">
        <f t="shared" si="367"/>
        <v>8.992468800000001</v>
      </c>
      <c r="T242" s="67">
        <f t="shared" si="368"/>
        <v>103.00896799999998</v>
      </c>
      <c r="U242" s="67">
        <f t="shared" si="369"/>
        <v>43.984829335999983</v>
      </c>
      <c r="V242" s="67">
        <f t="shared" si="370"/>
        <v>40.997569263999992</v>
      </c>
      <c r="W242" s="76">
        <f t="shared" si="371"/>
        <v>12.052049255999998</v>
      </c>
      <c r="X242" s="67">
        <f t="shared" si="374"/>
        <v>0</v>
      </c>
      <c r="Y242" s="67">
        <f t="shared" si="374"/>
        <v>0</v>
      </c>
      <c r="Z242" s="68" t="s">
        <v>145</v>
      </c>
      <c r="AA242" s="68">
        <f t="shared" si="351"/>
        <v>7.0334230015374501</v>
      </c>
      <c r="AB242" s="84" t="s">
        <v>196</v>
      </c>
      <c r="AC242">
        <f t="shared" si="352"/>
        <v>0</v>
      </c>
      <c r="AD242">
        <f t="shared" si="353"/>
        <v>100</v>
      </c>
      <c r="AE242">
        <f t="shared" si="354"/>
        <v>0</v>
      </c>
      <c r="AF242">
        <f t="shared" si="355"/>
        <v>90.8</v>
      </c>
      <c r="AG242">
        <f t="shared" si="356"/>
        <v>6.8644800000000004</v>
      </c>
      <c r="AH242">
        <f t="shared" si="357"/>
        <v>78.632799999999975</v>
      </c>
      <c r="AI242">
        <f t="shared" si="358"/>
        <v>33.576205599999987</v>
      </c>
      <c r="AJ242">
        <f t="shared" si="359"/>
        <v>31.295854399999996</v>
      </c>
      <c r="AK242">
        <f t="shared" si="360"/>
        <v>9.2000375999999982</v>
      </c>
      <c r="AL242">
        <f t="shared" si="361"/>
        <v>0</v>
      </c>
      <c r="AM242">
        <f t="shared" si="362"/>
        <v>0</v>
      </c>
    </row>
    <row r="243" spans="1:39" x14ac:dyDescent="0.25">
      <c r="A243" s="65" t="s">
        <v>46</v>
      </c>
      <c r="B243" s="1" t="s">
        <v>91</v>
      </c>
      <c r="C243" s="66">
        <v>0</v>
      </c>
      <c r="D243" s="66">
        <v>99.9</v>
      </c>
      <c r="E243" s="66">
        <v>0</v>
      </c>
      <c r="F243" s="66">
        <v>96.8</v>
      </c>
      <c r="G243" s="66">
        <v>2.5700000000000003</v>
      </c>
      <c r="H243" s="66">
        <v>90</v>
      </c>
      <c r="I243" s="66">
        <v>49</v>
      </c>
      <c r="J243" s="85">
        <v>39.6</v>
      </c>
      <c r="K243" s="66">
        <v>5.63</v>
      </c>
      <c r="L243" s="66">
        <v>0</v>
      </c>
      <c r="M243" s="66">
        <v>0</v>
      </c>
      <c r="N243" s="75">
        <v>1366</v>
      </c>
      <c r="O243" s="67">
        <f t="shared" si="363"/>
        <v>0</v>
      </c>
      <c r="P243" s="67">
        <f t="shared" si="364"/>
        <v>1364.634</v>
      </c>
      <c r="Q243" s="67">
        <f t="shared" si="365"/>
        <v>0</v>
      </c>
      <c r="R243" s="67">
        <f t="shared" si="366"/>
        <v>1320.9657120000002</v>
      </c>
      <c r="S243" s="67">
        <f t="shared" si="367"/>
        <v>33.948818798400005</v>
      </c>
      <c r="T243" s="67">
        <f t="shared" si="368"/>
        <v>1188.8691408000002</v>
      </c>
      <c r="U243" s="67">
        <f t="shared" si="369"/>
        <v>582.5458789920001</v>
      </c>
      <c r="V243" s="67">
        <f t="shared" si="370"/>
        <v>470.79217975680012</v>
      </c>
      <c r="W243" s="76">
        <f t="shared" si="371"/>
        <v>66.933332627040002</v>
      </c>
      <c r="X243" s="67">
        <f t="shared" si="374"/>
        <v>0</v>
      </c>
      <c r="Y243" s="67">
        <f t="shared" si="374"/>
        <v>0</v>
      </c>
      <c r="Z243" s="68" t="s">
        <v>150</v>
      </c>
      <c r="AA243" s="68">
        <f t="shared" si="351"/>
        <v>10.415741768290092</v>
      </c>
      <c r="AB243" s="84" t="s">
        <v>196</v>
      </c>
      <c r="AC243">
        <f t="shared" si="352"/>
        <v>0</v>
      </c>
      <c r="AD243">
        <f t="shared" si="353"/>
        <v>99.9</v>
      </c>
      <c r="AE243">
        <f t="shared" si="354"/>
        <v>0</v>
      </c>
      <c r="AF243">
        <f t="shared" si="355"/>
        <v>96.70320000000001</v>
      </c>
      <c r="AG243">
        <f t="shared" si="356"/>
        <v>2.4852722400000005</v>
      </c>
      <c r="AH243">
        <f t="shared" si="357"/>
        <v>87.032880000000006</v>
      </c>
      <c r="AI243">
        <f t="shared" si="358"/>
        <v>42.646111200000007</v>
      </c>
      <c r="AJ243">
        <f t="shared" si="359"/>
        <v>34.465020480000007</v>
      </c>
      <c r="AK243">
        <f t="shared" si="360"/>
        <v>4.8999511440000001</v>
      </c>
      <c r="AL243">
        <f t="shared" si="361"/>
        <v>0</v>
      </c>
      <c r="AM243">
        <f t="shared" si="362"/>
        <v>0</v>
      </c>
    </row>
    <row r="244" spans="1:39" x14ac:dyDescent="0.25">
      <c r="A244" s="65" t="s">
        <v>46</v>
      </c>
      <c r="B244" s="1" t="s">
        <v>37</v>
      </c>
      <c r="C244" s="66">
        <v>0</v>
      </c>
      <c r="D244" s="66">
        <v>99.9</v>
      </c>
      <c r="E244" s="66">
        <v>0</v>
      </c>
      <c r="F244" s="66">
        <v>99.6</v>
      </c>
      <c r="G244" s="66">
        <v>1.51</v>
      </c>
      <c r="H244" s="66">
        <v>96.6</v>
      </c>
      <c r="I244" s="66">
        <v>3.9600000000000004</v>
      </c>
      <c r="J244" s="85">
        <v>93.899999999999991</v>
      </c>
      <c r="K244" s="66">
        <v>4.5999999999999999E-2</v>
      </c>
      <c r="L244" s="66">
        <v>0</v>
      </c>
      <c r="M244" s="66">
        <v>0</v>
      </c>
      <c r="N244" s="75">
        <v>4666</v>
      </c>
      <c r="O244" s="67">
        <f t="shared" si="363"/>
        <v>0</v>
      </c>
      <c r="P244" s="67">
        <f t="shared" si="364"/>
        <v>4661.3339999999998</v>
      </c>
      <c r="Q244" s="67">
        <f t="shared" si="365"/>
        <v>0</v>
      </c>
      <c r="R244" s="67">
        <f t="shared" si="366"/>
        <v>4642.6886639999993</v>
      </c>
      <c r="S244" s="67">
        <f t="shared" si="367"/>
        <v>70.104598826399993</v>
      </c>
      <c r="T244" s="67">
        <f t="shared" si="368"/>
        <v>4484.8372494239993</v>
      </c>
      <c r="U244" s="67">
        <f t="shared" si="369"/>
        <v>177.59955507719039</v>
      </c>
      <c r="V244" s="67">
        <f t="shared" si="370"/>
        <v>4211.2621772091343</v>
      </c>
      <c r="W244" s="76">
        <f t="shared" si="371"/>
        <v>2.0630251347350397</v>
      </c>
      <c r="X244" s="67">
        <f t="shared" si="374"/>
        <v>0</v>
      </c>
      <c r="Y244" s="67">
        <f t="shared" si="374"/>
        <v>0</v>
      </c>
      <c r="Z244" s="68" t="s">
        <v>150</v>
      </c>
      <c r="AA244" s="68">
        <f t="shared" si="351"/>
        <v>12.1879705919842</v>
      </c>
      <c r="AB244" s="84" t="s">
        <v>196</v>
      </c>
      <c r="AC244">
        <f t="shared" si="352"/>
        <v>0</v>
      </c>
      <c r="AD244">
        <f t="shared" si="353"/>
        <v>99.9</v>
      </c>
      <c r="AE244">
        <f t="shared" si="354"/>
        <v>0</v>
      </c>
      <c r="AF244">
        <f t="shared" si="355"/>
        <v>99.500399999999985</v>
      </c>
      <c r="AG244">
        <f t="shared" si="356"/>
        <v>1.5024560399999998</v>
      </c>
      <c r="AH244">
        <f t="shared" si="357"/>
        <v>96.117386399999987</v>
      </c>
      <c r="AI244">
        <f t="shared" si="358"/>
        <v>3.8062485014399994</v>
      </c>
      <c r="AJ244">
        <f t="shared" si="359"/>
        <v>90.25422582959996</v>
      </c>
      <c r="AK244">
        <f t="shared" si="360"/>
        <v>4.4213997743999998E-2</v>
      </c>
      <c r="AL244">
        <f t="shared" si="361"/>
        <v>0</v>
      </c>
      <c r="AM244">
        <f t="shared" si="362"/>
        <v>0</v>
      </c>
    </row>
    <row r="245" spans="1:39" x14ac:dyDescent="0.25">
      <c r="A245" s="65" t="s">
        <v>46</v>
      </c>
      <c r="B245" s="1" t="s">
        <v>64</v>
      </c>
      <c r="C245" s="66">
        <v>0.59</v>
      </c>
      <c r="D245" s="66">
        <v>99.4</v>
      </c>
      <c r="E245" s="66">
        <v>0</v>
      </c>
      <c r="F245" s="66">
        <v>99.7</v>
      </c>
      <c r="G245" s="66">
        <v>0.44</v>
      </c>
      <c r="H245" s="66">
        <v>99.4</v>
      </c>
      <c r="I245" s="66">
        <v>1.55</v>
      </c>
      <c r="J245" s="85">
        <v>97.899999999999991</v>
      </c>
      <c r="K245" s="66">
        <v>7.3999999999999996E-2</v>
      </c>
      <c r="L245" s="66">
        <v>0</v>
      </c>
      <c r="M245" s="66">
        <v>0</v>
      </c>
      <c r="N245" s="75">
        <v>6905</v>
      </c>
      <c r="O245" s="67">
        <f t="shared" si="363"/>
        <v>40.7395</v>
      </c>
      <c r="P245" s="67">
        <f t="shared" si="364"/>
        <v>6863.57</v>
      </c>
      <c r="Q245" s="67">
        <f t="shared" si="365"/>
        <v>0</v>
      </c>
      <c r="R245" s="67">
        <f t="shared" si="366"/>
        <v>6842.9792900000002</v>
      </c>
      <c r="S245" s="67">
        <f t="shared" si="367"/>
        <v>30.109108876000001</v>
      </c>
      <c r="T245" s="67">
        <f t="shared" si="368"/>
        <v>6801.9214142600003</v>
      </c>
      <c r="U245" s="67">
        <f t="shared" si="369"/>
        <v>105.42978192103001</v>
      </c>
      <c r="V245" s="67">
        <f t="shared" si="370"/>
        <v>6659.0810645605407</v>
      </c>
      <c r="W245" s="76">
        <f t="shared" si="371"/>
        <v>5.0334218465523994</v>
      </c>
      <c r="X245" s="67">
        <f t="shared" ref="X245:Y257" si="375">L245*W245/100</f>
        <v>0</v>
      </c>
      <c r="Y245" s="67">
        <f t="shared" si="375"/>
        <v>0</v>
      </c>
      <c r="Z245" s="68" t="s">
        <v>150</v>
      </c>
      <c r="AA245" s="68">
        <f t="shared" si="351"/>
        <v>12.753425699145414</v>
      </c>
      <c r="AB245" s="84" t="s">
        <v>196</v>
      </c>
      <c r="AC245">
        <f t="shared" si="352"/>
        <v>0.59</v>
      </c>
      <c r="AD245">
        <f t="shared" si="353"/>
        <v>99.4</v>
      </c>
      <c r="AE245">
        <f t="shared" si="354"/>
        <v>0</v>
      </c>
      <c r="AF245">
        <f t="shared" si="355"/>
        <v>99.101800000000011</v>
      </c>
      <c r="AG245">
        <f t="shared" si="356"/>
        <v>0.43604792000000003</v>
      </c>
      <c r="AH245">
        <f t="shared" si="357"/>
        <v>98.507189199999999</v>
      </c>
      <c r="AI245">
        <f t="shared" si="358"/>
        <v>1.5268614326000001</v>
      </c>
      <c r="AJ245">
        <f t="shared" si="359"/>
        <v>96.438538226800006</v>
      </c>
      <c r="AK245">
        <f t="shared" si="360"/>
        <v>7.2895320007999989E-2</v>
      </c>
      <c r="AL245">
        <f t="shared" si="361"/>
        <v>0</v>
      </c>
      <c r="AM245">
        <f t="shared" si="362"/>
        <v>0</v>
      </c>
    </row>
    <row r="246" spans="1:39" x14ac:dyDescent="0.25">
      <c r="A246" s="65" t="s">
        <v>46</v>
      </c>
      <c r="B246" s="1" t="s">
        <v>38</v>
      </c>
      <c r="C246" s="66">
        <v>0</v>
      </c>
      <c r="D246" s="66">
        <v>100</v>
      </c>
      <c r="E246" s="66">
        <v>0</v>
      </c>
      <c r="F246" s="66">
        <v>98.3</v>
      </c>
      <c r="G246" s="66">
        <v>3.49</v>
      </c>
      <c r="H246" s="66">
        <v>68.600000000000009</v>
      </c>
      <c r="I246" s="66">
        <v>88.9</v>
      </c>
      <c r="J246" s="85">
        <v>9.8699999999999992</v>
      </c>
      <c r="K246" s="66">
        <v>0</v>
      </c>
      <c r="L246" s="66">
        <v>0</v>
      </c>
      <c r="M246" s="66">
        <v>0</v>
      </c>
      <c r="N246" s="75">
        <v>466</v>
      </c>
      <c r="O246" s="67">
        <f t="shared" si="363"/>
        <v>0</v>
      </c>
      <c r="P246" s="67">
        <f t="shared" si="364"/>
        <v>466</v>
      </c>
      <c r="Q246" s="67">
        <f t="shared" si="365"/>
        <v>0</v>
      </c>
      <c r="R246" s="67">
        <f t="shared" si="366"/>
        <v>458.07799999999997</v>
      </c>
      <c r="S246" s="67">
        <f t="shared" si="367"/>
        <v>15.986922199999999</v>
      </c>
      <c r="T246" s="67">
        <f t="shared" si="368"/>
        <v>314.24150800000001</v>
      </c>
      <c r="U246" s="67">
        <f t="shared" si="369"/>
        <v>279.36070061200002</v>
      </c>
      <c r="V246" s="67">
        <f t="shared" si="370"/>
        <v>31.015636839599996</v>
      </c>
      <c r="W246" s="76">
        <f t="shared" si="371"/>
        <v>0</v>
      </c>
      <c r="X246" s="67">
        <f t="shared" si="375"/>
        <v>0</v>
      </c>
      <c r="Y246" s="67">
        <f t="shared" si="375"/>
        <v>0</v>
      </c>
      <c r="Z246" s="68" t="s">
        <v>145</v>
      </c>
      <c r="AA246" s="68">
        <f t="shared" si="351"/>
        <v>8.8641861446542798</v>
      </c>
      <c r="AB246" s="84" t="s">
        <v>196</v>
      </c>
      <c r="AC246">
        <f t="shared" si="352"/>
        <v>0</v>
      </c>
      <c r="AD246">
        <f t="shared" si="353"/>
        <v>100</v>
      </c>
      <c r="AE246">
        <f t="shared" si="354"/>
        <v>0</v>
      </c>
      <c r="AF246">
        <f t="shared" si="355"/>
        <v>98.3</v>
      </c>
      <c r="AG246">
        <f t="shared" si="356"/>
        <v>3.4306699999999997</v>
      </c>
      <c r="AH246">
        <f t="shared" si="357"/>
        <v>67.433800000000005</v>
      </c>
      <c r="AI246">
        <f t="shared" si="358"/>
        <v>59.948648200000001</v>
      </c>
      <c r="AJ246">
        <f t="shared" si="359"/>
        <v>6.6557160599999987</v>
      </c>
      <c r="AK246">
        <f t="shared" si="360"/>
        <v>0</v>
      </c>
      <c r="AL246">
        <f t="shared" si="361"/>
        <v>0</v>
      </c>
      <c r="AM246">
        <f t="shared" si="362"/>
        <v>0</v>
      </c>
    </row>
    <row r="247" spans="1:39" x14ac:dyDescent="0.25">
      <c r="A247" s="65" t="s">
        <v>46</v>
      </c>
      <c r="B247" s="1" t="s">
        <v>87</v>
      </c>
      <c r="C247" s="66">
        <v>5.9500000000000004E-3</v>
      </c>
      <c r="D247" s="66">
        <v>100</v>
      </c>
      <c r="E247" s="66">
        <v>0</v>
      </c>
      <c r="F247" s="66">
        <v>99.8</v>
      </c>
      <c r="G247" s="66">
        <v>0.57000000000000006</v>
      </c>
      <c r="H247" s="66">
        <v>98</v>
      </c>
      <c r="I247" s="66">
        <v>5.5</v>
      </c>
      <c r="J247" s="85">
        <v>92.4</v>
      </c>
      <c r="K247" s="66">
        <v>5.5E-2</v>
      </c>
      <c r="L247" s="66">
        <v>0</v>
      </c>
      <c r="M247" s="66">
        <v>0</v>
      </c>
      <c r="N247" s="75">
        <v>16802</v>
      </c>
      <c r="O247" s="67">
        <f t="shared" si="363"/>
        <v>0.99971900000000002</v>
      </c>
      <c r="P247" s="67">
        <f t="shared" si="364"/>
        <v>16802</v>
      </c>
      <c r="Q247" s="67">
        <f t="shared" si="365"/>
        <v>0</v>
      </c>
      <c r="R247" s="67">
        <f t="shared" si="366"/>
        <v>16768.395999999997</v>
      </c>
      <c r="S247" s="67">
        <f t="shared" si="367"/>
        <v>95.579857199999992</v>
      </c>
      <c r="T247" s="67">
        <f t="shared" si="368"/>
        <v>16433.028079999996</v>
      </c>
      <c r="U247" s="67">
        <f t="shared" si="369"/>
        <v>903.81654439999988</v>
      </c>
      <c r="V247" s="67">
        <f t="shared" si="370"/>
        <v>15184.117945919999</v>
      </c>
      <c r="W247" s="76">
        <f t="shared" si="371"/>
        <v>9.038165443999997</v>
      </c>
      <c r="X247" s="67">
        <f t="shared" si="375"/>
        <v>0</v>
      </c>
      <c r="Y247" s="67">
        <f t="shared" si="375"/>
        <v>0</v>
      </c>
      <c r="Z247" s="68" t="s">
        <v>152</v>
      </c>
      <c r="AA247" s="68">
        <f t="shared" si="351"/>
        <v>14.036345351740746</v>
      </c>
      <c r="AB247" s="84" t="s">
        <v>196</v>
      </c>
      <c r="AC247">
        <f t="shared" si="352"/>
        <v>5.9500000000000004E-3</v>
      </c>
      <c r="AD247">
        <f t="shared" si="353"/>
        <v>100</v>
      </c>
      <c r="AE247">
        <f t="shared" si="354"/>
        <v>0</v>
      </c>
      <c r="AF247">
        <f t="shared" si="355"/>
        <v>99.799999999999983</v>
      </c>
      <c r="AG247">
        <f t="shared" si="356"/>
        <v>0.56885999999999992</v>
      </c>
      <c r="AH247">
        <f t="shared" si="357"/>
        <v>97.803999999999974</v>
      </c>
      <c r="AI247">
        <f t="shared" si="358"/>
        <v>5.3792199999999992</v>
      </c>
      <c r="AJ247">
        <f t="shared" si="359"/>
        <v>90.370896000000002</v>
      </c>
      <c r="AK247">
        <f t="shared" si="360"/>
        <v>5.3792199999999984E-2</v>
      </c>
      <c r="AL247">
        <f t="shared" si="361"/>
        <v>0</v>
      </c>
      <c r="AM247">
        <f t="shared" si="362"/>
        <v>0</v>
      </c>
    </row>
    <row r="248" spans="1:39" x14ac:dyDescent="0.25">
      <c r="A248" s="65" t="s">
        <v>46</v>
      </c>
      <c r="B248" s="1" t="s">
        <v>65</v>
      </c>
      <c r="C248" s="66">
        <v>0.31</v>
      </c>
      <c r="D248" s="66">
        <v>99.6</v>
      </c>
      <c r="E248" s="66">
        <v>6.3E-2</v>
      </c>
      <c r="F248" s="66">
        <v>98</v>
      </c>
      <c r="G248" s="66">
        <v>49.4</v>
      </c>
      <c r="H248" s="66">
        <v>41.4</v>
      </c>
      <c r="I248" s="66">
        <v>7.32</v>
      </c>
      <c r="J248" s="85">
        <v>89.9</v>
      </c>
      <c r="K248" s="66">
        <v>0.62</v>
      </c>
      <c r="L248" s="66">
        <v>0</v>
      </c>
      <c r="M248" s="66">
        <v>0</v>
      </c>
      <c r="N248" s="75">
        <v>4799</v>
      </c>
      <c r="O248" s="67">
        <f t="shared" si="363"/>
        <v>14.876900000000001</v>
      </c>
      <c r="P248" s="67">
        <f t="shared" si="364"/>
        <v>4779.8040000000001</v>
      </c>
      <c r="Q248" s="67">
        <f t="shared" si="365"/>
        <v>3.01127652</v>
      </c>
      <c r="R248" s="67">
        <f t="shared" si="366"/>
        <v>4684.2079199999998</v>
      </c>
      <c r="S248" s="67">
        <f t="shared" si="367"/>
        <v>2313.99871248</v>
      </c>
      <c r="T248" s="67">
        <f t="shared" si="368"/>
        <v>1939.2620788799998</v>
      </c>
      <c r="U248" s="67">
        <f t="shared" si="369"/>
        <v>141.953984174016</v>
      </c>
      <c r="V248" s="67">
        <f t="shared" si="370"/>
        <v>1743.39660891312</v>
      </c>
      <c r="W248" s="76">
        <f t="shared" si="371"/>
        <v>12.023424889055997</v>
      </c>
      <c r="X248" s="67">
        <f t="shared" si="375"/>
        <v>0</v>
      </c>
      <c r="Y248" s="67">
        <f t="shared" si="375"/>
        <v>0</v>
      </c>
      <c r="Z248" s="68" t="s">
        <v>150</v>
      </c>
      <c r="AA248" s="68">
        <f t="shared" si="351"/>
        <v>12.228518097716195</v>
      </c>
      <c r="AB248" s="84" t="s">
        <v>196</v>
      </c>
      <c r="AC248">
        <f t="shared" si="352"/>
        <v>0.31000000000000005</v>
      </c>
      <c r="AD248">
        <f t="shared" si="353"/>
        <v>99.6</v>
      </c>
      <c r="AE248">
        <f t="shared" si="354"/>
        <v>6.2747999999999998E-2</v>
      </c>
      <c r="AF248">
        <f t="shared" si="355"/>
        <v>97.60799999999999</v>
      </c>
      <c r="AG248">
        <f t="shared" si="356"/>
        <v>48.218351999999996</v>
      </c>
      <c r="AH248">
        <f t="shared" si="357"/>
        <v>40.409711999999999</v>
      </c>
      <c r="AI248">
        <f t="shared" si="358"/>
        <v>2.9579909184000002</v>
      </c>
      <c r="AJ248">
        <f t="shared" si="359"/>
        <v>36.328331087999999</v>
      </c>
      <c r="AK248">
        <f t="shared" si="360"/>
        <v>0.25054021439999991</v>
      </c>
      <c r="AL248">
        <f t="shared" si="361"/>
        <v>0</v>
      </c>
      <c r="AM248">
        <f t="shared" si="362"/>
        <v>0</v>
      </c>
    </row>
    <row r="249" spans="1:39" x14ac:dyDescent="0.25">
      <c r="A249" s="65" t="s">
        <v>46</v>
      </c>
      <c r="B249" s="1" t="s">
        <v>66</v>
      </c>
      <c r="C249" s="66">
        <v>0</v>
      </c>
      <c r="D249" s="66">
        <v>100</v>
      </c>
      <c r="E249" s="66">
        <v>0</v>
      </c>
      <c r="F249" s="66">
        <v>92.300000000000011</v>
      </c>
      <c r="G249" s="66">
        <v>28.000000000000004</v>
      </c>
      <c r="H249" s="66">
        <v>57.3</v>
      </c>
      <c r="I249" s="66">
        <v>2.44</v>
      </c>
      <c r="J249" s="85">
        <v>85.399999999999991</v>
      </c>
      <c r="K249" s="66">
        <v>8.5400000000000009</v>
      </c>
      <c r="L249" s="66">
        <v>0</v>
      </c>
      <c r="M249" s="66">
        <v>0</v>
      </c>
      <c r="N249" s="75">
        <v>155</v>
      </c>
      <c r="O249" s="67">
        <f t="shared" si="363"/>
        <v>0</v>
      </c>
      <c r="P249" s="67">
        <f t="shared" si="364"/>
        <v>155</v>
      </c>
      <c r="Q249" s="67">
        <f t="shared" si="365"/>
        <v>0</v>
      </c>
      <c r="R249" s="67">
        <f t="shared" si="366"/>
        <v>143.06500000000003</v>
      </c>
      <c r="S249" s="67">
        <f t="shared" si="367"/>
        <v>40.058200000000014</v>
      </c>
      <c r="T249" s="67">
        <f t="shared" si="368"/>
        <v>81.97624500000002</v>
      </c>
      <c r="U249" s="67">
        <f t="shared" si="369"/>
        <v>2.0002203780000003</v>
      </c>
      <c r="V249" s="67">
        <f t="shared" si="370"/>
        <v>70.007713230000007</v>
      </c>
      <c r="W249" s="76">
        <f t="shared" si="371"/>
        <v>7.0007713230000022</v>
      </c>
      <c r="X249" s="67">
        <f t="shared" si="375"/>
        <v>0</v>
      </c>
      <c r="Y249" s="67">
        <f t="shared" si="375"/>
        <v>0</v>
      </c>
      <c r="Z249" s="68" t="s">
        <v>145</v>
      </c>
      <c r="AA249" s="68">
        <f t="shared" si="351"/>
        <v>7.2761244052742384</v>
      </c>
      <c r="AB249" s="84" t="s">
        <v>196</v>
      </c>
      <c r="AC249">
        <f t="shared" si="352"/>
        <v>0</v>
      </c>
      <c r="AD249">
        <f t="shared" si="353"/>
        <v>100</v>
      </c>
      <c r="AE249">
        <f t="shared" si="354"/>
        <v>0</v>
      </c>
      <c r="AF249">
        <f t="shared" si="355"/>
        <v>92.300000000000011</v>
      </c>
      <c r="AG249">
        <f t="shared" si="356"/>
        <v>25.844000000000012</v>
      </c>
      <c r="AH249">
        <f t="shared" si="357"/>
        <v>52.887900000000009</v>
      </c>
      <c r="AI249">
        <f t="shared" si="358"/>
        <v>1.2904647600000001</v>
      </c>
      <c r="AJ249">
        <f t="shared" si="359"/>
        <v>45.166266600000007</v>
      </c>
      <c r="AK249">
        <f t="shared" si="360"/>
        <v>4.5166266600000009</v>
      </c>
      <c r="AL249">
        <f t="shared" si="361"/>
        <v>0</v>
      </c>
      <c r="AM249">
        <f t="shared" si="362"/>
        <v>0</v>
      </c>
    </row>
    <row r="250" spans="1:39" x14ac:dyDescent="0.25">
      <c r="A250" s="65" t="s">
        <v>46</v>
      </c>
      <c r="B250" s="1" t="s">
        <v>92</v>
      </c>
      <c r="C250" s="66">
        <v>0.15</v>
      </c>
      <c r="D250" s="66">
        <v>99.9</v>
      </c>
      <c r="E250" s="66">
        <v>0</v>
      </c>
      <c r="F250" s="66">
        <v>99.3</v>
      </c>
      <c r="G250" s="66">
        <v>1.5699999999999998</v>
      </c>
      <c r="H250" s="66">
        <v>91.600000000000009</v>
      </c>
      <c r="I250" s="66">
        <v>67.300000000000011</v>
      </c>
      <c r="J250" s="85">
        <v>23.599999999999998</v>
      </c>
      <c r="K250" s="66">
        <v>5.5</v>
      </c>
      <c r="L250" s="66">
        <v>0</v>
      </c>
      <c r="M250" s="66">
        <v>0</v>
      </c>
      <c r="N250" s="75">
        <v>2061</v>
      </c>
      <c r="O250" s="67">
        <f t="shared" si="363"/>
        <v>3.0914999999999999</v>
      </c>
      <c r="P250" s="67">
        <f t="shared" si="364"/>
        <v>2058.9390000000003</v>
      </c>
      <c r="Q250" s="67">
        <f t="shared" si="365"/>
        <v>0</v>
      </c>
      <c r="R250" s="67">
        <f t="shared" si="366"/>
        <v>2044.5264270000002</v>
      </c>
      <c r="S250" s="67">
        <f t="shared" si="367"/>
        <v>32.0990649039</v>
      </c>
      <c r="T250" s="67">
        <f t="shared" si="368"/>
        <v>1872.7862071320005</v>
      </c>
      <c r="U250" s="67">
        <f t="shared" si="369"/>
        <v>1260.3851173998366</v>
      </c>
      <c r="V250" s="67">
        <f t="shared" si="370"/>
        <v>441.97754488315206</v>
      </c>
      <c r="W250" s="76">
        <f t="shared" si="371"/>
        <v>103.00324139226002</v>
      </c>
      <c r="X250" s="67">
        <f t="shared" si="375"/>
        <v>0</v>
      </c>
      <c r="Y250" s="67">
        <f t="shared" si="375"/>
        <v>0</v>
      </c>
      <c r="Z250" s="68" t="s">
        <v>150</v>
      </c>
      <c r="AA250" s="68">
        <f t="shared" si="351"/>
        <v>11.009128789539258</v>
      </c>
      <c r="AB250" s="84" t="s">
        <v>196</v>
      </c>
      <c r="AC250">
        <f t="shared" si="352"/>
        <v>0.15</v>
      </c>
      <c r="AD250">
        <f t="shared" si="353"/>
        <v>99.9</v>
      </c>
      <c r="AE250">
        <f t="shared" si="354"/>
        <v>0</v>
      </c>
      <c r="AF250">
        <f t="shared" si="355"/>
        <v>99.200700000000012</v>
      </c>
      <c r="AG250">
        <f t="shared" si="356"/>
        <v>1.55745099</v>
      </c>
      <c r="AH250">
        <f t="shared" si="357"/>
        <v>90.867841200000015</v>
      </c>
      <c r="AI250">
        <f t="shared" si="358"/>
        <v>61.154057127600034</v>
      </c>
      <c r="AJ250">
        <f t="shared" si="359"/>
        <v>21.444810523200005</v>
      </c>
      <c r="AK250">
        <f t="shared" si="360"/>
        <v>4.9977312660000006</v>
      </c>
      <c r="AL250">
        <f t="shared" si="361"/>
        <v>0</v>
      </c>
      <c r="AM250">
        <f t="shared" si="362"/>
        <v>0</v>
      </c>
    </row>
    <row r="251" spans="1:39" x14ac:dyDescent="0.25">
      <c r="A251" s="65" t="s">
        <v>46</v>
      </c>
      <c r="B251" s="1" t="s">
        <v>67</v>
      </c>
      <c r="C251" s="66">
        <v>3.6000000000000004E-2</v>
      </c>
      <c r="D251" s="66">
        <v>99.9</v>
      </c>
      <c r="E251" s="66">
        <v>0</v>
      </c>
      <c r="F251" s="66">
        <v>99.4</v>
      </c>
      <c r="G251" s="66">
        <v>0.47000000000000003</v>
      </c>
      <c r="H251" s="66">
        <v>99.2</v>
      </c>
      <c r="I251" s="66">
        <v>0.11</v>
      </c>
      <c r="J251" s="85">
        <v>99.7</v>
      </c>
      <c r="K251" s="66">
        <v>7.2999999999999995E-2</v>
      </c>
      <c r="L251" s="66">
        <v>0</v>
      </c>
      <c r="M251" s="66">
        <v>0</v>
      </c>
      <c r="N251" s="75">
        <v>2776</v>
      </c>
      <c r="O251" s="67">
        <f t="shared" si="363"/>
        <v>0.99936000000000003</v>
      </c>
      <c r="P251" s="67">
        <f t="shared" si="364"/>
        <v>2773.2240000000002</v>
      </c>
      <c r="Q251" s="67">
        <f t="shared" si="365"/>
        <v>0</v>
      </c>
      <c r="R251" s="67">
        <f t="shared" si="366"/>
        <v>2756.5846560000005</v>
      </c>
      <c r="S251" s="67">
        <f t="shared" si="367"/>
        <v>12.955947883200004</v>
      </c>
      <c r="T251" s="67">
        <f t="shared" si="368"/>
        <v>2734.5319787520007</v>
      </c>
      <c r="U251" s="67">
        <f t="shared" si="369"/>
        <v>3.007985176627201</v>
      </c>
      <c r="V251" s="67">
        <f t="shared" si="370"/>
        <v>2726.328382815745</v>
      </c>
      <c r="W251" s="76">
        <f t="shared" si="371"/>
        <v>1.9962083444889602</v>
      </c>
      <c r="X251" s="67">
        <f t="shared" si="375"/>
        <v>0</v>
      </c>
      <c r="Y251" s="67">
        <f t="shared" si="375"/>
        <v>0</v>
      </c>
      <c r="Z251" s="68" t="s">
        <v>150</v>
      </c>
      <c r="AA251" s="68">
        <f t="shared" si="351"/>
        <v>11.438791852578262</v>
      </c>
      <c r="AB251" s="84" t="s">
        <v>196</v>
      </c>
      <c r="AC251">
        <f t="shared" si="352"/>
        <v>3.6000000000000004E-2</v>
      </c>
      <c r="AD251">
        <f t="shared" si="353"/>
        <v>99.9</v>
      </c>
      <c r="AE251">
        <f t="shared" si="354"/>
        <v>0</v>
      </c>
      <c r="AF251">
        <f t="shared" si="355"/>
        <v>99.300600000000017</v>
      </c>
      <c r="AG251">
        <f t="shared" si="356"/>
        <v>0.46671282000000014</v>
      </c>
      <c r="AH251">
        <f t="shared" si="357"/>
        <v>98.506195200000022</v>
      </c>
      <c r="AI251">
        <f t="shared" si="358"/>
        <v>0.10835681472000003</v>
      </c>
      <c r="AJ251">
        <f t="shared" si="359"/>
        <v>98.210676614400043</v>
      </c>
      <c r="AK251">
        <f t="shared" si="360"/>
        <v>7.1909522496000008E-2</v>
      </c>
      <c r="AL251">
        <f t="shared" si="361"/>
        <v>0</v>
      </c>
      <c r="AM251">
        <f t="shared" si="362"/>
        <v>0</v>
      </c>
    </row>
    <row r="252" spans="1:39" x14ac:dyDescent="0.25">
      <c r="A252" s="65" t="s">
        <v>46</v>
      </c>
      <c r="B252" s="1" t="s">
        <v>68</v>
      </c>
      <c r="C252" s="66">
        <v>7.980000000000001E-3</v>
      </c>
      <c r="D252" s="66">
        <v>100</v>
      </c>
      <c r="E252" s="66">
        <v>0</v>
      </c>
      <c r="F252" s="66">
        <v>99.7</v>
      </c>
      <c r="G252" s="66">
        <v>0.63</v>
      </c>
      <c r="H252" s="66">
        <v>99.1</v>
      </c>
      <c r="I252" s="66">
        <v>0.95</v>
      </c>
      <c r="J252" s="85">
        <v>98.6</v>
      </c>
      <c r="K252" s="66">
        <v>8.6999999999999994E-3</v>
      </c>
      <c r="L252" s="66">
        <v>0</v>
      </c>
      <c r="M252" s="66">
        <v>0</v>
      </c>
      <c r="N252" s="75">
        <v>25073</v>
      </c>
      <c r="O252" s="67">
        <f t="shared" si="363"/>
        <v>2.0008254000000001</v>
      </c>
      <c r="P252" s="67">
        <f t="shared" si="364"/>
        <v>25073</v>
      </c>
      <c r="Q252" s="67">
        <f t="shared" si="365"/>
        <v>0</v>
      </c>
      <c r="R252" s="67">
        <f t="shared" si="366"/>
        <v>24997.781000000003</v>
      </c>
      <c r="S252" s="67">
        <f t="shared" si="367"/>
        <v>157.48602030000001</v>
      </c>
      <c r="T252" s="67">
        <f t="shared" si="368"/>
        <v>24772.800971000001</v>
      </c>
      <c r="U252" s="67">
        <f t="shared" si="369"/>
        <v>235.34160922449999</v>
      </c>
      <c r="V252" s="67">
        <f t="shared" si="370"/>
        <v>24425.981757406</v>
      </c>
      <c r="W252" s="76">
        <f t="shared" si="371"/>
        <v>2.1552336844769999</v>
      </c>
      <c r="X252" s="67">
        <f t="shared" si="375"/>
        <v>0</v>
      </c>
      <c r="Y252" s="67">
        <f t="shared" si="375"/>
        <v>0</v>
      </c>
      <c r="Z252" s="68" t="s">
        <v>152</v>
      </c>
      <c r="AA252" s="68">
        <f t="shared" si="351"/>
        <v>14.613847005405518</v>
      </c>
      <c r="AB252" s="84" t="s">
        <v>196</v>
      </c>
      <c r="AC252">
        <f t="shared" si="352"/>
        <v>7.980000000000001E-3</v>
      </c>
      <c r="AD252">
        <f t="shared" si="353"/>
        <v>100</v>
      </c>
      <c r="AE252">
        <f t="shared" si="354"/>
        <v>0</v>
      </c>
      <c r="AF252">
        <f t="shared" si="355"/>
        <v>99.700000000000017</v>
      </c>
      <c r="AG252">
        <f t="shared" si="356"/>
        <v>0.62811000000000006</v>
      </c>
      <c r="AH252">
        <f t="shared" si="357"/>
        <v>98.802700000000002</v>
      </c>
      <c r="AI252">
        <f t="shared" si="358"/>
        <v>0.93862564999999987</v>
      </c>
      <c r="AJ252">
        <f t="shared" si="359"/>
        <v>97.419462199999998</v>
      </c>
      <c r="AK252">
        <f t="shared" si="360"/>
        <v>8.5958349E-3</v>
      </c>
      <c r="AL252">
        <f t="shared" si="361"/>
        <v>0</v>
      </c>
      <c r="AM252">
        <f t="shared" si="362"/>
        <v>0</v>
      </c>
    </row>
    <row r="253" spans="1:39" x14ac:dyDescent="0.25">
      <c r="A253" s="65" t="s">
        <v>46</v>
      </c>
      <c r="B253" s="1" t="s">
        <v>40</v>
      </c>
      <c r="C253" s="66">
        <v>0</v>
      </c>
      <c r="D253" s="66">
        <v>100</v>
      </c>
      <c r="E253" s="66">
        <v>0</v>
      </c>
      <c r="F253" s="66">
        <v>99.8</v>
      </c>
      <c r="G253" s="66">
        <v>4.33</v>
      </c>
      <c r="H253" s="66">
        <v>94.899999999999991</v>
      </c>
      <c r="I253" s="66">
        <v>21</v>
      </c>
      <c r="J253" s="85">
        <v>75.099999999999994</v>
      </c>
      <c r="K253" s="66">
        <v>0</v>
      </c>
      <c r="L253" s="66">
        <v>0</v>
      </c>
      <c r="M253" s="66">
        <v>0</v>
      </c>
      <c r="N253" s="75">
        <v>3150</v>
      </c>
      <c r="O253" s="67">
        <f t="shared" si="363"/>
        <v>0</v>
      </c>
      <c r="P253" s="67">
        <f t="shared" si="364"/>
        <v>3150</v>
      </c>
      <c r="Q253" s="67">
        <f t="shared" si="365"/>
        <v>0</v>
      </c>
      <c r="R253" s="67">
        <f t="shared" si="366"/>
        <v>3143.7</v>
      </c>
      <c r="S253" s="67">
        <f t="shared" si="367"/>
        <v>136.12221</v>
      </c>
      <c r="T253" s="67">
        <f t="shared" si="368"/>
        <v>2983.3712999999993</v>
      </c>
      <c r="U253" s="67">
        <f t="shared" si="369"/>
        <v>626.50797299999988</v>
      </c>
      <c r="V253" s="67">
        <f t="shared" si="370"/>
        <v>2240.5118462999994</v>
      </c>
      <c r="W253" s="76">
        <f t="shared" si="371"/>
        <v>0</v>
      </c>
      <c r="X253" s="67">
        <f t="shared" si="375"/>
        <v>0</v>
      </c>
      <c r="Y253" s="67">
        <f t="shared" si="375"/>
        <v>0</v>
      </c>
      <c r="Z253" s="68" t="s">
        <v>150</v>
      </c>
      <c r="AA253" s="68">
        <f t="shared" si="351"/>
        <v>11.621136113274641</v>
      </c>
      <c r="AB253" s="84" t="s">
        <v>196</v>
      </c>
      <c r="AC253">
        <f t="shared" si="352"/>
        <v>0</v>
      </c>
      <c r="AD253">
        <f t="shared" si="353"/>
        <v>100</v>
      </c>
      <c r="AE253">
        <f t="shared" si="354"/>
        <v>0</v>
      </c>
      <c r="AF253">
        <f t="shared" si="355"/>
        <v>99.799999999999983</v>
      </c>
      <c r="AG253">
        <f t="shared" si="356"/>
        <v>4.3213400000000002</v>
      </c>
      <c r="AH253">
        <f t="shared" si="357"/>
        <v>94.710199999999972</v>
      </c>
      <c r="AI253">
        <f t="shared" si="358"/>
        <v>19.889141999999996</v>
      </c>
      <c r="AJ253">
        <f t="shared" si="359"/>
        <v>71.127360199999984</v>
      </c>
      <c r="AK253">
        <f t="shared" si="360"/>
        <v>0</v>
      </c>
      <c r="AL253">
        <f t="shared" si="361"/>
        <v>0</v>
      </c>
      <c r="AM253">
        <f t="shared" si="362"/>
        <v>0</v>
      </c>
    </row>
    <row r="254" spans="1:39" x14ac:dyDescent="0.25">
      <c r="A254" s="65" t="s">
        <v>46</v>
      </c>
      <c r="B254" s="1" t="s">
        <v>69</v>
      </c>
      <c r="C254" s="66">
        <v>0</v>
      </c>
      <c r="D254" s="66">
        <v>99.7</v>
      </c>
      <c r="E254" s="66">
        <v>0</v>
      </c>
      <c r="F254" s="66">
        <v>96.2</v>
      </c>
      <c r="G254" s="66">
        <v>2.96</v>
      </c>
      <c r="H254" s="66">
        <v>90.8</v>
      </c>
      <c r="I254" s="66">
        <v>14.499999999999998</v>
      </c>
      <c r="J254" s="85">
        <v>76.099999999999994</v>
      </c>
      <c r="K254" s="66">
        <v>2.54</v>
      </c>
      <c r="L254" s="66">
        <v>0</v>
      </c>
      <c r="M254" s="66">
        <v>0</v>
      </c>
      <c r="N254" s="75">
        <v>317</v>
      </c>
      <c r="O254" s="67">
        <f t="shared" si="363"/>
        <v>0</v>
      </c>
      <c r="P254" s="67">
        <f t="shared" si="364"/>
        <v>316.04900000000004</v>
      </c>
      <c r="Q254" s="67">
        <f t="shared" si="365"/>
        <v>0</v>
      </c>
      <c r="R254" s="67">
        <f t="shared" si="366"/>
        <v>304.03913800000004</v>
      </c>
      <c r="S254" s="67">
        <f t="shared" si="367"/>
        <v>8.9995584848000014</v>
      </c>
      <c r="T254" s="67">
        <f t="shared" si="368"/>
        <v>276.06753730400004</v>
      </c>
      <c r="U254" s="67">
        <f t="shared" si="369"/>
        <v>40.029792909080001</v>
      </c>
      <c r="V254" s="67">
        <f t="shared" si="370"/>
        <v>210.08739588834399</v>
      </c>
      <c r="W254" s="76">
        <f t="shared" si="371"/>
        <v>7.0121154475216008</v>
      </c>
      <c r="X254" s="67">
        <f t="shared" si="375"/>
        <v>0</v>
      </c>
      <c r="Y254" s="67">
        <f t="shared" si="375"/>
        <v>0</v>
      </c>
      <c r="Z254" s="68" t="s">
        <v>145</v>
      </c>
      <c r="AA254" s="68">
        <f t="shared" si="351"/>
        <v>8.3083390301394076</v>
      </c>
      <c r="AB254" s="84" t="s">
        <v>196</v>
      </c>
      <c r="AC254">
        <f t="shared" si="352"/>
        <v>0</v>
      </c>
      <c r="AD254">
        <f t="shared" si="353"/>
        <v>99.700000000000017</v>
      </c>
      <c r="AE254">
        <f t="shared" si="354"/>
        <v>0</v>
      </c>
      <c r="AF254">
        <f t="shared" si="355"/>
        <v>95.911400000000015</v>
      </c>
      <c r="AG254">
        <f t="shared" si="356"/>
        <v>2.8389774400000003</v>
      </c>
      <c r="AH254">
        <f t="shared" si="357"/>
        <v>87.087551200000007</v>
      </c>
      <c r="AI254">
        <f t="shared" si="358"/>
        <v>12.627694924</v>
      </c>
      <c r="AJ254">
        <f t="shared" si="359"/>
        <v>66.273626463200003</v>
      </c>
      <c r="AK254">
        <f t="shared" si="360"/>
        <v>2.2120238004799999</v>
      </c>
      <c r="AL254">
        <f t="shared" si="361"/>
        <v>0</v>
      </c>
      <c r="AM254">
        <f t="shared" si="362"/>
        <v>0</v>
      </c>
    </row>
    <row r="255" spans="1:39" x14ac:dyDescent="0.25">
      <c r="A255" s="65" t="s">
        <v>46</v>
      </c>
      <c r="B255" s="1" t="s">
        <v>41</v>
      </c>
      <c r="C255" s="66">
        <v>1.4999999999999999E-2</v>
      </c>
      <c r="D255" s="66">
        <v>100</v>
      </c>
      <c r="E255" s="66">
        <v>0</v>
      </c>
      <c r="F255" s="66">
        <v>98.9</v>
      </c>
      <c r="G255" s="66">
        <v>1.5599999999999998</v>
      </c>
      <c r="H255" s="66">
        <v>98.1</v>
      </c>
      <c r="I255" s="66">
        <v>5.62</v>
      </c>
      <c r="J255" s="85">
        <v>91.7</v>
      </c>
      <c r="K255" s="66">
        <v>0.11</v>
      </c>
      <c r="L255" s="66">
        <v>0</v>
      </c>
      <c r="M255" s="66">
        <v>0</v>
      </c>
      <c r="N255" s="75">
        <v>26533</v>
      </c>
      <c r="O255" s="67">
        <f t="shared" si="363"/>
        <v>3.9799500000000001</v>
      </c>
      <c r="P255" s="67">
        <f t="shared" si="364"/>
        <v>26533</v>
      </c>
      <c r="Q255" s="67">
        <f t="shared" si="365"/>
        <v>0</v>
      </c>
      <c r="R255" s="67">
        <f t="shared" si="366"/>
        <v>26241.137000000002</v>
      </c>
      <c r="S255" s="67">
        <f t="shared" si="367"/>
        <v>409.36173719999999</v>
      </c>
      <c r="T255" s="67">
        <f t="shared" si="368"/>
        <v>25742.555397</v>
      </c>
      <c r="U255" s="67">
        <f t="shared" si="369"/>
        <v>1446.7316133114</v>
      </c>
      <c r="V255" s="67">
        <f t="shared" si="370"/>
        <v>23605.923299048998</v>
      </c>
      <c r="W255" s="76">
        <f t="shared" si="371"/>
        <v>28.316810936699998</v>
      </c>
      <c r="X255" s="67">
        <f t="shared" si="375"/>
        <v>0</v>
      </c>
      <c r="Y255" s="67">
        <f t="shared" si="375"/>
        <v>0</v>
      </c>
      <c r="Z255" s="68" t="s">
        <v>152</v>
      </c>
      <c r="AA255" s="68">
        <f t="shared" si="351"/>
        <v>14.695500185173813</v>
      </c>
      <c r="AB255" s="84" t="s">
        <v>196</v>
      </c>
      <c r="AC255">
        <f t="shared" si="352"/>
        <v>1.5000000000000001E-2</v>
      </c>
      <c r="AD255">
        <f t="shared" si="353"/>
        <v>100</v>
      </c>
      <c r="AE255">
        <f t="shared" si="354"/>
        <v>0</v>
      </c>
      <c r="AF255">
        <f t="shared" si="355"/>
        <v>98.9</v>
      </c>
      <c r="AG255">
        <f t="shared" si="356"/>
        <v>1.54284</v>
      </c>
      <c r="AH255">
        <f t="shared" si="357"/>
        <v>97.020899999999997</v>
      </c>
      <c r="AI255">
        <f t="shared" si="358"/>
        <v>5.4525745799999994</v>
      </c>
      <c r="AJ255">
        <f t="shared" si="359"/>
        <v>88.968165299999995</v>
      </c>
      <c r="AK255">
        <f t="shared" si="360"/>
        <v>0.10672298999999999</v>
      </c>
      <c r="AL255">
        <f t="shared" si="361"/>
        <v>0</v>
      </c>
      <c r="AM255">
        <f t="shared" si="362"/>
        <v>0</v>
      </c>
    </row>
    <row r="256" spans="1:39" x14ac:dyDescent="0.25">
      <c r="A256" s="65" t="s">
        <v>46</v>
      </c>
      <c r="B256" s="1" t="s">
        <v>42</v>
      </c>
      <c r="C256" s="66">
        <v>1.31</v>
      </c>
      <c r="D256" s="66">
        <v>98.6</v>
      </c>
      <c r="E256" s="66">
        <v>6.8000000000000005E-2</v>
      </c>
      <c r="F256" s="66">
        <v>99.5</v>
      </c>
      <c r="G256" s="66">
        <v>41.9</v>
      </c>
      <c r="H256" s="66">
        <v>54.2</v>
      </c>
      <c r="I256" s="66">
        <v>3.15</v>
      </c>
      <c r="J256" s="85">
        <v>92.4</v>
      </c>
      <c r="K256" s="66">
        <v>2.71</v>
      </c>
      <c r="L256" s="66">
        <v>0</v>
      </c>
      <c r="M256" s="66">
        <v>0</v>
      </c>
      <c r="N256" s="75">
        <v>2982</v>
      </c>
      <c r="O256" s="67">
        <f t="shared" si="363"/>
        <v>39.0642</v>
      </c>
      <c r="P256" s="67">
        <f t="shared" si="364"/>
        <v>2940.252</v>
      </c>
      <c r="Q256" s="67">
        <f t="shared" si="365"/>
        <v>1.99937136</v>
      </c>
      <c r="R256" s="67">
        <f t="shared" si="366"/>
        <v>2925.5507400000001</v>
      </c>
      <c r="S256" s="67">
        <f t="shared" si="367"/>
        <v>1225.80576006</v>
      </c>
      <c r="T256" s="67">
        <f t="shared" si="368"/>
        <v>1585.6485010800002</v>
      </c>
      <c r="U256" s="67">
        <f t="shared" si="369"/>
        <v>49.947927784020003</v>
      </c>
      <c r="V256" s="67">
        <f t="shared" si="370"/>
        <v>1465.1392149979201</v>
      </c>
      <c r="W256" s="76">
        <f t="shared" si="371"/>
        <v>42.971074379268003</v>
      </c>
      <c r="X256" s="67">
        <f t="shared" si="375"/>
        <v>0</v>
      </c>
      <c r="Y256" s="67">
        <f t="shared" si="375"/>
        <v>0</v>
      </c>
      <c r="Z256" s="68" t="s">
        <v>150</v>
      </c>
      <c r="AA256" s="68">
        <f t="shared" si="351"/>
        <v>11.542064542283443</v>
      </c>
      <c r="AB256" s="84" t="s">
        <v>196</v>
      </c>
      <c r="AC256">
        <f t="shared" si="352"/>
        <v>1.31</v>
      </c>
      <c r="AD256">
        <f t="shared" si="353"/>
        <v>98.6</v>
      </c>
      <c r="AE256">
        <f t="shared" si="354"/>
        <v>6.7047999999999996E-2</v>
      </c>
      <c r="AF256">
        <f t="shared" si="355"/>
        <v>98.106999999999999</v>
      </c>
      <c r="AG256">
        <f t="shared" si="356"/>
        <v>41.106832999999995</v>
      </c>
      <c r="AH256">
        <f t="shared" si="357"/>
        <v>53.173994</v>
      </c>
      <c r="AI256">
        <f t="shared" si="358"/>
        <v>1.674980811</v>
      </c>
      <c r="AJ256">
        <f t="shared" si="359"/>
        <v>49.132770456000003</v>
      </c>
      <c r="AK256">
        <f t="shared" si="360"/>
        <v>1.4410152374000003</v>
      </c>
      <c r="AL256">
        <f t="shared" si="361"/>
        <v>0</v>
      </c>
      <c r="AM256">
        <f t="shared" si="362"/>
        <v>0</v>
      </c>
    </row>
    <row r="257" spans="1:39" x14ac:dyDescent="0.25">
      <c r="A257" s="2" t="s">
        <v>98</v>
      </c>
      <c r="B257" s="1" t="s">
        <v>72</v>
      </c>
      <c r="C257" s="66">
        <v>0</v>
      </c>
      <c r="D257" s="66">
        <v>100</v>
      </c>
      <c r="E257" s="66">
        <v>0</v>
      </c>
      <c r="F257" s="66">
        <v>93.4</v>
      </c>
      <c r="G257" s="66">
        <v>0</v>
      </c>
      <c r="H257" s="66">
        <v>90.600000000000009</v>
      </c>
      <c r="I257" s="66">
        <v>100</v>
      </c>
      <c r="J257" s="85">
        <v>0</v>
      </c>
      <c r="K257" s="66">
        <v>0</v>
      </c>
      <c r="L257" s="66">
        <v>0</v>
      </c>
      <c r="M257" s="66">
        <v>0</v>
      </c>
      <c r="N257" s="75">
        <v>91</v>
      </c>
      <c r="O257" s="67">
        <f t="shared" si="363"/>
        <v>0</v>
      </c>
      <c r="P257" s="67">
        <f t="shared" si="364"/>
        <v>91</v>
      </c>
      <c r="Q257" s="67">
        <f t="shared" si="365"/>
        <v>0</v>
      </c>
      <c r="R257" s="67">
        <f t="shared" si="366"/>
        <v>84.994</v>
      </c>
      <c r="S257" s="67">
        <f t="shared" si="367"/>
        <v>0</v>
      </c>
      <c r="T257" s="67">
        <f t="shared" si="368"/>
        <v>77.004564000000016</v>
      </c>
      <c r="U257" s="67">
        <f t="shared" si="369"/>
        <v>77.004564000000016</v>
      </c>
      <c r="V257" s="67">
        <f t="shared" si="370"/>
        <v>0</v>
      </c>
      <c r="W257" s="76">
        <f t="shared" si="371"/>
        <v>0</v>
      </c>
      <c r="X257" s="67">
        <f t="shared" si="375"/>
        <v>0</v>
      </c>
      <c r="Y257" s="67">
        <f t="shared" si="375"/>
        <v>0</v>
      </c>
      <c r="Z257" s="68" t="s">
        <v>151</v>
      </c>
      <c r="AA257" s="68">
        <f t="shared" si="351"/>
        <v>6.5077946401986964</v>
      </c>
      <c r="AB257" s="84" t="s">
        <v>196</v>
      </c>
      <c r="AC257">
        <f t="shared" si="352"/>
        <v>0</v>
      </c>
      <c r="AD257">
        <f t="shared" si="353"/>
        <v>100</v>
      </c>
      <c r="AE257">
        <f t="shared" si="354"/>
        <v>0</v>
      </c>
      <c r="AF257">
        <f t="shared" si="355"/>
        <v>93.4</v>
      </c>
      <c r="AG257">
        <f t="shared" si="356"/>
        <v>0</v>
      </c>
      <c r="AH257">
        <f t="shared" si="357"/>
        <v>84.620400000000018</v>
      </c>
      <c r="AI257">
        <f t="shared" si="358"/>
        <v>84.620400000000018</v>
      </c>
      <c r="AJ257">
        <f t="shared" si="359"/>
        <v>0</v>
      </c>
      <c r="AK257">
        <f t="shared" si="360"/>
        <v>0</v>
      </c>
      <c r="AL257">
        <f t="shared" si="361"/>
        <v>0</v>
      </c>
      <c r="AM257">
        <f t="shared" si="362"/>
        <v>0</v>
      </c>
    </row>
    <row r="258" spans="1:39" x14ac:dyDescent="0.25">
      <c r="A258" s="2" t="s">
        <v>98</v>
      </c>
      <c r="B258" s="1" t="s">
        <v>197</v>
      </c>
      <c r="C258" s="66">
        <v>0</v>
      </c>
      <c r="D258" s="66">
        <v>99.7</v>
      </c>
      <c r="E258" s="66">
        <v>0.16999999999999998</v>
      </c>
      <c r="F258" s="66">
        <v>99.5</v>
      </c>
      <c r="G258" s="66">
        <v>97</v>
      </c>
      <c r="H258" s="66">
        <v>1.8499999999999999</v>
      </c>
      <c r="I258" s="66">
        <v>0</v>
      </c>
      <c r="J258" s="85">
        <v>18.2</v>
      </c>
      <c r="K258" s="66">
        <v>0</v>
      </c>
      <c r="L258" s="66">
        <v>0</v>
      </c>
      <c r="M258" s="66">
        <v>0</v>
      </c>
      <c r="N258" s="75">
        <v>598</v>
      </c>
      <c r="O258" s="67">
        <f t="shared" si="363"/>
        <v>0</v>
      </c>
      <c r="P258" s="67">
        <f t="shared" si="364"/>
        <v>596.20600000000002</v>
      </c>
      <c r="Q258" s="67">
        <f t="shared" si="365"/>
        <v>1.0135502000000001</v>
      </c>
      <c r="R258" s="67">
        <f t="shared" si="366"/>
        <v>593.22496999999998</v>
      </c>
      <c r="S258" s="67">
        <f t="shared" si="367"/>
        <v>575.42822090000004</v>
      </c>
      <c r="T258" s="67">
        <f t="shared" si="368"/>
        <v>10.974661944999998</v>
      </c>
      <c r="U258" s="67">
        <f t="shared" si="369"/>
        <v>0</v>
      </c>
      <c r="V258" s="67">
        <f t="shared" si="370"/>
        <v>1.9973884739899994</v>
      </c>
      <c r="W258" s="76">
        <f t="shared" si="371"/>
        <v>0</v>
      </c>
      <c r="X258" s="67">
        <f t="shared" ref="X258:Y270" si="376">L258*W258/100</f>
        <v>0</v>
      </c>
      <c r="Y258" s="67">
        <f t="shared" si="376"/>
        <v>0</v>
      </c>
      <c r="Z258" s="68" t="s">
        <v>145</v>
      </c>
      <c r="AA258" s="68">
        <f t="shared" ref="AA258:AA311" si="377">LOG(N258,2)</f>
        <v>9.2240016741981048</v>
      </c>
      <c r="AB258" s="84" t="s">
        <v>196</v>
      </c>
      <c r="AC258">
        <f t="shared" si="352"/>
        <v>0</v>
      </c>
      <c r="AD258">
        <f t="shared" si="353"/>
        <v>99.7</v>
      </c>
      <c r="AE258">
        <f t="shared" si="354"/>
        <v>0.16949</v>
      </c>
      <c r="AF258">
        <f t="shared" si="355"/>
        <v>99.201499999999996</v>
      </c>
      <c r="AG258">
        <f t="shared" si="356"/>
        <v>96.225455000000011</v>
      </c>
      <c r="AH258">
        <f t="shared" si="357"/>
        <v>1.8352277499999996</v>
      </c>
      <c r="AI258">
        <f t="shared" si="358"/>
        <v>0</v>
      </c>
      <c r="AJ258">
        <f t="shared" si="359"/>
        <v>0.33401145049999992</v>
      </c>
      <c r="AK258">
        <f t="shared" si="360"/>
        <v>0</v>
      </c>
      <c r="AL258">
        <f t="shared" si="361"/>
        <v>0</v>
      </c>
      <c r="AM258">
        <f t="shared" si="362"/>
        <v>0</v>
      </c>
    </row>
    <row r="259" spans="1:39" x14ac:dyDescent="0.25">
      <c r="A259" s="2" t="s">
        <v>98</v>
      </c>
      <c r="B259" s="1" t="s">
        <v>47</v>
      </c>
      <c r="C259" s="66">
        <v>0.26</v>
      </c>
      <c r="D259" s="66">
        <v>99.5</v>
      </c>
      <c r="E259" s="66">
        <v>3.0700000000000002E-3</v>
      </c>
      <c r="F259" s="66">
        <v>99.8</v>
      </c>
      <c r="G259" s="66">
        <v>16.900000000000002</v>
      </c>
      <c r="H259" s="66">
        <v>77.2</v>
      </c>
      <c r="I259" s="66">
        <v>53.400000000000006</v>
      </c>
      <c r="J259" s="85">
        <v>43.1</v>
      </c>
      <c r="K259" s="66">
        <v>0</v>
      </c>
      <c r="L259" s="66">
        <v>0</v>
      </c>
      <c r="M259" s="66">
        <v>0</v>
      </c>
      <c r="N259" s="75">
        <v>32776</v>
      </c>
      <c r="O259" s="67">
        <f t="shared" si="363"/>
        <v>85.217600000000004</v>
      </c>
      <c r="P259" s="67">
        <f t="shared" si="364"/>
        <v>32612.12</v>
      </c>
      <c r="Q259" s="67">
        <f t="shared" si="365"/>
        <v>1.0011920840000001</v>
      </c>
      <c r="R259" s="67">
        <f t="shared" si="366"/>
        <v>32546.895759999999</v>
      </c>
      <c r="S259" s="67">
        <f t="shared" si="367"/>
        <v>5500.4253834400015</v>
      </c>
      <c r="T259" s="67">
        <f t="shared" si="368"/>
        <v>25126.203526720001</v>
      </c>
      <c r="U259" s="67">
        <f t="shared" si="369"/>
        <v>13417.392683268483</v>
      </c>
      <c r="V259" s="67">
        <f t="shared" si="370"/>
        <v>10829.393720016322</v>
      </c>
      <c r="W259" s="76">
        <f t="shared" si="371"/>
        <v>0</v>
      </c>
      <c r="X259" s="67">
        <f t="shared" si="376"/>
        <v>0</v>
      </c>
      <c r="Y259" s="67">
        <f t="shared" si="376"/>
        <v>0</v>
      </c>
      <c r="Z259" s="68" t="s">
        <v>152</v>
      </c>
      <c r="AA259" s="68">
        <f t="shared" si="377"/>
        <v>15.0003521774803</v>
      </c>
      <c r="AB259" s="84" t="s">
        <v>196</v>
      </c>
      <c r="AC259">
        <f t="shared" ref="AC259:AC311" si="378">(O259/N259)*100</f>
        <v>0.26</v>
      </c>
      <c r="AD259">
        <f t="shared" ref="AD259:AD311" si="379">(P259/N259)*100</f>
        <v>99.5</v>
      </c>
      <c r="AE259">
        <f t="shared" ref="AE259:AE311" si="380">(Q259/N259)*100</f>
        <v>3.0546500000000003E-3</v>
      </c>
      <c r="AF259">
        <f t="shared" ref="AF259:AF311" si="381">(R259/N259)*100</f>
        <v>99.300999999999988</v>
      </c>
      <c r="AG259">
        <f t="shared" ref="AG259:AG311" si="382">(S259/N259)*100</f>
        <v>16.781869000000004</v>
      </c>
      <c r="AH259">
        <f t="shared" ref="AH259:AH311" si="383">(T259/N259)*100</f>
        <v>76.660371999999995</v>
      </c>
      <c r="AI259">
        <f t="shared" ref="AI259:AI311" si="384">(U259/N259)*100</f>
        <v>40.936638648000006</v>
      </c>
      <c r="AJ259">
        <f t="shared" ref="AJ259:AJ311" si="385">(V259/N259)*100</f>
        <v>33.040620332000003</v>
      </c>
      <c r="AK259">
        <f t="shared" ref="AK259:AK311" si="386">(W259/N259)*100</f>
        <v>0</v>
      </c>
      <c r="AL259">
        <f t="shared" ref="AL259:AL311" si="387">(X259/N259)*100</f>
        <v>0</v>
      </c>
      <c r="AM259">
        <f t="shared" ref="AM259:AM311" si="388">(Y259/N259)*100</f>
        <v>0</v>
      </c>
    </row>
    <row r="260" spans="1:39" x14ac:dyDescent="0.25">
      <c r="A260" s="2" t="s">
        <v>98</v>
      </c>
      <c r="B260" s="1" t="s">
        <v>18</v>
      </c>
      <c r="C260" s="66">
        <v>0</v>
      </c>
      <c r="D260" s="66">
        <v>100</v>
      </c>
      <c r="E260" s="66">
        <v>8.8000000000000009E-2</v>
      </c>
      <c r="F260" s="66">
        <v>99.3</v>
      </c>
      <c r="G260" s="66">
        <v>93.7</v>
      </c>
      <c r="H260" s="66">
        <v>2.6599999999999997</v>
      </c>
      <c r="I260" s="66">
        <v>3.3300000000000005</v>
      </c>
      <c r="J260" s="85">
        <v>13.3</v>
      </c>
      <c r="K260" s="66">
        <v>0</v>
      </c>
      <c r="L260" s="66">
        <v>0</v>
      </c>
      <c r="M260" s="66">
        <v>0</v>
      </c>
      <c r="N260" s="75">
        <v>1135</v>
      </c>
      <c r="O260" s="67">
        <f t="shared" si="363"/>
        <v>0</v>
      </c>
      <c r="P260" s="67">
        <f t="shared" si="364"/>
        <v>1135</v>
      </c>
      <c r="Q260" s="67">
        <f t="shared" si="365"/>
        <v>0.99880000000000013</v>
      </c>
      <c r="R260" s="67">
        <f t="shared" si="366"/>
        <v>1127.0550000000001</v>
      </c>
      <c r="S260" s="67">
        <f t="shared" si="367"/>
        <v>1056.0505350000001</v>
      </c>
      <c r="T260" s="67">
        <f t="shared" si="368"/>
        <v>29.979663000000002</v>
      </c>
      <c r="U260" s="67">
        <f t="shared" si="369"/>
        <v>0.99832277790000024</v>
      </c>
      <c r="V260" s="67">
        <f t="shared" si="370"/>
        <v>3.9872951790000006</v>
      </c>
      <c r="W260" s="76">
        <f t="shared" si="371"/>
        <v>0</v>
      </c>
      <c r="X260" s="67">
        <f t="shared" si="376"/>
        <v>0</v>
      </c>
      <c r="Y260" s="67">
        <f t="shared" si="376"/>
        <v>0</v>
      </c>
      <c r="Z260" s="68" t="s">
        <v>150</v>
      </c>
      <c r="AA260" s="68">
        <f t="shared" si="377"/>
        <v>10.148476582178278</v>
      </c>
      <c r="AB260" s="84" t="s">
        <v>196</v>
      </c>
      <c r="AC260">
        <f t="shared" si="378"/>
        <v>0</v>
      </c>
      <c r="AD260">
        <f t="shared" si="379"/>
        <v>100</v>
      </c>
      <c r="AE260">
        <f t="shared" si="380"/>
        <v>8.8000000000000009E-2</v>
      </c>
      <c r="AF260">
        <f t="shared" si="381"/>
        <v>99.300000000000011</v>
      </c>
      <c r="AG260">
        <f t="shared" si="382"/>
        <v>93.044100000000014</v>
      </c>
      <c r="AH260">
        <f t="shared" si="383"/>
        <v>2.6413800000000003</v>
      </c>
      <c r="AI260">
        <f t="shared" si="384"/>
        <v>8.7957954000000019E-2</v>
      </c>
      <c r="AJ260">
        <f t="shared" si="385"/>
        <v>0.35130354000000003</v>
      </c>
      <c r="AK260">
        <f t="shared" si="386"/>
        <v>0</v>
      </c>
      <c r="AL260">
        <f t="shared" si="387"/>
        <v>0</v>
      </c>
      <c r="AM260">
        <f t="shared" si="388"/>
        <v>0</v>
      </c>
    </row>
    <row r="261" spans="1:39" x14ac:dyDescent="0.25">
      <c r="A261" s="2" t="s">
        <v>98</v>
      </c>
      <c r="B261" s="1" t="s">
        <v>48</v>
      </c>
      <c r="C261" s="66">
        <v>0.22</v>
      </c>
      <c r="D261" s="66">
        <v>99.7</v>
      </c>
      <c r="E261" s="66">
        <v>9.7299999999999991E-3</v>
      </c>
      <c r="F261" s="66">
        <v>99.8</v>
      </c>
      <c r="G261" s="66">
        <v>59.5</v>
      </c>
      <c r="H261" s="66">
        <v>33.800000000000004</v>
      </c>
      <c r="I261" s="66">
        <v>19.400000000000002</v>
      </c>
      <c r="J261" s="85">
        <v>77.3</v>
      </c>
      <c r="K261" s="66">
        <v>0</v>
      </c>
      <c r="L261" s="66">
        <v>0</v>
      </c>
      <c r="M261" s="66">
        <v>0</v>
      </c>
      <c r="N261" s="75">
        <v>10306</v>
      </c>
      <c r="O261" s="67">
        <f t="shared" si="363"/>
        <v>22.673200000000001</v>
      </c>
      <c r="P261" s="67">
        <f t="shared" si="364"/>
        <v>10275.082</v>
      </c>
      <c r="Q261" s="67">
        <f t="shared" si="365"/>
        <v>0.99976547859999998</v>
      </c>
      <c r="R261" s="67">
        <f t="shared" si="366"/>
        <v>10254.531836</v>
      </c>
      <c r="S261" s="67">
        <f t="shared" si="367"/>
        <v>6101.4464424199996</v>
      </c>
      <c r="T261" s="67">
        <f t="shared" si="368"/>
        <v>3466.0317605680007</v>
      </c>
      <c r="U261" s="67">
        <f t="shared" si="369"/>
        <v>672.41016155019213</v>
      </c>
      <c r="V261" s="67">
        <f t="shared" si="370"/>
        <v>2679.2425509190648</v>
      </c>
      <c r="W261" s="76">
        <f t="shared" si="371"/>
        <v>0</v>
      </c>
      <c r="X261" s="67">
        <f t="shared" si="376"/>
        <v>0</v>
      </c>
      <c r="Y261" s="67">
        <f t="shared" si="376"/>
        <v>0</v>
      </c>
      <c r="Z261" s="68" t="s">
        <v>152</v>
      </c>
      <c r="AA261" s="68">
        <f t="shared" si="377"/>
        <v>13.33119687715303</v>
      </c>
      <c r="AB261" s="84" t="s">
        <v>196</v>
      </c>
      <c r="AC261">
        <f t="shared" si="378"/>
        <v>0.22</v>
      </c>
      <c r="AD261">
        <f t="shared" si="379"/>
        <v>99.7</v>
      </c>
      <c r="AE261">
        <f t="shared" si="380"/>
        <v>9.7008099999999989E-3</v>
      </c>
      <c r="AF261">
        <f t="shared" si="381"/>
        <v>99.500600000000006</v>
      </c>
      <c r="AG261">
        <f t="shared" si="382"/>
        <v>59.202856999999995</v>
      </c>
      <c r="AH261">
        <f t="shared" si="383"/>
        <v>33.631202800000004</v>
      </c>
      <c r="AI261">
        <f t="shared" si="384"/>
        <v>6.5244533432000011</v>
      </c>
      <c r="AJ261">
        <f t="shared" si="385"/>
        <v>25.996919764400005</v>
      </c>
      <c r="AK261">
        <f t="shared" si="386"/>
        <v>0</v>
      </c>
      <c r="AL261">
        <f t="shared" si="387"/>
        <v>0</v>
      </c>
      <c r="AM261">
        <f t="shared" si="388"/>
        <v>0</v>
      </c>
    </row>
    <row r="262" spans="1:39" x14ac:dyDescent="0.25">
      <c r="A262" s="2" t="s">
        <v>98</v>
      </c>
      <c r="B262" s="1" t="s">
        <v>89</v>
      </c>
      <c r="C262" s="66">
        <v>0.6</v>
      </c>
      <c r="D262" s="66">
        <v>99.1</v>
      </c>
      <c r="E262" s="66">
        <v>9.33</v>
      </c>
      <c r="F262" s="66">
        <v>88.9</v>
      </c>
      <c r="G262" s="66">
        <v>44.1</v>
      </c>
      <c r="H262" s="66">
        <v>31.2</v>
      </c>
      <c r="I262" s="66">
        <v>2.17</v>
      </c>
      <c r="J262" s="85">
        <v>46.7</v>
      </c>
      <c r="K262" s="66">
        <v>0</v>
      </c>
      <c r="L262" s="66">
        <v>0</v>
      </c>
      <c r="M262" s="66">
        <v>0</v>
      </c>
      <c r="N262" s="75">
        <v>1006</v>
      </c>
      <c r="O262" s="67">
        <f t="shared" si="363"/>
        <v>6.0360000000000005</v>
      </c>
      <c r="P262" s="67">
        <f t="shared" si="364"/>
        <v>996.94599999999991</v>
      </c>
      <c r="Q262" s="67">
        <f t="shared" si="365"/>
        <v>93.015061799999984</v>
      </c>
      <c r="R262" s="67">
        <f t="shared" si="366"/>
        <v>886.28499399999998</v>
      </c>
      <c r="S262" s="67">
        <f t="shared" si="367"/>
        <v>390.85168235399999</v>
      </c>
      <c r="T262" s="67">
        <f t="shared" si="368"/>
        <v>276.52091812799995</v>
      </c>
      <c r="U262" s="67">
        <f t="shared" si="369"/>
        <v>6.0005039233775985</v>
      </c>
      <c r="V262" s="67">
        <f t="shared" si="370"/>
        <v>129.13526876577598</v>
      </c>
      <c r="W262" s="76">
        <f t="shared" si="371"/>
        <v>0</v>
      </c>
      <c r="X262" s="67">
        <f t="shared" si="376"/>
        <v>0</v>
      </c>
      <c r="Y262" s="67">
        <f t="shared" si="376"/>
        <v>0</v>
      </c>
      <c r="Z262" s="68" t="s">
        <v>150</v>
      </c>
      <c r="AA262" s="68">
        <f t="shared" si="377"/>
        <v>9.9744145898055283</v>
      </c>
      <c r="AB262" s="84" t="s">
        <v>196</v>
      </c>
      <c r="AC262">
        <f t="shared" si="378"/>
        <v>0.6</v>
      </c>
      <c r="AD262">
        <f t="shared" si="379"/>
        <v>99.1</v>
      </c>
      <c r="AE262">
        <f t="shared" si="380"/>
        <v>9.2460299999999975</v>
      </c>
      <c r="AF262">
        <f t="shared" si="381"/>
        <v>88.099899999999991</v>
      </c>
      <c r="AG262">
        <f t="shared" si="382"/>
        <v>38.852055899999996</v>
      </c>
      <c r="AH262">
        <f t="shared" si="383"/>
        <v>27.487168799999996</v>
      </c>
      <c r="AI262">
        <f t="shared" si="384"/>
        <v>0.59647156295999981</v>
      </c>
      <c r="AJ262">
        <f t="shared" si="385"/>
        <v>12.836507829599997</v>
      </c>
      <c r="AK262">
        <f t="shared" si="386"/>
        <v>0</v>
      </c>
      <c r="AL262">
        <f t="shared" si="387"/>
        <v>0</v>
      </c>
      <c r="AM262">
        <f t="shared" si="388"/>
        <v>0</v>
      </c>
    </row>
    <row r="263" spans="1:39" x14ac:dyDescent="0.25">
      <c r="A263" s="2" t="s">
        <v>98</v>
      </c>
      <c r="B263" s="1" t="s">
        <v>73</v>
      </c>
      <c r="C263" s="66">
        <v>0.11</v>
      </c>
      <c r="D263" s="66">
        <v>99.9</v>
      </c>
      <c r="E263" s="66">
        <v>3.7999999999999999E-2</v>
      </c>
      <c r="F263" s="66">
        <v>99.7</v>
      </c>
      <c r="G263" s="66">
        <v>0.95</v>
      </c>
      <c r="H263" s="66">
        <v>93</v>
      </c>
      <c r="I263" s="66">
        <v>76.7</v>
      </c>
      <c r="J263" s="85">
        <v>19.7</v>
      </c>
      <c r="K263" s="66">
        <v>0</v>
      </c>
      <c r="L263" s="66">
        <v>0</v>
      </c>
      <c r="M263" s="66">
        <v>0</v>
      </c>
      <c r="N263" s="75">
        <v>2637</v>
      </c>
      <c r="O263" s="67">
        <f t="shared" si="363"/>
        <v>2.9007000000000001</v>
      </c>
      <c r="P263" s="67">
        <f t="shared" si="364"/>
        <v>2634.3629999999998</v>
      </c>
      <c r="Q263" s="67">
        <f t="shared" si="365"/>
        <v>1.0010579399999999</v>
      </c>
      <c r="R263" s="67">
        <f t="shared" si="366"/>
        <v>2626.4599109999999</v>
      </c>
      <c r="S263" s="67">
        <f t="shared" si="367"/>
        <v>24.9513691545</v>
      </c>
      <c r="T263" s="67">
        <f t="shared" si="368"/>
        <v>2442.6077172299997</v>
      </c>
      <c r="U263" s="67">
        <f t="shared" si="369"/>
        <v>1873.4801191154099</v>
      </c>
      <c r="V263" s="67">
        <f t="shared" si="370"/>
        <v>481.19372029430991</v>
      </c>
      <c r="W263" s="76">
        <f t="shared" si="371"/>
        <v>0</v>
      </c>
      <c r="X263" s="67">
        <f t="shared" si="376"/>
        <v>0</v>
      </c>
      <c r="Y263" s="67">
        <f t="shared" si="376"/>
        <v>0</v>
      </c>
      <c r="Z263" s="68" t="s">
        <v>150</v>
      </c>
      <c r="AA263" s="68">
        <f t="shared" si="377"/>
        <v>11.364681855864561</v>
      </c>
      <c r="AB263" s="84" t="s">
        <v>196</v>
      </c>
      <c r="AC263">
        <f t="shared" si="378"/>
        <v>0.11</v>
      </c>
      <c r="AD263">
        <f t="shared" si="379"/>
        <v>99.899999999999991</v>
      </c>
      <c r="AE263">
        <f t="shared" si="380"/>
        <v>3.7961999999999996E-2</v>
      </c>
      <c r="AF263">
        <f t="shared" si="381"/>
        <v>99.600300000000004</v>
      </c>
      <c r="AG263">
        <f t="shared" si="382"/>
        <v>0.94620285000000004</v>
      </c>
      <c r="AH263">
        <f t="shared" si="383"/>
        <v>92.628278999999992</v>
      </c>
      <c r="AI263">
        <f t="shared" si="384"/>
        <v>71.045889993000003</v>
      </c>
      <c r="AJ263">
        <f t="shared" si="385"/>
        <v>18.247770962999997</v>
      </c>
      <c r="AK263">
        <f t="shared" si="386"/>
        <v>0</v>
      </c>
      <c r="AL263">
        <f t="shared" si="387"/>
        <v>0</v>
      </c>
      <c r="AM263">
        <f t="shared" si="388"/>
        <v>0</v>
      </c>
    </row>
    <row r="264" spans="1:39" x14ac:dyDescent="0.25">
      <c r="A264" s="2" t="s">
        <v>98</v>
      </c>
      <c r="B264" s="1" t="s">
        <v>49</v>
      </c>
      <c r="C264" s="66">
        <v>0</v>
      </c>
      <c r="D264" s="66">
        <v>100</v>
      </c>
      <c r="E264" s="66">
        <v>0</v>
      </c>
      <c r="F264" s="66">
        <v>99</v>
      </c>
      <c r="G264" s="66">
        <v>0</v>
      </c>
      <c r="H264" s="66">
        <v>93.4</v>
      </c>
      <c r="I264" s="66">
        <v>99.8</v>
      </c>
      <c r="J264" s="85">
        <v>0</v>
      </c>
      <c r="K264" s="66">
        <v>0</v>
      </c>
      <c r="L264" s="66">
        <v>0</v>
      </c>
      <c r="M264" s="66">
        <v>0</v>
      </c>
      <c r="N264" s="75">
        <v>492</v>
      </c>
      <c r="O264" s="67">
        <f t="shared" si="363"/>
        <v>0</v>
      </c>
      <c r="P264" s="67">
        <f t="shared" si="364"/>
        <v>492</v>
      </c>
      <c r="Q264" s="67">
        <f t="shared" si="365"/>
        <v>0</v>
      </c>
      <c r="R264" s="67">
        <f t="shared" si="366"/>
        <v>487.08</v>
      </c>
      <c r="S264" s="67">
        <f t="shared" si="367"/>
        <v>0</v>
      </c>
      <c r="T264" s="67">
        <f t="shared" si="368"/>
        <v>454.93272000000002</v>
      </c>
      <c r="U264" s="67">
        <f t="shared" si="369"/>
        <v>454.02285455999998</v>
      </c>
      <c r="V264" s="67">
        <f t="shared" si="370"/>
        <v>0</v>
      </c>
      <c r="W264" s="76">
        <f t="shared" si="371"/>
        <v>0</v>
      </c>
      <c r="X264" s="67">
        <f t="shared" si="376"/>
        <v>0</v>
      </c>
      <c r="Y264" s="67">
        <f t="shared" si="376"/>
        <v>0</v>
      </c>
      <c r="Z264" s="68" t="s">
        <v>145</v>
      </c>
      <c r="AA264" s="68">
        <f t="shared" si="377"/>
        <v>8.9425145053392399</v>
      </c>
      <c r="AB264" s="84" t="s">
        <v>196</v>
      </c>
      <c r="AC264">
        <f t="shared" si="378"/>
        <v>0</v>
      </c>
      <c r="AD264">
        <f t="shared" si="379"/>
        <v>100</v>
      </c>
      <c r="AE264">
        <f t="shared" si="380"/>
        <v>0</v>
      </c>
      <c r="AF264">
        <f t="shared" si="381"/>
        <v>99</v>
      </c>
      <c r="AG264">
        <f t="shared" si="382"/>
        <v>0</v>
      </c>
      <c r="AH264">
        <f t="shared" si="383"/>
        <v>92.466000000000008</v>
      </c>
      <c r="AI264">
        <f t="shared" si="384"/>
        <v>92.281068000000005</v>
      </c>
      <c r="AJ264">
        <f t="shared" si="385"/>
        <v>0</v>
      </c>
      <c r="AK264">
        <f t="shared" si="386"/>
        <v>0</v>
      </c>
      <c r="AL264">
        <f t="shared" si="387"/>
        <v>0</v>
      </c>
      <c r="AM264">
        <f t="shared" si="388"/>
        <v>0</v>
      </c>
    </row>
    <row r="265" spans="1:39" x14ac:dyDescent="0.25">
      <c r="A265" s="2" t="s">
        <v>98</v>
      </c>
      <c r="B265" s="1" t="s">
        <v>82</v>
      </c>
      <c r="C265" s="66">
        <v>0</v>
      </c>
      <c r="D265" s="66">
        <v>100</v>
      </c>
      <c r="E265" s="66">
        <v>0</v>
      </c>
      <c r="F265" s="66">
        <v>95.899999999999991</v>
      </c>
      <c r="G265" s="66">
        <v>0</v>
      </c>
      <c r="H265" s="66">
        <v>83.6</v>
      </c>
      <c r="I265" s="66">
        <v>98.3</v>
      </c>
      <c r="J265" s="85">
        <v>0</v>
      </c>
      <c r="K265" s="66">
        <v>0</v>
      </c>
      <c r="L265" s="66">
        <v>0</v>
      </c>
      <c r="M265" s="66">
        <v>0</v>
      </c>
      <c r="N265" s="75">
        <v>293</v>
      </c>
      <c r="O265" s="67">
        <f t="shared" si="363"/>
        <v>0</v>
      </c>
      <c r="P265" s="67">
        <f t="shared" si="364"/>
        <v>293</v>
      </c>
      <c r="Q265" s="67">
        <f t="shared" si="365"/>
        <v>0</v>
      </c>
      <c r="R265" s="67">
        <f t="shared" si="366"/>
        <v>280.98699999999997</v>
      </c>
      <c r="S265" s="67">
        <f t="shared" si="367"/>
        <v>0</v>
      </c>
      <c r="T265" s="67">
        <f t="shared" si="368"/>
        <v>234.90513199999995</v>
      </c>
      <c r="U265" s="67">
        <f t="shared" si="369"/>
        <v>230.91174475599993</v>
      </c>
      <c r="V265" s="67">
        <f t="shared" si="370"/>
        <v>0</v>
      </c>
      <c r="W265" s="76">
        <f t="shared" si="371"/>
        <v>0</v>
      </c>
      <c r="X265" s="67">
        <f t="shared" si="376"/>
        <v>0</v>
      </c>
      <c r="Y265" s="67">
        <f t="shared" si="376"/>
        <v>0</v>
      </c>
      <c r="Z265" s="68" t="s">
        <v>145</v>
      </c>
      <c r="AA265" s="68">
        <f t="shared" si="377"/>
        <v>8.1947568544222484</v>
      </c>
      <c r="AB265" s="84" t="s">
        <v>196</v>
      </c>
      <c r="AC265">
        <f t="shared" si="378"/>
        <v>0</v>
      </c>
      <c r="AD265">
        <f t="shared" si="379"/>
        <v>100</v>
      </c>
      <c r="AE265">
        <f t="shared" si="380"/>
        <v>0</v>
      </c>
      <c r="AF265">
        <f t="shared" si="381"/>
        <v>95.899999999999991</v>
      </c>
      <c r="AG265">
        <f t="shared" si="382"/>
        <v>0</v>
      </c>
      <c r="AH265">
        <f t="shared" si="383"/>
        <v>80.172399999999982</v>
      </c>
      <c r="AI265">
        <f t="shared" si="384"/>
        <v>78.809469199999981</v>
      </c>
      <c r="AJ265">
        <f t="shared" si="385"/>
        <v>0</v>
      </c>
      <c r="AK265">
        <f t="shared" si="386"/>
        <v>0</v>
      </c>
      <c r="AL265">
        <f t="shared" si="387"/>
        <v>0</v>
      </c>
      <c r="AM265">
        <f t="shared" si="388"/>
        <v>0</v>
      </c>
    </row>
    <row r="266" spans="1:39" x14ac:dyDescent="0.25">
      <c r="A266" s="2" t="s">
        <v>98</v>
      </c>
      <c r="B266" s="1" t="s">
        <v>74</v>
      </c>
      <c r="C266" s="66">
        <v>0</v>
      </c>
      <c r="D266" s="66">
        <v>100</v>
      </c>
      <c r="E266" s="66">
        <v>0</v>
      </c>
      <c r="F266" s="66">
        <v>99.6</v>
      </c>
      <c r="G266" s="66">
        <v>1.6400000000000001</v>
      </c>
      <c r="H266" s="66">
        <v>87.2</v>
      </c>
      <c r="I266" s="66">
        <v>85</v>
      </c>
      <c r="J266" s="85">
        <v>12.5</v>
      </c>
      <c r="K266" s="66">
        <v>0</v>
      </c>
      <c r="L266" s="66">
        <v>0</v>
      </c>
      <c r="M266" s="66">
        <v>0</v>
      </c>
      <c r="N266" s="75">
        <v>674</v>
      </c>
      <c r="O266" s="67">
        <f t="shared" si="363"/>
        <v>0</v>
      </c>
      <c r="P266" s="67">
        <f t="shared" si="364"/>
        <v>674</v>
      </c>
      <c r="Q266" s="67">
        <f t="shared" si="365"/>
        <v>0</v>
      </c>
      <c r="R266" s="67">
        <f t="shared" si="366"/>
        <v>671.30399999999997</v>
      </c>
      <c r="S266" s="67">
        <f t="shared" si="367"/>
        <v>11.0093856</v>
      </c>
      <c r="T266" s="67">
        <f t="shared" si="368"/>
        <v>585.37708799999996</v>
      </c>
      <c r="U266" s="67">
        <f t="shared" si="369"/>
        <v>497.57052479999999</v>
      </c>
      <c r="V266" s="67">
        <f t="shared" si="370"/>
        <v>73.172135999999995</v>
      </c>
      <c r="W266" s="76">
        <f t="shared" si="371"/>
        <v>0</v>
      </c>
      <c r="X266" s="67">
        <f t="shared" si="376"/>
        <v>0</v>
      </c>
      <c r="Y266" s="67">
        <f t="shared" si="376"/>
        <v>0</v>
      </c>
      <c r="Z266" s="68" t="s">
        <v>145</v>
      </c>
      <c r="AA266" s="68">
        <f t="shared" si="377"/>
        <v>9.3966047811818587</v>
      </c>
      <c r="AB266" s="84" t="s">
        <v>196</v>
      </c>
      <c r="AC266">
        <f t="shared" si="378"/>
        <v>0</v>
      </c>
      <c r="AD266">
        <f t="shared" si="379"/>
        <v>100</v>
      </c>
      <c r="AE266">
        <f t="shared" si="380"/>
        <v>0</v>
      </c>
      <c r="AF266">
        <f t="shared" si="381"/>
        <v>99.6</v>
      </c>
      <c r="AG266">
        <f t="shared" si="382"/>
        <v>1.6334399999999998</v>
      </c>
      <c r="AH266">
        <f t="shared" si="383"/>
        <v>86.851199999999992</v>
      </c>
      <c r="AI266">
        <f t="shared" si="384"/>
        <v>73.823520000000002</v>
      </c>
      <c r="AJ266">
        <f t="shared" si="385"/>
        <v>10.856399999999999</v>
      </c>
      <c r="AK266">
        <f t="shared" si="386"/>
        <v>0</v>
      </c>
      <c r="AL266">
        <f t="shared" si="387"/>
        <v>0</v>
      </c>
      <c r="AM266">
        <f t="shared" si="388"/>
        <v>0</v>
      </c>
    </row>
    <row r="267" spans="1:39" x14ac:dyDescent="0.25">
      <c r="A267" s="2" t="s">
        <v>98</v>
      </c>
      <c r="B267" s="1" t="s">
        <v>19</v>
      </c>
      <c r="C267" s="66">
        <v>0.3</v>
      </c>
      <c r="D267" s="66">
        <v>99.5</v>
      </c>
      <c r="E267" s="66">
        <v>0</v>
      </c>
      <c r="F267" s="66">
        <v>99.8</v>
      </c>
      <c r="G267" s="66">
        <v>12</v>
      </c>
      <c r="H267" s="66">
        <v>86.2</v>
      </c>
      <c r="I267" s="66">
        <v>49.4</v>
      </c>
      <c r="J267" s="85">
        <v>46.1</v>
      </c>
      <c r="K267" s="66">
        <v>0</v>
      </c>
      <c r="L267" s="66">
        <v>0</v>
      </c>
      <c r="M267" s="66">
        <v>0</v>
      </c>
      <c r="N267" s="75">
        <v>5306</v>
      </c>
      <c r="O267" s="67">
        <f t="shared" si="363"/>
        <v>15.917999999999999</v>
      </c>
      <c r="P267" s="67">
        <f t="shared" si="364"/>
        <v>5279.47</v>
      </c>
      <c r="Q267" s="67">
        <f t="shared" si="365"/>
        <v>0</v>
      </c>
      <c r="R267" s="67">
        <f t="shared" si="366"/>
        <v>5268.9110600000004</v>
      </c>
      <c r="S267" s="67">
        <f t="shared" si="367"/>
        <v>632.26932720000002</v>
      </c>
      <c r="T267" s="67">
        <f t="shared" si="368"/>
        <v>4541.8013337200009</v>
      </c>
      <c r="U267" s="67">
        <f t="shared" si="369"/>
        <v>2243.6498588576806</v>
      </c>
      <c r="V267" s="67">
        <f t="shared" si="370"/>
        <v>2093.7704148449207</v>
      </c>
      <c r="W267" s="76">
        <f t="shared" si="371"/>
        <v>0</v>
      </c>
      <c r="X267" s="67">
        <f t="shared" si="376"/>
        <v>0</v>
      </c>
      <c r="Y267" s="67">
        <f t="shared" si="376"/>
        <v>0</v>
      </c>
      <c r="Z267" s="68" t="s">
        <v>150</v>
      </c>
      <c r="AA267" s="68">
        <f t="shared" si="377"/>
        <v>12.373408960228696</v>
      </c>
      <c r="AB267" s="84" t="s">
        <v>196</v>
      </c>
      <c r="AC267">
        <f t="shared" si="378"/>
        <v>0.3</v>
      </c>
      <c r="AD267">
        <f t="shared" si="379"/>
        <v>99.5</v>
      </c>
      <c r="AE267">
        <f t="shared" si="380"/>
        <v>0</v>
      </c>
      <c r="AF267">
        <f t="shared" si="381"/>
        <v>99.301000000000002</v>
      </c>
      <c r="AG267">
        <f t="shared" si="382"/>
        <v>11.916120000000001</v>
      </c>
      <c r="AH267">
        <f t="shared" si="383"/>
        <v>85.597462000000007</v>
      </c>
      <c r="AI267">
        <f t="shared" si="384"/>
        <v>42.285146228000009</v>
      </c>
      <c r="AJ267">
        <f t="shared" si="385"/>
        <v>39.460429982000008</v>
      </c>
      <c r="AK267">
        <f t="shared" si="386"/>
        <v>0</v>
      </c>
      <c r="AL267">
        <f t="shared" si="387"/>
        <v>0</v>
      </c>
      <c r="AM267">
        <f t="shared" si="388"/>
        <v>0</v>
      </c>
    </row>
    <row r="268" spans="1:39" x14ac:dyDescent="0.25">
      <c r="A268" s="2" t="s">
        <v>98</v>
      </c>
      <c r="B268" s="1" t="s">
        <v>50</v>
      </c>
      <c r="C268" s="66">
        <v>0</v>
      </c>
      <c r="D268" s="66">
        <v>100</v>
      </c>
      <c r="E268" s="66">
        <v>0.36</v>
      </c>
      <c r="F268" s="66">
        <v>99.6</v>
      </c>
      <c r="G268" s="66">
        <v>62.1</v>
      </c>
      <c r="H268" s="66">
        <v>29.599999999999998</v>
      </c>
      <c r="I268" s="66">
        <v>0</v>
      </c>
      <c r="J268" s="85">
        <v>86.6</v>
      </c>
      <c r="K268" s="66">
        <v>0</v>
      </c>
      <c r="L268" s="66">
        <v>0</v>
      </c>
      <c r="M268" s="66">
        <v>0</v>
      </c>
      <c r="N268" s="75">
        <v>278</v>
      </c>
      <c r="O268" s="67">
        <f t="shared" si="363"/>
        <v>0</v>
      </c>
      <c r="P268" s="67">
        <f t="shared" si="364"/>
        <v>278</v>
      </c>
      <c r="Q268" s="67">
        <f t="shared" si="365"/>
        <v>1.0007999999999999</v>
      </c>
      <c r="R268" s="67">
        <f t="shared" si="366"/>
        <v>276.88799999999998</v>
      </c>
      <c r="S268" s="67">
        <f t="shared" si="367"/>
        <v>171.94744800000001</v>
      </c>
      <c r="T268" s="67">
        <f t="shared" si="368"/>
        <v>81.958847999999975</v>
      </c>
      <c r="U268" s="67">
        <f t="shared" si="369"/>
        <v>0</v>
      </c>
      <c r="V268" s="67">
        <f t="shared" si="370"/>
        <v>70.976362367999968</v>
      </c>
      <c r="W268" s="76">
        <f t="shared" si="371"/>
        <v>0</v>
      </c>
      <c r="X268" s="67">
        <f t="shared" si="376"/>
        <v>0</v>
      </c>
      <c r="Y268" s="67">
        <f t="shared" si="376"/>
        <v>0</v>
      </c>
      <c r="Z268" s="68" t="s">
        <v>145</v>
      </c>
      <c r="AA268" s="68">
        <f t="shared" si="377"/>
        <v>8.1189410727235067</v>
      </c>
      <c r="AB268" s="84" t="s">
        <v>196</v>
      </c>
      <c r="AC268">
        <f t="shared" si="378"/>
        <v>0</v>
      </c>
      <c r="AD268">
        <f t="shared" si="379"/>
        <v>100</v>
      </c>
      <c r="AE268">
        <f t="shared" si="380"/>
        <v>0.35999999999999993</v>
      </c>
      <c r="AF268">
        <f t="shared" si="381"/>
        <v>99.6</v>
      </c>
      <c r="AG268">
        <f t="shared" si="382"/>
        <v>61.851600000000005</v>
      </c>
      <c r="AH268">
        <f t="shared" si="383"/>
        <v>29.48159999999999</v>
      </c>
      <c r="AI268">
        <f t="shared" si="384"/>
        <v>0</v>
      </c>
      <c r="AJ268">
        <f t="shared" si="385"/>
        <v>25.531065599999987</v>
      </c>
      <c r="AK268">
        <f t="shared" si="386"/>
        <v>0</v>
      </c>
      <c r="AL268">
        <f t="shared" si="387"/>
        <v>0</v>
      </c>
      <c r="AM268">
        <f t="shared" si="388"/>
        <v>0</v>
      </c>
    </row>
    <row r="269" spans="1:39" x14ac:dyDescent="0.25">
      <c r="A269" s="2" t="s">
        <v>98</v>
      </c>
      <c r="B269" s="1" t="s">
        <v>51</v>
      </c>
      <c r="C269" s="66">
        <v>6.2E-2</v>
      </c>
      <c r="D269" s="66">
        <v>99.9</v>
      </c>
      <c r="E269" s="66">
        <v>6.2E-2</v>
      </c>
      <c r="F269" s="66">
        <v>99.1</v>
      </c>
      <c r="G269" s="66">
        <v>87.2</v>
      </c>
      <c r="H269" s="66">
        <v>2.39</v>
      </c>
      <c r="I269" s="66">
        <v>2.63</v>
      </c>
      <c r="J269" s="85">
        <v>21.099999999999998</v>
      </c>
      <c r="K269" s="66">
        <v>0</v>
      </c>
      <c r="L269" s="66">
        <v>0</v>
      </c>
      <c r="M269" s="66">
        <v>0</v>
      </c>
      <c r="N269" s="75">
        <v>1604</v>
      </c>
      <c r="O269" s="67">
        <f t="shared" si="363"/>
        <v>0.99447999999999992</v>
      </c>
      <c r="P269" s="67">
        <f t="shared" si="364"/>
        <v>1602.396</v>
      </c>
      <c r="Q269" s="67">
        <f t="shared" si="365"/>
        <v>0.99348552000000001</v>
      </c>
      <c r="R269" s="67">
        <f t="shared" si="366"/>
        <v>1587.974436</v>
      </c>
      <c r="S269" s="67">
        <f t="shared" si="367"/>
        <v>1384.713708192</v>
      </c>
      <c r="T269" s="67">
        <f t="shared" si="368"/>
        <v>37.952589020399998</v>
      </c>
      <c r="U269" s="67">
        <f t="shared" si="369"/>
        <v>0.99815309123651985</v>
      </c>
      <c r="V269" s="67">
        <f t="shared" si="370"/>
        <v>8.0079962833043989</v>
      </c>
      <c r="W269" s="76">
        <f t="shared" si="371"/>
        <v>0</v>
      </c>
      <c r="X269" s="67">
        <f t="shared" si="376"/>
        <v>0</v>
      </c>
      <c r="Y269" s="67">
        <f t="shared" si="376"/>
        <v>0</v>
      </c>
      <c r="Z269" s="68" t="s">
        <v>150</v>
      </c>
      <c r="AA269" s="68">
        <f t="shared" si="377"/>
        <v>10.647458426454921</v>
      </c>
      <c r="AB269" s="84" t="s">
        <v>196</v>
      </c>
      <c r="AC269">
        <f t="shared" si="378"/>
        <v>6.2E-2</v>
      </c>
      <c r="AD269">
        <f t="shared" si="379"/>
        <v>99.9</v>
      </c>
      <c r="AE269">
        <f t="shared" si="380"/>
        <v>6.1938E-2</v>
      </c>
      <c r="AF269">
        <f t="shared" si="381"/>
        <v>99.000900000000001</v>
      </c>
      <c r="AG269">
        <f t="shared" si="382"/>
        <v>86.328784800000008</v>
      </c>
      <c r="AH269">
        <f t="shared" si="383"/>
        <v>2.3661215099999997</v>
      </c>
      <c r="AI269">
        <f t="shared" si="384"/>
        <v>6.2228995712999988E-2</v>
      </c>
      <c r="AJ269">
        <f t="shared" si="385"/>
        <v>0.49925163860999988</v>
      </c>
      <c r="AK269">
        <f t="shared" si="386"/>
        <v>0</v>
      </c>
      <c r="AL269">
        <f t="shared" si="387"/>
        <v>0</v>
      </c>
      <c r="AM269">
        <f t="shared" si="388"/>
        <v>0</v>
      </c>
    </row>
    <row r="270" spans="1:39" x14ac:dyDescent="0.25">
      <c r="A270" s="2" t="s">
        <v>98</v>
      </c>
      <c r="B270" s="1" t="s">
        <v>21</v>
      </c>
      <c r="C270" s="66">
        <v>0</v>
      </c>
      <c r="D270" s="66">
        <v>100</v>
      </c>
      <c r="E270" s="66">
        <v>0</v>
      </c>
      <c r="F270" s="66">
        <v>99.7</v>
      </c>
      <c r="G270" s="66">
        <v>1.1499999999999999</v>
      </c>
      <c r="H270" s="66">
        <v>90.8</v>
      </c>
      <c r="I270" s="66">
        <v>88.7</v>
      </c>
      <c r="J270" s="85">
        <v>4.32</v>
      </c>
      <c r="K270" s="66">
        <v>0</v>
      </c>
      <c r="L270" s="66">
        <v>0</v>
      </c>
      <c r="M270" s="66">
        <v>0</v>
      </c>
      <c r="N270" s="75">
        <v>870</v>
      </c>
      <c r="O270" s="67">
        <f t="shared" ref="O270:O311" si="389">C270*N270/100</f>
        <v>0</v>
      </c>
      <c r="P270" s="67">
        <f t="shared" ref="P270:P311" si="390">D270*N270/100</f>
        <v>870</v>
      </c>
      <c r="Q270" s="67">
        <f t="shared" ref="Q270:Q311" si="391">E270*P270/100</f>
        <v>0</v>
      </c>
      <c r="R270" s="67">
        <f t="shared" ref="R270:R311" si="392">F270*P270/100</f>
        <v>867.39</v>
      </c>
      <c r="S270" s="67">
        <f t="shared" ref="S270:S311" si="393">G270*R270/100</f>
        <v>9.9749849999999984</v>
      </c>
      <c r="T270" s="67">
        <f t="shared" ref="T270:T311" si="394">H270*R270/100</f>
        <v>787.59012000000007</v>
      </c>
      <c r="U270" s="67">
        <f t="shared" ref="U270:U311" si="395">I270*T270/100</f>
        <v>698.59243644000003</v>
      </c>
      <c r="V270" s="67">
        <f t="shared" ref="V270:V311" si="396">J270*T270/100</f>
        <v>34.023893184000002</v>
      </c>
      <c r="W270" s="76">
        <f t="shared" ref="W270:W311" si="397">K270*T270/100</f>
        <v>0</v>
      </c>
      <c r="X270" s="67">
        <f t="shared" si="376"/>
        <v>0</v>
      </c>
      <c r="Y270" s="67">
        <f t="shared" si="376"/>
        <v>0</v>
      </c>
      <c r="Z270" s="68" t="s">
        <v>145</v>
      </c>
      <c r="AA270" s="68">
        <f t="shared" si="377"/>
        <v>9.7648715907360906</v>
      </c>
      <c r="AB270" s="84" t="s">
        <v>196</v>
      </c>
      <c r="AC270">
        <f t="shared" si="378"/>
        <v>0</v>
      </c>
      <c r="AD270">
        <f t="shared" si="379"/>
        <v>100</v>
      </c>
      <c r="AE270">
        <f t="shared" si="380"/>
        <v>0</v>
      </c>
      <c r="AF270">
        <f t="shared" si="381"/>
        <v>99.7</v>
      </c>
      <c r="AG270">
        <f t="shared" si="382"/>
        <v>1.1465499999999997</v>
      </c>
      <c r="AH270">
        <f t="shared" si="383"/>
        <v>90.527600000000007</v>
      </c>
      <c r="AI270">
        <f t="shared" si="384"/>
        <v>80.297981199999995</v>
      </c>
      <c r="AJ270">
        <f t="shared" si="385"/>
        <v>3.9107923200000005</v>
      </c>
      <c r="AK270">
        <f t="shared" si="386"/>
        <v>0</v>
      </c>
      <c r="AL270">
        <f t="shared" si="387"/>
        <v>0</v>
      </c>
      <c r="AM270">
        <f t="shared" si="388"/>
        <v>0</v>
      </c>
    </row>
    <row r="271" spans="1:39" x14ac:dyDescent="0.25">
      <c r="A271" s="2" t="s">
        <v>98</v>
      </c>
      <c r="B271" s="1" t="s">
        <v>52</v>
      </c>
      <c r="C271" s="66">
        <v>0.26</v>
      </c>
      <c r="D271" s="66">
        <v>99.6</v>
      </c>
      <c r="E271" s="66">
        <v>0</v>
      </c>
      <c r="F271" s="66">
        <v>99.8</v>
      </c>
      <c r="G271" s="66">
        <v>95.6</v>
      </c>
      <c r="H271" s="66">
        <v>1.6099999999999999</v>
      </c>
      <c r="I271" s="66">
        <v>0</v>
      </c>
      <c r="J271" s="85">
        <v>74.3</v>
      </c>
      <c r="K271" s="66">
        <v>0</v>
      </c>
      <c r="L271" s="66">
        <v>0</v>
      </c>
      <c r="M271" s="66">
        <v>0</v>
      </c>
      <c r="N271" s="75">
        <v>4615</v>
      </c>
      <c r="O271" s="67">
        <f t="shared" si="389"/>
        <v>11.999000000000001</v>
      </c>
      <c r="P271" s="67">
        <f t="shared" si="390"/>
        <v>4596.54</v>
      </c>
      <c r="Q271" s="67">
        <f t="shared" si="391"/>
        <v>0</v>
      </c>
      <c r="R271" s="67">
        <f t="shared" si="392"/>
        <v>4587.34692</v>
      </c>
      <c r="S271" s="67">
        <f t="shared" si="393"/>
        <v>4385.5036555199995</v>
      </c>
      <c r="T271" s="67">
        <f t="shared" si="394"/>
        <v>73.856285411999991</v>
      </c>
      <c r="U271" s="67">
        <f t="shared" si="395"/>
        <v>0</v>
      </c>
      <c r="V271" s="67">
        <f t="shared" si="396"/>
        <v>54.875220061115989</v>
      </c>
      <c r="W271" s="76">
        <f t="shared" si="397"/>
        <v>0</v>
      </c>
      <c r="X271" s="67">
        <f t="shared" ref="X271:Y283" si="398">L271*W271/100</f>
        <v>0</v>
      </c>
      <c r="Y271" s="67">
        <f t="shared" si="398"/>
        <v>0</v>
      </c>
      <c r="Z271" s="68" t="s">
        <v>150</v>
      </c>
      <c r="AA271" s="68">
        <f t="shared" si="377"/>
        <v>12.172114932533136</v>
      </c>
      <c r="AB271" s="84" t="s">
        <v>196</v>
      </c>
      <c r="AC271">
        <f t="shared" si="378"/>
        <v>0.26</v>
      </c>
      <c r="AD271">
        <f t="shared" si="379"/>
        <v>99.6</v>
      </c>
      <c r="AE271">
        <f t="shared" si="380"/>
        <v>0</v>
      </c>
      <c r="AF271">
        <f t="shared" si="381"/>
        <v>99.400800000000004</v>
      </c>
      <c r="AG271">
        <f t="shared" si="382"/>
        <v>95.02716479999998</v>
      </c>
      <c r="AH271">
        <f t="shared" si="383"/>
        <v>1.60035288</v>
      </c>
      <c r="AI271">
        <f t="shared" si="384"/>
        <v>0</v>
      </c>
      <c r="AJ271">
        <f t="shared" si="385"/>
        <v>1.1890621898399998</v>
      </c>
      <c r="AK271">
        <f t="shared" si="386"/>
        <v>0</v>
      </c>
      <c r="AL271">
        <f t="shared" si="387"/>
        <v>0</v>
      </c>
      <c r="AM271">
        <f t="shared" si="388"/>
        <v>0</v>
      </c>
    </row>
    <row r="272" spans="1:39" x14ac:dyDescent="0.25">
      <c r="A272" s="2" t="s">
        <v>98</v>
      </c>
      <c r="B272" s="1" t="s">
        <v>23</v>
      </c>
      <c r="C272" s="66">
        <v>0</v>
      </c>
      <c r="D272" s="66">
        <v>100</v>
      </c>
      <c r="E272" s="66">
        <v>0</v>
      </c>
      <c r="F272" s="66">
        <v>99</v>
      </c>
      <c r="G272" s="66">
        <v>96.399999999999991</v>
      </c>
      <c r="H272" s="66">
        <v>1.2</v>
      </c>
      <c r="I272" s="66">
        <v>0</v>
      </c>
      <c r="J272" s="85">
        <v>20</v>
      </c>
      <c r="K272" s="66">
        <v>0</v>
      </c>
      <c r="L272" s="66">
        <v>0</v>
      </c>
      <c r="M272" s="66">
        <v>0</v>
      </c>
      <c r="N272" s="75">
        <v>953</v>
      </c>
      <c r="O272" s="67">
        <f t="shared" si="389"/>
        <v>0</v>
      </c>
      <c r="P272" s="67">
        <f t="shared" si="390"/>
        <v>953</v>
      </c>
      <c r="Q272" s="67">
        <f t="shared" si="391"/>
        <v>0</v>
      </c>
      <c r="R272" s="67">
        <f t="shared" si="392"/>
        <v>943.47</v>
      </c>
      <c r="S272" s="67">
        <f t="shared" si="393"/>
        <v>909.50508000000002</v>
      </c>
      <c r="T272" s="67">
        <f t="shared" si="394"/>
        <v>11.32164</v>
      </c>
      <c r="U272" s="67">
        <f t="shared" si="395"/>
        <v>0</v>
      </c>
      <c r="V272" s="67">
        <f t="shared" si="396"/>
        <v>2.2643280000000003</v>
      </c>
      <c r="W272" s="76">
        <f t="shared" si="397"/>
        <v>0</v>
      </c>
      <c r="X272" s="67">
        <f t="shared" si="398"/>
        <v>0</v>
      </c>
      <c r="Y272" s="67">
        <f t="shared" si="398"/>
        <v>0</v>
      </c>
      <c r="Z272" s="68" t="s">
        <v>145</v>
      </c>
      <c r="AA272" s="68">
        <f t="shared" si="377"/>
        <v>9.8963324039099412</v>
      </c>
      <c r="AB272" s="84" t="s">
        <v>196</v>
      </c>
      <c r="AC272">
        <f t="shared" si="378"/>
        <v>0</v>
      </c>
      <c r="AD272">
        <f t="shared" si="379"/>
        <v>100</v>
      </c>
      <c r="AE272">
        <f t="shared" si="380"/>
        <v>0</v>
      </c>
      <c r="AF272">
        <f t="shared" si="381"/>
        <v>99</v>
      </c>
      <c r="AG272">
        <f t="shared" si="382"/>
        <v>95.435999999999993</v>
      </c>
      <c r="AH272">
        <f t="shared" si="383"/>
        <v>1.1879999999999999</v>
      </c>
      <c r="AI272">
        <f t="shared" si="384"/>
        <v>0</v>
      </c>
      <c r="AJ272">
        <f t="shared" si="385"/>
        <v>0.23760000000000006</v>
      </c>
      <c r="AK272">
        <f t="shared" si="386"/>
        <v>0</v>
      </c>
      <c r="AL272">
        <f t="shared" si="387"/>
        <v>0</v>
      </c>
      <c r="AM272">
        <f t="shared" si="388"/>
        <v>0</v>
      </c>
    </row>
    <row r="273" spans="1:39" x14ac:dyDescent="0.25">
      <c r="A273" s="2" t="s">
        <v>98</v>
      </c>
      <c r="B273" s="1" t="s">
        <v>54</v>
      </c>
      <c r="C273" s="66">
        <v>0</v>
      </c>
      <c r="D273" s="66">
        <v>100</v>
      </c>
      <c r="E273" s="66">
        <v>0.2</v>
      </c>
      <c r="F273" s="66">
        <v>97</v>
      </c>
      <c r="G273" s="66">
        <v>69.8</v>
      </c>
      <c r="H273" s="66">
        <v>23</v>
      </c>
      <c r="I273" s="66">
        <v>0</v>
      </c>
      <c r="J273" s="85">
        <v>79.5</v>
      </c>
      <c r="K273" s="66">
        <v>0</v>
      </c>
      <c r="L273" s="66">
        <v>0</v>
      </c>
      <c r="M273" s="66">
        <v>0</v>
      </c>
      <c r="N273" s="75">
        <v>502</v>
      </c>
      <c r="O273" s="67">
        <f t="shared" si="389"/>
        <v>0</v>
      </c>
      <c r="P273" s="67">
        <f t="shared" si="390"/>
        <v>502</v>
      </c>
      <c r="Q273" s="67">
        <f t="shared" si="391"/>
        <v>1.004</v>
      </c>
      <c r="R273" s="67">
        <f t="shared" si="392"/>
        <v>486.94</v>
      </c>
      <c r="S273" s="67">
        <f t="shared" si="393"/>
        <v>339.88411999999994</v>
      </c>
      <c r="T273" s="67">
        <f t="shared" si="394"/>
        <v>111.9962</v>
      </c>
      <c r="U273" s="67">
        <f t="shared" si="395"/>
        <v>0</v>
      </c>
      <c r="V273" s="67">
        <f t="shared" si="396"/>
        <v>89.036979000000017</v>
      </c>
      <c r="W273" s="76">
        <f t="shared" si="397"/>
        <v>0</v>
      </c>
      <c r="X273" s="67">
        <f t="shared" si="398"/>
        <v>0</v>
      </c>
      <c r="Y273" s="67">
        <f t="shared" si="398"/>
        <v>0</v>
      </c>
      <c r="Z273" s="68" t="s">
        <v>145</v>
      </c>
      <c r="AA273" s="68">
        <f t="shared" si="377"/>
        <v>8.971543553950772</v>
      </c>
      <c r="AB273" s="84" t="s">
        <v>196</v>
      </c>
      <c r="AC273">
        <f t="shared" si="378"/>
        <v>0</v>
      </c>
      <c r="AD273">
        <f t="shared" si="379"/>
        <v>100</v>
      </c>
      <c r="AE273">
        <f t="shared" si="380"/>
        <v>0.2</v>
      </c>
      <c r="AF273">
        <f t="shared" si="381"/>
        <v>97</v>
      </c>
      <c r="AG273">
        <f t="shared" si="382"/>
        <v>67.705999999999989</v>
      </c>
      <c r="AH273">
        <f t="shared" si="383"/>
        <v>22.31</v>
      </c>
      <c r="AI273">
        <f t="shared" si="384"/>
        <v>0</v>
      </c>
      <c r="AJ273">
        <f t="shared" si="385"/>
        <v>17.736450000000005</v>
      </c>
      <c r="AK273">
        <f t="shared" si="386"/>
        <v>0</v>
      </c>
      <c r="AL273">
        <f t="shared" si="387"/>
        <v>0</v>
      </c>
      <c r="AM273">
        <f t="shared" si="388"/>
        <v>0</v>
      </c>
    </row>
    <row r="274" spans="1:39" x14ac:dyDescent="0.25">
      <c r="A274" s="2" t="s">
        <v>98</v>
      </c>
      <c r="B274" s="1" t="s">
        <v>83</v>
      </c>
      <c r="C274" s="66">
        <v>0</v>
      </c>
      <c r="D274" s="66">
        <v>100</v>
      </c>
      <c r="E274" s="66">
        <v>0</v>
      </c>
      <c r="F274" s="66">
        <v>96.8</v>
      </c>
      <c r="G274" s="66">
        <v>0</v>
      </c>
      <c r="H274" s="66">
        <v>83.3</v>
      </c>
      <c r="I274" s="66">
        <v>100</v>
      </c>
      <c r="J274" s="85">
        <v>0</v>
      </c>
      <c r="K274" s="66">
        <v>0</v>
      </c>
      <c r="L274" s="66">
        <v>0</v>
      </c>
      <c r="M274" s="66">
        <v>0</v>
      </c>
      <c r="N274" s="75">
        <v>216</v>
      </c>
      <c r="O274" s="67">
        <f t="shared" si="389"/>
        <v>0</v>
      </c>
      <c r="P274" s="67">
        <f t="shared" si="390"/>
        <v>216</v>
      </c>
      <c r="Q274" s="67">
        <f t="shared" si="391"/>
        <v>0</v>
      </c>
      <c r="R274" s="67">
        <f t="shared" si="392"/>
        <v>209.08799999999999</v>
      </c>
      <c r="S274" s="67">
        <f t="shared" si="393"/>
        <v>0</v>
      </c>
      <c r="T274" s="67">
        <f t="shared" si="394"/>
        <v>174.17030399999999</v>
      </c>
      <c r="U274" s="67">
        <f t="shared" si="395"/>
        <v>174.17030399999999</v>
      </c>
      <c r="V274" s="67">
        <f t="shared" si="396"/>
        <v>0</v>
      </c>
      <c r="W274" s="76">
        <f t="shared" si="397"/>
        <v>0</v>
      </c>
      <c r="X274" s="67">
        <f t="shared" si="398"/>
        <v>0</v>
      </c>
      <c r="Y274" s="67">
        <f t="shared" si="398"/>
        <v>0</v>
      </c>
      <c r="Z274" s="68" t="s">
        <v>145</v>
      </c>
      <c r="AA274" s="68">
        <f t="shared" si="377"/>
        <v>7.7548875021634691</v>
      </c>
      <c r="AB274" s="84" t="s">
        <v>196</v>
      </c>
      <c r="AC274">
        <f t="shared" si="378"/>
        <v>0</v>
      </c>
      <c r="AD274">
        <f t="shared" si="379"/>
        <v>100</v>
      </c>
      <c r="AE274">
        <f t="shared" si="380"/>
        <v>0</v>
      </c>
      <c r="AF274">
        <f t="shared" si="381"/>
        <v>96.8</v>
      </c>
      <c r="AG274">
        <f t="shared" si="382"/>
        <v>0</v>
      </c>
      <c r="AH274">
        <f t="shared" si="383"/>
        <v>80.634399999999999</v>
      </c>
      <c r="AI274">
        <f t="shared" si="384"/>
        <v>80.634399999999999</v>
      </c>
      <c r="AJ274">
        <f t="shared" si="385"/>
        <v>0</v>
      </c>
      <c r="AK274">
        <f t="shared" si="386"/>
        <v>0</v>
      </c>
      <c r="AL274">
        <f t="shared" si="387"/>
        <v>0</v>
      </c>
      <c r="AM274">
        <f t="shared" si="388"/>
        <v>0</v>
      </c>
    </row>
    <row r="275" spans="1:39" x14ac:dyDescent="0.25">
      <c r="A275" s="2" t="s">
        <v>98</v>
      </c>
      <c r="B275" s="1" t="s">
        <v>24</v>
      </c>
      <c r="C275" s="66">
        <v>0</v>
      </c>
      <c r="D275" s="66">
        <v>100</v>
      </c>
      <c r="E275" s="66">
        <v>0.4</v>
      </c>
      <c r="F275" s="66">
        <v>96.399999999999991</v>
      </c>
      <c r="G275" s="66">
        <v>11.899999999999999</v>
      </c>
      <c r="H275" s="66">
        <v>84.1</v>
      </c>
      <c r="I275" s="66">
        <v>0</v>
      </c>
      <c r="J275" s="85">
        <v>96.1</v>
      </c>
      <c r="K275" s="66">
        <v>0</v>
      </c>
      <c r="L275" s="66">
        <v>0</v>
      </c>
      <c r="M275" s="66">
        <v>0</v>
      </c>
      <c r="N275" s="75">
        <v>866</v>
      </c>
      <c r="O275" s="67">
        <f t="shared" si="389"/>
        <v>0</v>
      </c>
      <c r="P275" s="67">
        <f t="shared" si="390"/>
        <v>866</v>
      </c>
      <c r="Q275" s="67">
        <f t="shared" si="391"/>
        <v>3.4640000000000004</v>
      </c>
      <c r="R275" s="67">
        <f t="shared" si="392"/>
        <v>834.82399999999996</v>
      </c>
      <c r="S275" s="67">
        <f t="shared" si="393"/>
        <v>99.344055999999981</v>
      </c>
      <c r="T275" s="67">
        <f t="shared" si="394"/>
        <v>702.08698399999992</v>
      </c>
      <c r="U275" s="67">
        <f t="shared" si="395"/>
        <v>0</v>
      </c>
      <c r="V275" s="67">
        <f t="shared" si="396"/>
        <v>674.70559162399991</v>
      </c>
      <c r="W275" s="76">
        <f t="shared" si="397"/>
        <v>0</v>
      </c>
      <c r="X275" s="67">
        <f t="shared" si="398"/>
        <v>0</v>
      </c>
      <c r="Y275" s="67">
        <f t="shared" si="398"/>
        <v>0</v>
      </c>
      <c r="Z275" s="68" t="s">
        <v>145</v>
      </c>
      <c r="AA275" s="68">
        <f t="shared" si="377"/>
        <v>9.7582232147267245</v>
      </c>
      <c r="AB275" s="84" t="s">
        <v>196</v>
      </c>
      <c r="AC275">
        <f t="shared" si="378"/>
        <v>0</v>
      </c>
      <c r="AD275">
        <f t="shared" si="379"/>
        <v>100</v>
      </c>
      <c r="AE275">
        <f t="shared" si="380"/>
        <v>0.4</v>
      </c>
      <c r="AF275">
        <f t="shared" si="381"/>
        <v>96.399999999999991</v>
      </c>
      <c r="AG275">
        <f t="shared" si="382"/>
        <v>11.471599999999997</v>
      </c>
      <c r="AH275">
        <f t="shared" si="383"/>
        <v>81.072399999999988</v>
      </c>
      <c r="AI275">
        <f t="shared" si="384"/>
        <v>0</v>
      </c>
      <c r="AJ275">
        <f t="shared" si="385"/>
        <v>77.910576399999982</v>
      </c>
      <c r="AK275">
        <f t="shared" si="386"/>
        <v>0</v>
      </c>
      <c r="AL275">
        <f t="shared" si="387"/>
        <v>0</v>
      </c>
      <c r="AM275">
        <f t="shared" si="388"/>
        <v>0</v>
      </c>
    </row>
    <row r="276" spans="1:39" x14ac:dyDescent="0.25">
      <c r="A276" s="2" t="s">
        <v>98</v>
      </c>
      <c r="B276" s="1" t="s">
        <v>90</v>
      </c>
      <c r="C276" s="66">
        <v>0</v>
      </c>
      <c r="D276" s="66">
        <v>100</v>
      </c>
      <c r="E276" s="66">
        <v>0</v>
      </c>
      <c r="F276" s="66">
        <v>99.2</v>
      </c>
      <c r="G276" s="66">
        <v>0.38999999999999996</v>
      </c>
      <c r="H276" s="66">
        <v>95.3</v>
      </c>
      <c r="I276" s="66">
        <v>87.2</v>
      </c>
      <c r="J276" s="85">
        <v>9.5</v>
      </c>
      <c r="K276" s="66">
        <v>0</v>
      </c>
      <c r="L276" s="66">
        <v>0</v>
      </c>
      <c r="M276" s="66">
        <v>0</v>
      </c>
      <c r="N276" s="75">
        <v>266</v>
      </c>
      <c r="O276" s="67">
        <f t="shared" si="389"/>
        <v>0</v>
      </c>
      <c r="P276" s="67">
        <f t="shared" si="390"/>
        <v>266</v>
      </c>
      <c r="Q276" s="67">
        <f t="shared" si="391"/>
        <v>0</v>
      </c>
      <c r="R276" s="67">
        <f t="shared" si="392"/>
        <v>263.87200000000001</v>
      </c>
      <c r="S276" s="67">
        <f t="shared" si="393"/>
        <v>1.0291007999999999</v>
      </c>
      <c r="T276" s="67">
        <f t="shared" si="394"/>
        <v>251.47001599999999</v>
      </c>
      <c r="U276" s="67">
        <f t="shared" si="395"/>
        <v>219.28185395199998</v>
      </c>
      <c r="V276" s="67">
        <f t="shared" si="396"/>
        <v>23.889651519999997</v>
      </c>
      <c r="W276" s="76">
        <f t="shared" si="397"/>
        <v>0</v>
      </c>
      <c r="X276" s="67">
        <f t="shared" si="398"/>
        <v>0</v>
      </c>
      <c r="Y276" s="67">
        <f t="shared" si="398"/>
        <v>0</v>
      </c>
      <c r="Z276" s="68" t="s">
        <v>145</v>
      </c>
      <c r="AA276" s="68">
        <f t="shared" si="377"/>
        <v>8.0552824355011907</v>
      </c>
      <c r="AB276" s="84" t="s">
        <v>196</v>
      </c>
      <c r="AC276">
        <f t="shared" si="378"/>
        <v>0</v>
      </c>
      <c r="AD276">
        <f t="shared" si="379"/>
        <v>100</v>
      </c>
      <c r="AE276">
        <f t="shared" si="380"/>
        <v>0</v>
      </c>
      <c r="AF276">
        <f t="shared" si="381"/>
        <v>99.200000000000017</v>
      </c>
      <c r="AG276">
        <f t="shared" si="382"/>
        <v>0.38688</v>
      </c>
      <c r="AH276">
        <f t="shared" si="383"/>
        <v>94.537599999999998</v>
      </c>
      <c r="AI276">
        <f t="shared" si="384"/>
        <v>82.436787199999998</v>
      </c>
      <c r="AJ276">
        <f t="shared" si="385"/>
        <v>8.9810719999999993</v>
      </c>
      <c r="AK276">
        <f t="shared" si="386"/>
        <v>0</v>
      </c>
      <c r="AL276">
        <f t="shared" si="387"/>
        <v>0</v>
      </c>
      <c r="AM276">
        <f t="shared" si="388"/>
        <v>0</v>
      </c>
    </row>
    <row r="277" spans="1:39" x14ac:dyDescent="0.25">
      <c r="A277" s="2" t="s">
        <v>98</v>
      </c>
      <c r="B277" s="1" t="s">
        <v>55</v>
      </c>
      <c r="C277" s="66">
        <v>0</v>
      </c>
      <c r="D277" s="66">
        <v>100</v>
      </c>
      <c r="E277" s="66">
        <v>0</v>
      </c>
      <c r="F277" s="66">
        <v>95.7</v>
      </c>
      <c r="G277" s="66">
        <v>0</v>
      </c>
      <c r="H277" s="66">
        <v>93</v>
      </c>
      <c r="I277" s="66">
        <v>97.6</v>
      </c>
      <c r="J277" s="85">
        <v>0</v>
      </c>
      <c r="K277" s="66">
        <v>0</v>
      </c>
      <c r="L277" s="66">
        <v>0</v>
      </c>
      <c r="M277" s="66">
        <v>0</v>
      </c>
      <c r="N277" s="75">
        <v>47</v>
      </c>
      <c r="O277" s="67">
        <f t="shared" si="389"/>
        <v>0</v>
      </c>
      <c r="P277" s="67">
        <f t="shared" si="390"/>
        <v>47</v>
      </c>
      <c r="Q277" s="67">
        <f t="shared" si="391"/>
        <v>0</v>
      </c>
      <c r="R277" s="67">
        <f t="shared" si="392"/>
        <v>44.979000000000006</v>
      </c>
      <c r="S277" s="67">
        <f t="shared" si="393"/>
        <v>0</v>
      </c>
      <c r="T277" s="67">
        <f t="shared" si="394"/>
        <v>41.830470000000005</v>
      </c>
      <c r="U277" s="67">
        <f t="shared" si="395"/>
        <v>40.826538720000002</v>
      </c>
      <c r="V277" s="67">
        <f t="shared" si="396"/>
        <v>0</v>
      </c>
      <c r="W277" s="76">
        <f t="shared" si="397"/>
        <v>0</v>
      </c>
      <c r="X277" s="67">
        <f t="shared" si="398"/>
        <v>0</v>
      </c>
      <c r="Y277" s="67">
        <f t="shared" si="398"/>
        <v>0</v>
      </c>
      <c r="Z277" s="68" t="s">
        <v>151</v>
      </c>
      <c r="AA277" s="68">
        <f t="shared" si="377"/>
        <v>5.5545888516776376</v>
      </c>
      <c r="AB277" s="84" t="s">
        <v>196</v>
      </c>
      <c r="AC277">
        <f t="shared" si="378"/>
        <v>0</v>
      </c>
      <c r="AD277">
        <f t="shared" si="379"/>
        <v>100</v>
      </c>
      <c r="AE277">
        <f t="shared" si="380"/>
        <v>0</v>
      </c>
      <c r="AF277">
        <f t="shared" si="381"/>
        <v>95.700000000000017</v>
      </c>
      <c r="AG277">
        <f t="shared" si="382"/>
        <v>0</v>
      </c>
      <c r="AH277">
        <f t="shared" si="383"/>
        <v>89.001000000000005</v>
      </c>
      <c r="AI277">
        <f t="shared" si="384"/>
        <v>86.864975999999999</v>
      </c>
      <c r="AJ277">
        <f t="shared" si="385"/>
        <v>0</v>
      </c>
      <c r="AK277">
        <f t="shared" si="386"/>
        <v>0</v>
      </c>
      <c r="AL277">
        <f t="shared" si="387"/>
        <v>0</v>
      </c>
      <c r="AM277">
        <f t="shared" si="388"/>
        <v>0</v>
      </c>
    </row>
    <row r="278" spans="1:39" x14ac:dyDescent="0.25">
      <c r="A278" s="2" t="s">
        <v>98</v>
      </c>
      <c r="B278" s="1" t="s">
        <v>25</v>
      </c>
      <c r="C278" s="66">
        <v>0</v>
      </c>
      <c r="D278" s="66">
        <v>100</v>
      </c>
      <c r="E278" s="66">
        <v>0</v>
      </c>
      <c r="F278" s="66">
        <v>99.1</v>
      </c>
      <c r="G278" s="66">
        <v>87.6</v>
      </c>
      <c r="H278" s="66">
        <v>2.0099999999999998</v>
      </c>
      <c r="I278" s="66">
        <v>1.8900000000000001</v>
      </c>
      <c r="J278" s="85">
        <v>28.299999999999997</v>
      </c>
      <c r="K278" s="66">
        <v>0</v>
      </c>
      <c r="L278" s="66">
        <v>0</v>
      </c>
      <c r="M278" s="66">
        <v>0</v>
      </c>
      <c r="N278" s="75">
        <v>2661</v>
      </c>
      <c r="O278" s="67">
        <f t="shared" si="389"/>
        <v>0</v>
      </c>
      <c r="P278" s="67">
        <f t="shared" si="390"/>
        <v>2661</v>
      </c>
      <c r="Q278" s="67">
        <f t="shared" si="391"/>
        <v>0</v>
      </c>
      <c r="R278" s="67">
        <f t="shared" si="392"/>
        <v>2637.0509999999999</v>
      </c>
      <c r="S278" s="67">
        <f t="shared" si="393"/>
        <v>2310.0566759999997</v>
      </c>
      <c r="T278" s="67">
        <f t="shared" si="394"/>
        <v>53.004725099999995</v>
      </c>
      <c r="U278" s="67">
        <f t="shared" si="395"/>
        <v>1.0017893043899999</v>
      </c>
      <c r="V278" s="67">
        <f t="shared" si="396"/>
        <v>15.000337203299996</v>
      </c>
      <c r="W278" s="76">
        <f t="shared" si="397"/>
        <v>0</v>
      </c>
      <c r="X278" s="67">
        <f t="shared" si="398"/>
        <v>0</v>
      </c>
      <c r="Y278" s="67">
        <f t="shared" si="398"/>
        <v>0</v>
      </c>
      <c r="Z278" s="68" t="s">
        <v>150</v>
      </c>
      <c r="AA278" s="68">
        <f t="shared" si="377"/>
        <v>11.37775279502222</v>
      </c>
      <c r="AB278" s="84" t="s">
        <v>196</v>
      </c>
      <c r="AC278">
        <f t="shared" si="378"/>
        <v>0</v>
      </c>
      <c r="AD278">
        <f t="shared" si="379"/>
        <v>100</v>
      </c>
      <c r="AE278">
        <f t="shared" si="380"/>
        <v>0</v>
      </c>
      <c r="AF278">
        <f t="shared" si="381"/>
        <v>99.1</v>
      </c>
      <c r="AG278">
        <f t="shared" si="382"/>
        <v>86.811599999999984</v>
      </c>
      <c r="AH278">
        <f t="shared" si="383"/>
        <v>1.9919099999999998</v>
      </c>
      <c r="AI278">
        <f t="shared" si="384"/>
        <v>3.7647098999999996E-2</v>
      </c>
      <c r="AJ278">
        <f t="shared" si="385"/>
        <v>0.56371052999999982</v>
      </c>
      <c r="AK278">
        <f t="shared" si="386"/>
        <v>0</v>
      </c>
      <c r="AL278">
        <f t="shared" si="387"/>
        <v>0</v>
      </c>
      <c r="AM278">
        <f t="shared" si="388"/>
        <v>0</v>
      </c>
    </row>
    <row r="279" spans="1:39" x14ac:dyDescent="0.25">
      <c r="A279" s="2" t="s">
        <v>98</v>
      </c>
      <c r="B279" s="1" t="s">
        <v>28</v>
      </c>
      <c r="C279" s="66">
        <v>0.13</v>
      </c>
      <c r="D279" s="66">
        <v>99.8</v>
      </c>
      <c r="E279" s="66">
        <v>0</v>
      </c>
      <c r="F279" s="66">
        <v>99.9</v>
      </c>
      <c r="G279" s="66">
        <v>28.7</v>
      </c>
      <c r="H279" s="66">
        <v>67.600000000000009</v>
      </c>
      <c r="I279" s="66">
        <v>30.099999999999998</v>
      </c>
      <c r="J279" s="85">
        <v>66.600000000000009</v>
      </c>
      <c r="K279" s="66">
        <v>0</v>
      </c>
      <c r="L279" s="66">
        <v>0</v>
      </c>
      <c r="M279" s="66">
        <v>0</v>
      </c>
      <c r="N279" s="75">
        <v>19855</v>
      </c>
      <c r="O279" s="67">
        <f t="shared" si="389"/>
        <v>25.811500000000002</v>
      </c>
      <c r="P279" s="67">
        <f t="shared" si="390"/>
        <v>19815.29</v>
      </c>
      <c r="Q279" s="67">
        <f t="shared" si="391"/>
        <v>0</v>
      </c>
      <c r="R279" s="67">
        <f t="shared" si="392"/>
        <v>19795.474710000002</v>
      </c>
      <c r="S279" s="67">
        <f t="shared" si="393"/>
        <v>5681.3012417700002</v>
      </c>
      <c r="T279" s="67">
        <f t="shared" si="394"/>
        <v>13381.740903960002</v>
      </c>
      <c r="U279" s="67">
        <f t="shared" si="395"/>
        <v>4027.9040120919603</v>
      </c>
      <c r="V279" s="67">
        <f t="shared" si="396"/>
        <v>8912.2394420373621</v>
      </c>
      <c r="W279" s="76">
        <f t="shared" si="397"/>
        <v>0</v>
      </c>
      <c r="X279" s="67">
        <f t="shared" si="398"/>
        <v>0</v>
      </c>
      <c r="Y279" s="67">
        <f t="shared" si="398"/>
        <v>0</v>
      </c>
      <c r="Z279" s="68" t="s">
        <v>152</v>
      </c>
      <c r="AA279" s="68">
        <f t="shared" si="377"/>
        <v>14.277214740411832</v>
      </c>
      <c r="AB279" s="84" t="s">
        <v>196</v>
      </c>
      <c r="AC279">
        <f t="shared" si="378"/>
        <v>0.13</v>
      </c>
      <c r="AD279">
        <f t="shared" si="379"/>
        <v>99.8</v>
      </c>
      <c r="AE279">
        <f t="shared" si="380"/>
        <v>0</v>
      </c>
      <c r="AF279">
        <f t="shared" si="381"/>
        <v>99.700200000000024</v>
      </c>
      <c r="AG279">
        <f t="shared" si="382"/>
        <v>28.6139574</v>
      </c>
      <c r="AH279">
        <f t="shared" si="383"/>
        <v>67.397335200000015</v>
      </c>
      <c r="AI279">
        <f t="shared" si="384"/>
        <v>20.2865978952</v>
      </c>
      <c r="AJ279">
        <f t="shared" si="385"/>
        <v>44.886625243200015</v>
      </c>
      <c r="AK279">
        <f t="shared" si="386"/>
        <v>0</v>
      </c>
      <c r="AL279">
        <f t="shared" si="387"/>
        <v>0</v>
      </c>
      <c r="AM279">
        <f t="shared" si="388"/>
        <v>0</v>
      </c>
    </row>
    <row r="280" spans="1:39" x14ac:dyDescent="0.25">
      <c r="A280" s="2" t="s">
        <v>98</v>
      </c>
      <c r="B280" s="1" t="s">
        <v>29</v>
      </c>
      <c r="C280" s="66">
        <v>0.25</v>
      </c>
      <c r="D280" s="66">
        <v>99.6</v>
      </c>
      <c r="E280" s="66">
        <v>0</v>
      </c>
      <c r="F280" s="66">
        <v>99.5</v>
      </c>
      <c r="G280" s="66">
        <v>11.799999999999999</v>
      </c>
      <c r="H280" s="66">
        <v>86</v>
      </c>
      <c r="I280" s="66">
        <v>51.800000000000004</v>
      </c>
      <c r="J280" s="85">
        <v>44.6</v>
      </c>
      <c r="K280" s="66">
        <v>0</v>
      </c>
      <c r="L280" s="66">
        <v>0</v>
      </c>
      <c r="M280" s="66">
        <v>0</v>
      </c>
      <c r="N280" s="75">
        <v>2435</v>
      </c>
      <c r="O280" s="67">
        <f t="shared" si="389"/>
        <v>6.0875000000000004</v>
      </c>
      <c r="P280" s="67">
        <f t="shared" si="390"/>
        <v>2425.2600000000002</v>
      </c>
      <c r="Q280" s="67">
        <f t="shared" si="391"/>
        <v>0</v>
      </c>
      <c r="R280" s="67">
        <f t="shared" si="392"/>
        <v>2413.1337000000003</v>
      </c>
      <c r="S280" s="67">
        <f t="shared" si="393"/>
        <v>284.74977660000002</v>
      </c>
      <c r="T280" s="67">
        <f t="shared" si="394"/>
        <v>2075.2949820000003</v>
      </c>
      <c r="U280" s="67">
        <f t="shared" si="395"/>
        <v>1075.0028006760003</v>
      </c>
      <c r="V280" s="67">
        <f t="shared" si="396"/>
        <v>925.58156197200015</v>
      </c>
      <c r="W280" s="76">
        <f t="shared" si="397"/>
        <v>0</v>
      </c>
      <c r="X280" s="67">
        <f t="shared" si="398"/>
        <v>0</v>
      </c>
      <c r="Y280" s="67">
        <f t="shared" si="398"/>
        <v>0</v>
      </c>
      <c r="Z280" s="68" t="s">
        <v>150</v>
      </c>
      <c r="AA280" s="68">
        <f t="shared" si="377"/>
        <v>11.249706056969705</v>
      </c>
      <c r="AB280" s="84" t="s">
        <v>196</v>
      </c>
      <c r="AC280">
        <f t="shared" si="378"/>
        <v>0.25</v>
      </c>
      <c r="AD280">
        <f t="shared" si="379"/>
        <v>99.600000000000009</v>
      </c>
      <c r="AE280">
        <f t="shared" si="380"/>
        <v>0</v>
      </c>
      <c r="AF280">
        <f t="shared" si="381"/>
        <v>99.102000000000018</v>
      </c>
      <c r="AG280">
        <f t="shared" si="382"/>
        <v>11.694036000000001</v>
      </c>
      <c r="AH280">
        <f t="shared" si="383"/>
        <v>85.227720000000019</v>
      </c>
      <c r="AI280">
        <f t="shared" si="384"/>
        <v>44.147958960000011</v>
      </c>
      <c r="AJ280">
        <f t="shared" si="385"/>
        <v>38.011563120000005</v>
      </c>
      <c r="AK280">
        <f t="shared" si="386"/>
        <v>0</v>
      </c>
      <c r="AL280">
        <f t="shared" si="387"/>
        <v>0</v>
      </c>
      <c r="AM280">
        <f t="shared" si="388"/>
        <v>0</v>
      </c>
    </row>
    <row r="281" spans="1:39" x14ac:dyDescent="0.25">
      <c r="A281" s="2" t="s">
        <v>98</v>
      </c>
      <c r="B281" s="1" t="s">
        <v>57</v>
      </c>
      <c r="C281" s="66">
        <v>0</v>
      </c>
      <c r="D281" s="66">
        <v>100</v>
      </c>
      <c r="E281" s="66">
        <v>0</v>
      </c>
      <c r="F281" s="66">
        <v>92.4</v>
      </c>
      <c r="G281" s="66">
        <v>1.18</v>
      </c>
      <c r="H281" s="66">
        <v>94.1</v>
      </c>
      <c r="I281" s="66">
        <v>37.5</v>
      </c>
      <c r="J281" s="85">
        <v>57.499999999999993</v>
      </c>
      <c r="K281" s="66">
        <v>0</v>
      </c>
      <c r="L281" s="66">
        <v>0</v>
      </c>
      <c r="M281" s="66">
        <v>0</v>
      </c>
      <c r="N281" s="75">
        <v>92</v>
      </c>
      <c r="O281" s="67">
        <f t="shared" si="389"/>
        <v>0</v>
      </c>
      <c r="P281" s="67">
        <f t="shared" si="390"/>
        <v>92</v>
      </c>
      <c r="Q281" s="67">
        <f t="shared" si="391"/>
        <v>0</v>
      </c>
      <c r="R281" s="67">
        <f t="shared" si="392"/>
        <v>85.00800000000001</v>
      </c>
      <c r="S281" s="67">
        <f t="shared" si="393"/>
        <v>1.0030944000000002</v>
      </c>
      <c r="T281" s="67">
        <f t="shared" si="394"/>
        <v>79.992528000000007</v>
      </c>
      <c r="U281" s="67">
        <f t="shared" si="395"/>
        <v>29.997198000000004</v>
      </c>
      <c r="V281" s="67">
        <f t="shared" si="396"/>
        <v>45.995703599999999</v>
      </c>
      <c r="W281" s="76">
        <f t="shared" si="397"/>
        <v>0</v>
      </c>
      <c r="X281" s="67">
        <f t="shared" si="398"/>
        <v>0</v>
      </c>
      <c r="Y281" s="67">
        <f t="shared" si="398"/>
        <v>0</v>
      </c>
      <c r="Z281" s="68" t="s">
        <v>151</v>
      </c>
      <c r="AA281" s="68">
        <f t="shared" si="377"/>
        <v>6.5235619560570131</v>
      </c>
      <c r="AB281" s="84" t="s">
        <v>196</v>
      </c>
      <c r="AC281">
        <f t="shared" si="378"/>
        <v>0</v>
      </c>
      <c r="AD281">
        <f t="shared" si="379"/>
        <v>100</v>
      </c>
      <c r="AE281">
        <f t="shared" si="380"/>
        <v>0</v>
      </c>
      <c r="AF281">
        <f t="shared" si="381"/>
        <v>92.40000000000002</v>
      </c>
      <c r="AG281">
        <f t="shared" si="382"/>
        <v>1.0903200000000002</v>
      </c>
      <c r="AH281">
        <f t="shared" si="383"/>
        <v>86.948400000000007</v>
      </c>
      <c r="AI281">
        <f t="shared" si="384"/>
        <v>32.605650000000004</v>
      </c>
      <c r="AJ281">
        <f t="shared" si="385"/>
        <v>49.995329999999996</v>
      </c>
      <c r="AK281">
        <f t="shared" si="386"/>
        <v>0</v>
      </c>
      <c r="AL281">
        <f t="shared" si="387"/>
        <v>0</v>
      </c>
      <c r="AM281">
        <f t="shared" si="388"/>
        <v>0</v>
      </c>
    </row>
    <row r="282" spans="1:39" x14ac:dyDescent="0.25">
      <c r="A282" s="2" t="s">
        <v>98</v>
      </c>
      <c r="B282" s="1" t="s">
        <v>30</v>
      </c>
      <c r="C282" s="66">
        <v>4.7E-2</v>
      </c>
      <c r="D282" s="66">
        <v>99</v>
      </c>
      <c r="E282" s="66">
        <v>0</v>
      </c>
      <c r="F282" s="66">
        <v>99.9</v>
      </c>
      <c r="G282" s="66">
        <v>32.6</v>
      </c>
      <c r="H282" s="66">
        <v>64.600000000000009</v>
      </c>
      <c r="I282" s="66">
        <v>43.1</v>
      </c>
      <c r="J282" s="85">
        <v>53</v>
      </c>
      <c r="K282" s="66">
        <v>0</v>
      </c>
      <c r="L282" s="66">
        <v>0</v>
      </c>
      <c r="M282" s="66">
        <v>0</v>
      </c>
      <c r="N282" s="75">
        <v>6410</v>
      </c>
      <c r="O282" s="67">
        <f t="shared" si="389"/>
        <v>3.0126999999999997</v>
      </c>
      <c r="P282" s="67">
        <f t="shared" si="390"/>
        <v>6345.9</v>
      </c>
      <c r="Q282" s="67">
        <f t="shared" si="391"/>
        <v>0</v>
      </c>
      <c r="R282" s="67">
        <f t="shared" si="392"/>
        <v>6339.5541000000003</v>
      </c>
      <c r="S282" s="67">
        <f t="shared" si="393"/>
        <v>2066.6946366000002</v>
      </c>
      <c r="T282" s="67">
        <f t="shared" si="394"/>
        <v>4095.3519486000005</v>
      </c>
      <c r="U282" s="67">
        <f t="shared" si="395"/>
        <v>1765.0966898466004</v>
      </c>
      <c r="V282" s="67">
        <f t="shared" si="396"/>
        <v>2170.5365327580002</v>
      </c>
      <c r="W282" s="76">
        <f t="shared" si="397"/>
        <v>0</v>
      </c>
      <c r="X282" s="67">
        <f t="shared" si="398"/>
        <v>0</v>
      </c>
      <c r="Y282" s="67">
        <f t="shared" si="398"/>
        <v>0</v>
      </c>
      <c r="Z282" s="68" t="s">
        <v>150</v>
      </c>
      <c r="AA282" s="68">
        <f t="shared" si="377"/>
        <v>12.646108641506103</v>
      </c>
      <c r="AB282" s="84" t="s">
        <v>196</v>
      </c>
      <c r="AC282">
        <f t="shared" si="378"/>
        <v>4.6999999999999993E-2</v>
      </c>
      <c r="AD282">
        <f t="shared" si="379"/>
        <v>99</v>
      </c>
      <c r="AE282">
        <f t="shared" si="380"/>
        <v>0</v>
      </c>
      <c r="AF282">
        <f t="shared" si="381"/>
        <v>98.90100000000001</v>
      </c>
      <c r="AG282">
        <f t="shared" si="382"/>
        <v>32.241726000000007</v>
      </c>
      <c r="AH282">
        <f t="shared" si="383"/>
        <v>63.890046000000012</v>
      </c>
      <c r="AI282">
        <f t="shared" si="384"/>
        <v>27.536609826000007</v>
      </c>
      <c r="AJ282">
        <f t="shared" si="385"/>
        <v>33.861724380000005</v>
      </c>
      <c r="AK282">
        <f t="shared" si="386"/>
        <v>0</v>
      </c>
      <c r="AL282">
        <f t="shared" si="387"/>
        <v>0</v>
      </c>
      <c r="AM282">
        <f t="shared" si="388"/>
        <v>0</v>
      </c>
    </row>
    <row r="283" spans="1:39" x14ac:dyDescent="0.25">
      <c r="A283" s="2" t="s">
        <v>98</v>
      </c>
      <c r="B283" s="1" t="s">
        <v>31</v>
      </c>
      <c r="C283" s="66">
        <v>0.24</v>
      </c>
      <c r="D283" s="66">
        <v>99.5</v>
      </c>
      <c r="E283" s="66">
        <v>0.12</v>
      </c>
      <c r="F283" s="66">
        <v>99.5</v>
      </c>
      <c r="G283" s="66">
        <v>1.7999999999999998</v>
      </c>
      <c r="H283" s="66">
        <v>84.6</v>
      </c>
      <c r="I283" s="66">
        <v>81.5</v>
      </c>
      <c r="J283" s="85">
        <v>15.8</v>
      </c>
      <c r="K283" s="66">
        <v>0</v>
      </c>
      <c r="L283" s="66">
        <v>0</v>
      </c>
      <c r="M283" s="66">
        <v>0</v>
      </c>
      <c r="N283" s="75">
        <v>840</v>
      </c>
      <c r="O283" s="67">
        <f t="shared" si="389"/>
        <v>2.016</v>
      </c>
      <c r="P283" s="67">
        <f t="shared" si="390"/>
        <v>835.8</v>
      </c>
      <c r="Q283" s="67">
        <f t="shared" si="391"/>
        <v>1.0029599999999999</v>
      </c>
      <c r="R283" s="67">
        <f t="shared" si="392"/>
        <v>831.62099999999987</v>
      </c>
      <c r="S283" s="67">
        <f t="shared" si="393"/>
        <v>14.969177999999998</v>
      </c>
      <c r="T283" s="67">
        <f t="shared" si="394"/>
        <v>703.5513659999998</v>
      </c>
      <c r="U283" s="67">
        <f t="shared" si="395"/>
        <v>573.39436328999977</v>
      </c>
      <c r="V283" s="67">
        <f t="shared" si="396"/>
        <v>111.16111582799996</v>
      </c>
      <c r="W283" s="76">
        <f t="shared" si="397"/>
        <v>0</v>
      </c>
      <c r="X283" s="67">
        <f t="shared" si="398"/>
        <v>0</v>
      </c>
      <c r="Y283" s="67">
        <f t="shared" si="398"/>
        <v>0</v>
      </c>
      <c r="Z283" s="68" t="s">
        <v>145</v>
      </c>
      <c r="AA283" s="68">
        <f t="shared" si="377"/>
        <v>9.7142455176661233</v>
      </c>
      <c r="AB283" s="84" t="s">
        <v>196</v>
      </c>
      <c r="AC283">
        <f t="shared" si="378"/>
        <v>0.24000000000000002</v>
      </c>
      <c r="AD283">
        <f t="shared" si="379"/>
        <v>99.5</v>
      </c>
      <c r="AE283">
        <f t="shared" si="380"/>
        <v>0.11939999999999998</v>
      </c>
      <c r="AF283">
        <f t="shared" si="381"/>
        <v>99.002499999999984</v>
      </c>
      <c r="AG283">
        <f t="shared" si="382"/>
        <v>1.7820449999999999</v>
      </c>
      <c r="AH283">
        <f t="shared" si="383"/>
        <v>83.75611499999998</v>
      </c>
      <c r="AI283">
        <f t="shared" si="384"/>
        <v>68.261233724999968</v>
      </c>
      <c r="AJ283">
        <f t="shared" si="385"/>
        <v>13.233466169999996</v>
      </c>
      <c r="AK283">
        <f t="shared" si="386"/>
        <v>0</v>
      </c>
      <c r="AL283">
        <f t="shared" si="387"/>
        <v>0</v>
      </c>
      <c r="AM283">
        <f t="shared" si="388"/>
        <v>0</v>
      </c>
    </row>
    <row r="284" spans="1:39" x14ac:dyDescent="0.25">
      <c r="A284" s="2" t="s">
        <v>98</v>
      </c>
      <c r="B284" s="1" t="s">
        <v>33</v>
      </c>
      <c r="C284" s="66">
        <v>0</v>
      </c>
      <c r="D284" s="66">
        <v>100</v>
      </c>
      <c r="E284" s="66">
        <v>0</v>
      </c>
      <c r="F284" s="66">
        <v>99.4</v>
      </c>
      <c r="G284" s="66">
        <v>0.31</v>
      </c>
      <c r="H284" s="66">
        <v>98.6</v>
      </c>
      <c r="I284" s="66">
        <v>57.099999999999994</v>
      </c>
      <c r="J284" s="85">
        <v>37.200000000000003</v>
      </c>
      <c r="K284" s="66">
        <v>0</v>
      </c>
      <c r="L284" s="66">
        <v>0</v>
      </c>
      <c r="M284" s="66">
        <v>0</v>
      </c>
      <c r="N284" s="75">
        <v>640</v>
      </c>
      <c r="O284" s="67">
        <f t="shared" si="389"/>
        <v>0</v>
      </c>
      <c r="P284" s="67">
        <f t="shared" si="390"/>
        <v>640</v>
      </c>
      <c r="Q284" s="67">
        <f t="shared" si="391"/>
        <v>0</v>
      </c>
      <c r="R284" s="67">
        <f t="shared" si="392"/>
        <v>636.16</v>
      </c>
      <c r="S284" s="67">
        <f t="shared" si="393"/>
        <v>1.9720959999999998</v>
      </c>
      <c r="T284" s="67">
        <f t="shared" si="394"/>
        <v>627.25375999999994</v>
      </c>
      <c r="U284" s="67">
        <f t="shared" si="395"/>
        <v>358.16189695999992</v>
      </c>
      <c r="V284" s="67">
        <f t="shared" si="396"/>
        <v>233.33839872000001</v>
      </c>
      <c r="W284" s="76">
        <f t="shared" si="397"/>
        <v>0</v>
      </c>
      <c r="X284" s="67">
        <f t="shared" ref="X284:Y296" si="399">L284*W284/100</f>
        <v>0</v>
      </c>
      <c r="Y284" s="67">
        <f t="shared" si="399"/>
        <v>0</v>
      </c>
      <c r="Z284" s="68" t="s">
        <v>145</v>
      </c>
      <c r="AA284" s="68">
        <f t="shared" si="377"/>
        <v>9.3219280948873617</v>
      </c>
      <c r="AB284" s="84" t="s">
        <v>196</v>
      </c>
      <c r="AC284">
        <f t="shared" si="378"/>
        <v>0</v>
      </c>
      <c r="AD284">
        <f t="shared" si="379"/>
        <v>100</v>
      </c>
      <c r="AE284">
        <f t="shared" si="380"/>
        <v>0</v>
      </c>
      <c r="AF284">
        <f t="shared" si="381"/>
        <v>99.4</v>
      </c>
      <c r="AG284">
        <f t="shared" si="382"/>
        <v>0.30813999999999997</v>
      </c>
      <c r="AH284">
        <f t="shared" si="383"/>
        <v>98.008399999999995</v>
      </c>
      <c r="AI284">
        <f t="shared" si="384"/>
        <v>55.962796399999995</v>
      </c>
      <c r="AJ284">
        <f t="shared" si="385"/>
        <v>36.459124800000005</v>
      </c>
      <c r="AK284">
        <f t="shared" si="386"/>
        <v>0</v>
      </c>
      <c r="AL284">
        <f t="shared" si="387"/>
        <v>0</v>
      </c>
      <c r="AM284">
        <f t="shared" si="388"/>
        <v>0</v>
      </c>
    </row>
    <row r="285" spans="1:39" x14ac:dyDescent="0.25">
      <c r="A285" s="2" t="s">
        <v>98</v>
      </c>
      <c r="B285" s="1" t="s">
        <v>58</v>
      </c>
      <c r="C285" s="66">
        <v>0</v>
      </c>
      <c r="D285" s="66">
        <v>100</v>
      </c>
      <c r="E285" s="66">
        <v>0</v>
      </c>
      <c r="F285" s="66">
        <v>99.4</v>
      </c>
      <c r="G285" s="66">
        <v>1.87</v>
      </c>
      <c r="H285" s="66">
        <v>94.1</v>
      </c>
      <c r="I285" s="66">
        <v>75.2</v>
      </c>
      <c r="J285" s="85">
        <v>21.2</v>
      </c>
      <c r="K285" s="66">
        <v>0</v>
      </c>
      <c r="L285" s="66">
        <v>0</v>
      </c>
      <c r="M285" s="66">
        <v>0</v>
      </c>
      <c r="N285" s="75">
        <v>323</v>
      </c>
      <c r="O285" s="67">
        <f t="shared" si="389"/>
        <v>0</v>
      </c>
      <c r="P285" s="67">
        <f t="shared" si="390"/>
        <v>323</v>
      </c>
      <c r="Q285" s="67">
        <f t="shared" si="391"/>
        <v>0</v>
      </c>
      <c r="R285" s="67">
        <f t="shared" si="392"/>
        <v>321.06200000000001</v>
      </c>
      <c r="S285" s="67">
        <f t="shared" si="393"/>
        <v>6.0038593999999996</v>
      </c>
      <c r="T285" s="67">
        <f t="shared" si="394"/>
        <v>302.11934200000002</v>
      </c>
      <c r="U285" s="67">
        <f t="shared" si="395"/>
        <v>227.19374518400002</v>
      </c>
      <c r="V285" s="67">
        <f t="shared" si="396"/>
        <v>64.049300504000001</v>
      </c>
      <c r="W285" s="76">
        <f t="shared" si="397"/>
        <v>0</v>
      </c>
      <c r="X285" s="67">
        <f t="shared" si="399"/>
        <v>0</v>
      </c>
      <c r="Y285" s="67">
        <f t="shared" si="399"/>
        <v>0</v>
      </c>
      <c r="Z285" s="68" t="s">
        <v>145</v>
      </c>
      <c r="AA285" s="68">
        <f t="shared" si="377"/>
        <v>8.3353903546939243</v>
      </c>
      <c r="AB285" s="84" t="s">
        <v>196</v>
      </c>
      <c r="AC285">
        <f t="shared" si="378"/>
        <v>0</v>
      </c>
      <c r="AD285">
        <f t="shared" si="379"/>
        <v>100</v>
      </c>
      <c r="AE285">
        <f t="shared" si="380"/>
        <v>0</v>
      </c>
      <c r="AF285">
        <f t="shared" si="381"/>
        <v>99.4</v>
      </c>
      <c r="AG285">
        <f t="shared" si="382"/>
        <v>1.8587799999999999</v>
      </c>
      <c r="AH285">
        <f t="shared" si="383"/>
        <v>93.535399999999996</v>
      </c>
      <c r="AI285">
        <f t="shared" si="384"/>
        <v>70.338620800000001</v>
      </c>
      <c r="AJ285">
        <f t="shared" si="385"/>
        <v>19.829504799999999</v>
      </c>
      <c r="AK285">
        <f t="shared" si="386"/>
        <v>0</v>
      </c>
      <c r="AL285">
        <f t="shared" si="387"/>
        <v>0</v>
      </c>
      <c r="AM285">
        <f t="shared" si="388"/>
        <v>0</v>
      </c>
    </row>
    <row r="286" spans="1:39" x14ac:dyDescent="0.25">
      <c r="A286" s="2" t="s">
        <v>98</v>
      </c>
      <c r="B286" s="1" t="s">
        <v>34</v>
      </c>
      <c r="C286" s="66">
        <v>0</v>
      </c>
      <c r="D286" s="66">
        <v>100</v>
      </c>
      <c r="E286" s="66">
        <v>0</v>
      </c>
      <c r="F286" s="66">
        <v>99</v>
      </c>
      <c r="G286" s="66">
        <v>91.7</v>
      </c>
      <c r="H286" s="66">
        <v>1.59</v>
      </c>
      <c r="I286" s="66">
        <v>0</v>
      </c>
      <c r="J286" s="85">
        <v>0</v>
      </c>
      <c r="K286" s="66">
        <v>0</v>
      </c>
      <c r="L286" s="66">
        <v>0</v>
      </c>
      <c r="M286" s="66">
        <v>0</v>
      </c>
      <c r="N286" s="75">
        <v>1018</v>
      </c>
      <c r="O286" s="67">
        <f t="shared" si="389"/>
        <v>0</v>
      </c>
      <c r="P286" s="67">
        <f t="shared" si="390"/>
        <v>1018</v>
      </c>
      <c r="Q286" s="67">
        <f t="shared" si="391"/>
        <v>0</v>
      </c>
      <c r="R286" s="67">
        <f t="shared" si="392"/>
        <v>1007.82</v>
      </c>
      <c r="S286" s="67">
        <f t="shared" si="393"/>
        <v>924.17094000000009</v>
      </c>
      <c r="T286" s="67">
        <f t="shared" si="394"/>
        <v>16.024338000000004</v>
      </c>
      <c r="U286" s="67">
        <f t="shared" si="395"/>
        <v>0</v>
      </c>
      <c r="V286" s="67">
        <f t="shared" si="396"/>
        <v>0</v>
      </c>
      <c r="W286" s="76">
        <f t="shared" si="397"/>
        <v>0</v>
      </c>
      <c r="X286" s="67">
        <f t="shared" si="399"/>
        <v>0</v>
      </c>
      <c r="Y286" s="67">
        <f t="shared" si="399"/>
        <v>0</v>
      </c>
      <c r="Z286" s="68" t="s">
        <v>150</v>
      </c>
      <c r="AA286" s="68">
        <f t="shared" si="377"/>
        <v>9.9915218460756954</v>
      </c>
      <c r="AB286" s="84" t="s">
        <v>196</v>
      </c>
      <c r="AC286">
        <f t="shared" si="378"/>
        <v>0</v>
      </c>
      <c r="AD286">
        <f t="shared" si="379"/>
        <v>100</v>
      </c>
      <c r="AE286">
        <f t="shared" si="380"/>
        <v>0</v>
      </c>
      <c r="AF286">
        <f t="shared" si="381"/>
        <v>99.000000000000014</v>
      </c>
      <c r="AG286">
        <f t="shared" si="382"/>
        <v>90.783000000000015</v>
      </c>
      <c r="AH286">
        <f t="shared" si="383"/>
        <v>1.5741000000000005</v>
      </c>
      <c r="AI286">
        <f t="shared" si="384"/>
        <v>0</v>
      </c>
      <c r="AJ286">
        <f t="shared" si="385"/>
        <v>0</v>
      </c>
      <c r="AK286">
        <f t="shared" si="386"/>
        <v>0</v>
      </c>
      <c r="AL286">
        <f t="shared" si="387"/>
        <v>0</v>
      </c>
      <c r="AM286">
        <f t="shared" si="388"/>
        <v>0</v>
      </c>
    </row>
    <row r="287" spans="1:39" x14ac:dyDescent="0.25">
      <c r="A287" s="2" t="s">
        <v>98</v>
      </c>
      <c r="B287" s="1" t="s">
        <v>85</v>
      </c>
      <c r="C287" s="66">
        <v>0</v>
      </c>
      <c r="D287" s="66">
        <v>99.6</v>
      </c>
      <c r="E287" s="66">
        <v>0</v>
      </c>
      <c r="F287" s="66">
        <v>97.1</v>
      </c>
      <c r="G287" s="66">
        <v>56.100000000000009</v>
      </c>
      <c r="H287" s="66">
        <v>37.9</v>
      </c>
      <c r="I287" s="66">
        <v>0</v>
      </c>
      <c r="J287" s="85">
        <v>88.4</v>
      </c>
      <c r="K287" s="66">
        <v>0</v>
      </c>
      <c r="L287" s="66">
        <v>0</v>
      </c>
      <c r="M287" s="66">
        <v>0</v>
      </c>
      <c r="N287" s="75">
        <v>518</v>
      </c>
      <c r="O287" s="67">
        <f t="shared" si="389"/>
        <v>0</v>
      </c>
      <c r="P287" s="67">
        <f t="shared" si="390"/>
        <v>515.928</v>
      </c>
      <c r="Q287" s="67">
        <f t="shared" si="391"/>
        <v>0</v>
      </c>
      <c r="R287" s="67">
        <f t="shared" si="392"/>
        <v>500.96608799999996</v>
      </c>
      <c r="S287" s="67">
        <f t="shared" si="393"/>
        <v>281.04197536800001</v>
      </c>
      <c r="T287" s="67">
        <f t="shared" si="394"/>
        <v>189.86614735199998</v>
      </c>
      <c r="U287" s="67">
        <f t="shared" si="395"/>
        <v>0</v>
      </c>
      <c r="V287" s="67">
        <f t="shared" si="396"/>
        <v>167.841674259168</v>
      </c>
      <c r="W287" s="76">
        <f t="shared" si="397"/>
        <v>0</v>
      </c>
      <c r="X287" s="67">
        <f t="shared" si="399"/>
        <v>0</v>
      </c>
      <c r="Y287" s="67">
        <f t="shared" si="399"/>
        <v>0</v>
      </c>
      <c r="Z287" s="68" t="s">
        <v>145</v>
      </c>
      <c r="AA287" s="68">
        <f t="shared" si="377"/>
        <v>9.016808287686553</v>
      </c>
      <c r="AB287" s="84" t="s">
        <v>196</v>
      </c>
      <c r="AC287">
        <f t="shared" si="378"/>
        <v>0</v>
      </c>
      <c r="AD287">
        <f t="shared" si="379"/>
        <v>99.6</v>
      </c>
      <c r="AE287">
        <f t="shared" si="380"/>
        <v>0</v>
      </c>
      <c r="AF287">
        <f t="shared" si="381"/>
        <v>96.71159999999999</v>
      </c>
      <c r="AG287">
        <f t="shared" si="382"/>
        <v>54.255207599999999</v>
      </c>
      <c r="AH287">
        <f t="shared" si="383"/>
        <v>36.653696399999994</v>
      </c>
      <c r="AI287">
        <f t="shared" si="384"/>
        <v>0</v>
      </c>
      <c r="AJ287">
        <f t="shared" si="385"/>
        <v>32.401867617599997</v>
      </c>
      <c r="AK287">
        <f t="shared" si="386"/>
        <v>0</v>
      </c>
      <c r="AL287">
        <f t="shared" si="387"/>
        <v>0</v>
      </c>
      <c r="AM287">
        <f t="shared" si="388"/>
        <v>0</v>
      </c>
    </row>
    <row r="288" spans="1:39" x14ac:dyDescent="0.25">
      <c r="A288" s="2" t="s">
        <v>98</v>
      </c>
      <c r="B288" s="1" t="s">
        <v>76</v>
      </c>
      <c r="C288" s="66">
        <v>1.2999999999999999E-2</v>
      </c>
      <c r="D288" s="66">
        <v>100</v>
      </c>
      <c r="E288" s="66">
        <v>0</v>
      </c>
      <c r="F288" s="66">
        <v>99.8</v>
      </c>
      <c r="G288" s="66">
        <v>93.899999999999991</v>
      </c>
      <c r="H288" s="66">
        <v>2.06</v>
      </c>
      <c r="I288" s="66">
        <v>1.22</v>
      </c>
      <c r="J288" s="85">
        <v>70.7</v>
      </c>
      <c r="K288" s="66">
        <v>0</v>
      </c>
      <c r="L288" s="66">
        <v>0</v>
      </c>
      <c r="M288" s="66">
        <v>0</v>
      </c>
      <c r="N288" s="75">
        <v>7962</v>
      </c>
      <c r="O288" s="67">
        <f t="shared" si="389"/>
        <v>1.0350600000000001</v>
      </c>
      <c r="P288" s="67">
        <f t="shared" si="390"/>
        <v>7962</v>
      </c>
      <c r="Q288" s="67">
        <f t="shared" si="391"/>
        <v>0</v>
      </c>
      <c r="R288" s="67">
        <f t="shared" si="392"/>
        <v>7946.076</v>
      </c>
      <c r="S288" s="67">
        <f t="shared" si="393"/>
        <v>7461.3653640000002</v>
      </c>
      <c r="T288" s="67">
        <f t="shared" si="394"/>
        <v>163.6891656</v>
      </c>
      <c r="U288" s="67">
        <f t="shared" si="395"/>
        <v>1.9970078203199997</v>
      </c>
      <c r="V288" s="67">
        <f t="shared" si="396"/>
        <v>115.72824007920001</v>
      </c>
      <c r="W288" s="76">
        <f t="shared" si="397"/>
        <v>0</v>
      </c>
      <c r="X288" s="67">
        <f t="shared" si="399"/>
        <v>0</v>
      </c>
      <c r="Y288" s="67">
        <f t="shared" si="399"/>
        <v>0</v>
      </c>
      <c r="Z288" s="68" t="s">
        <v>150</v>
      </c>
      <c r="AA288" s="68">
        <f t="shared" si="377"/>
        <v>12.958915156091351</v>
      </c>
      <c r="AB288" s="84" t="s">
        <v>196</v>
      </c>
      <c r="AC288">
        <f t="shared" si="378"/>
        <v>1.3000000000000001E-2</v>
      </c>
      <c r="AD288">
        <f t="shared" si="379"/>
        <v>100</v>
      </c>
      <c r="AE288">
        <f t="shared" si="380"/>
        <v>0</v>
      </c>
      <c r="AF288">
        <f t="shared" si="381"/>
        <v>99.8</v>
      </c>
      <c r="AG288">
        <f t="shared" si="382"/>
        <v>93.712199999999996</v>
      </c>
      <c r="AH288">
        <f t="shared" si="383"/>
        <v>2.0558799999999997</v>
      </c>
      <c r="AI288">
        <f t="shared" si="384"/>
        <v>2.5081735999999993E-2</v>
      </c>
      <c r="AJ288">
        <f t="shared" si="385"/>
        <v>1.45350716</v>
      </c>
      <c r="AK288">
        <f t="shared" si="386"/>
        <v>0</v>
      </c>
      <c r="AL288">
        <f t="shared" si="387"/>
        <v>0</v>
      </c>
      <c r="AM288">
        <f t="shared" si="388"/>
        <v>0</v>
      </c>
    </row>
    <row r="289" spans="1:39" x14ac:dyDescent="0.25">
      <c r="A289" s="2" t="s">
        <v>98</v>
      </c>
      <c r="B289" s="1" t="s">
        <v>60</v>
      </c>
      <c r="C289" s="66">
        <v>8.3000000000000004E-2</v>
      </c>
      <c r="D289" s="66">
        <v>99.9</v>
      </c>
      <c r="E289" s="66">
        <v>8.3000000000000004E-2</v>
      </c>
      <c r="F289" s="66">
        <v>97.5</v>
      </c>
      <c r="G289" s="66">
        <v>74.5</v>
      </c>
      <c r="H289" s="66">
        <v>29.099999999999998</v>
      </c>
      <c r="I289" s="66">
        <v>2.34</v>
      </c>
      <c r="J289" s="85">
        <v>79.5</v>
      </c>
      <c r="K289" s="66">
        <v>0</v>
      </c>
      <c r="L289" s="66">
        <v>0</v>
      </c>
      <c r="M289" s="66">
        <v>0</v>
      </c>
      <c r="N289" s="75">
        <v>1207</v>
      </c>
      <c r="O289" s="67">
        <f t="shared" si="389"/>
        <v>1.0018100000000001</v>
      </c>
      <c r="P289" s="67">
        <f t="shared" si="390"/>
        <v>1205.7930000000001</v>
      </c>
      <c r="Q289" s="67">
        <f t="shared" si="391"/>
        <v>1.0008081900000001</v>
      </c>
      <c r="R289" s="67">
        <f t="shared" si="392"/>
        <v>1175.648175</v>
      </c>
      <c r="S289" s="67">
        <f t="shared" si="393"/>
        <v>875.85789037500001</v>
      </c>
      <c r="T289" s="67">
        <f t="shared" si="394"/>
        <v>342.11361892499997</v>
      </c>
      <c r="U289" s="67">
        <f t="shared" si="395"/>
        <v>8.0054586828449992</v>
      </c>
      <c r="V289" s="67">
        <f t="shared" si="396"/>
        <v>271.98032704537496</v>
      </c>
      <c r="W289" s="76">
        <f t="shared" si="397"/>
        <v>0</v>
      </c>
      <c r="X289" s="67">
        <f t="shared" si="399"/>
        <v>0</v>
      </c>
      <c r="Y289" s="67">
        <f t="shared" si="399"/>
        <v>0</v>
      </c>
      <c r="Z289" s="68" t="s">
        <v>150</v>
      </c>
      <c r="AA289" s="68">
        <f t="shared" si="377"/>
        <v>10.237209960755022</v>
      </c>
      <c r="AB289" s="84" t="s">
        <v>196</v>
      </c>
      <c r="AC289">
        <f t="shared" si="378"/>
        <v>8.3000000000000018E-2</v>
      </c>
      <c r="AD289">
        <f t="shared" si="379"/>
        <v>99.9</v>
      </c>
      <c r="AE289">
        <f t="shared" si="380"/>
        <v>8.2917000000000005E-2</v>
      </c>
      <c r="AF289">
        <f t="shared" si="381"/>
        <v>97.402500000000003</v>
      </c>
      <c r="AG289">
        <f t="shared" si="382"/>
        <v>72.564862500000004</v>
      </c>
      <c r="AH289">
        <f t="shared" si="383"/>
        <v>28.344127499999999</v>
      </c>
      <c r="AI289">
        <f t="shared" si="384"/>
        <v>0.66325258349999994</v>
      </c>
      <c r="AJ289">
        <f t="shared" si="385"/>
        <v>22.533581362499998</v>
      </c>
      <c r="AK289">
        <f t="shared" si="386"/>
        <v>0</v>
      </c>
      <c r="AL289">
        <f t="shared" si="387"/>
        <v>0</v>
      </c>
      <c r="AM289">
        <f t="shared" si="388"/>
        <v>0</v>
      </c>
    </row>
    <row r="290" spans="1:39" x14ac:dyDescent="0.25">
      <c r="A290" s="2" t="s">
        <v>98</v>
      </c>
      <c r="B290" s="1" t="s">
        <v>86</v>
      </c>
      <c r="C290" s="66">
        <v>0.63</v>
      </c>
      <c r="D290" s="66">
        <v>99.2</v>
      </c>
      <c r="E290" s="66">
        <v>0</v>
      </c>
      <c r="F290" s="66">
        <v>99.9</v>
      </c>
      <c r="G290" s="66">
        <v>35.199999999999996</v>
      </c>
      <c r="H290" s="66">
        <v>63.7</v>
      </c>
      <c r="I290" s="66">
        <v>60.699999999999996</v>
      </c>
      <c r="J290" s="85">
        <v>36.6</v>
      </c>
      <c r="K290" s="66">
        <v>0</v>
      </c>
      <c r="L290" s="66">
        <v>0</v>
      </c>
      <c r="M290" s="66">
        <v>0</v>
      </c>
      <c r="N290" s="75">
        <v>3350</v>
      </c>
      <c r="O290" s="67">
        <f t="shared" si="389"/>
        <v>21.105</v>
      </c>
      <c r="P290" s="67">
        <f t="shared" si="390"/>
        <v>3323.2</v>
      </c>
      <c r="Q290" s="67">
        <f t="shared" si="391"/>
        <v>0</v>
      </c>
      <c r="R290" s="67">
        <f t="shared" si="392"/>
        <v>3319.8768</v>
      </c>
      <c r="S290" s="67">
        <f t="shared" si="393"/>
        <v>1168.5966335999999</v>
      </c>
      <c r="T290" s="67">
        <f t="shared" si="394"/>
        <v>2114.7615215999999</v>
      </c>
      <c r="U290" s="67">
        <f t="shared" si="395"/>
        <v>1283.6602436111998</v>
      </c>
      <c r="V290" s="67">
        <f t="shared" si="396"/>
        <v>774.00271690559998</v>
      </c>
      <c r="W290" s="76">
        <f t="shared" si="397"/>
        <v>0</v>
      </c>
      <c r="X290" s="67">
        <f t="shared" si="399"/>
        <v>0</v>
      </c>
      <c r="Y290" s="67">
        <f t="shared" si="399"/>
        <v>0</v>
      </c>
      <c r="Z290" s="68" t="s">
        <v>150</v>
      </c>
      <c r="AA290" s="68">
        <f t="shared" si="377"/>
        <v>11.709945380232496</v>
      </c>
      <c r="AB290" s="84" t="s">
        <v>196</v>
      </c>
      <c r="AC290">
        <f t="shared" si="378"/>
        <v>0.63</v>
      </c>
      <c r="AD290">
        <f t="shared" si="379"/>
        <v>99.2</v>
      </c>
      <c r="AE290">
        <f t="shared" si="380"/>
        <v>0</v>
      </c>
      <c r="AF290">
        <f t="shared" si="381"/>
        <v>99.100800000000007</v>
      </c>
      <c r="AG290">
        <f t="shared" si="382"/>
        <v>34.883481599999996</v>
      </c>
      <c r="AH290">
        <f t="shared" si="383"/>
        <v>63.1272096</v>
      </c>
      <c r="AI290">
        <f t="shared" si="384"/>
        <v>38.31821622719999</v>
      </c>
      <c r="AJ290">
        <f t="shared" si="385"/>
        <v>23.104558713599999</v>
      </c>
      <c r="AK290">
        <f t="shared" si="386"/>
        <v>0</v>
      </c>
      <c r="AL290">
        <f t="shared" si="387"/>
        <v>0</v>
      </c>
      <c r="AM290">
        <f t="shared" si="388"/>
        <v>0</v>
      </c>
    </row>
    <row r="291" spans="1:39" x14ac:dyDescent="0.25">
      <c r="A291" s="2" t="s">
        <v>98</v>
      </c>
      <c r="B291" s="1" t="s">
        <v>62</v>
      </c>
      <c r="C291" s="66">
        <v>0</v>
      </c>
      <c r="D291" s="66">
        <v>100</v>
      </c>
      <c r="E291" s="66">
        <v>0</v>
      </c>
      <c r="F291" s="66">
        <v>99.9</v>
      </c>
      <c r="G291" s="66">
        <v>95.3</v>
      </c>
      <c r="H291" s="66">
        <v>1.8499999999999999</v>
      </c>
      <c r="I291" s="66">
        <v>0</v>
      </c>
      <c r="J291" s="85">
        <v>50</v>
      </c>
      <c r="K291" s="66">
        <v>0</v>
      </c>
      <c r="L291" s="66">
        <v>0</v>
      </c>
      <c r="M291" s="66">
        <v>0</v>
      </c>
      <c r="N291" s="75">
        <v>1835</v>
      </c>
      <c r="O291" s="67">
        <f t="shared" si="389"/>
        <v>0</v>
      </c>
      <c r="P291" s="67">
        <f t="shared" si="390"/>
        <v>1835</v>
      </c>
      <c r="Q291" s="67">
        <f t="shared" si="391"/>
        <v>0</v>
      </c>
      <c r="R291" s="67">
        <f t="shared" si="392"/>
        <v>1833.165</v>
      </c>
      <c r="S291" s="67">
        <f t="shared" si="393"/>
        <v>1747.006245</v>
      </c>
      <c r="T291" s="67">
        <f t="shared" si="394"/>
        <v>33.913552499999994</v>
      </c>
      <c r="U291" s="67">
        <f t="shared" si="395"/>
        <v>0</v>
      </c>
      <c r="V291" s="67">
        <f t="shared" si="396"/>
        <v>16.956776249999997</v>
      </c>
      <c r="W291" s="76">
        <f t="shared" si="397"/>
        <v>0</v>
      </c>
      <c r="X291" s="67">
        <f t="shared" si="399"/>
        <v>0</v>
      </c>
      <c r="Y291" s="67">
        <f t="shared" si="399"/>
        <v>0</v>
      </c>
      <c r="Z291" s="68" t="s">
        <v>150</v>
      </c>
      <c r="AA291" s="68">
        <f t="shared" si="377"/>
        <v>10.841564347730575</v>
      </c>
      <c r="AB291" s="84" t="s">
        <v>196</v>
      </c>
      <c r="AC291">
        <f t="shared" si="378"/>
        <v>0</v>
      </c>
      <c r="AD291">
        <f t="shared" si="379"/>
        <v>100</v>
      </c>
      <c r="AE291">
        <f t="shared" si="380"/>
        <v>0</v>
      </c>
      <c r="AF291">
        <f t="shared" si="381"/>
        <v>99.9</v>
      </c>
      <c r="AG291">
        <f t="shared" si="382"/>
        <v>95.204700000000003</v>
      </c>
      <c r="AH291">
        <f t="shared" si="383"/>
        <v>1.8481499999999997</v>
      </c>
      <c r="AI291">
        <f t="shared" si="384"/>
        <v>0</v>
      </c>
      <c r="AJ291">
        <f t="shared" si="385"/>
        <v>0.92407499999999987</v>
      </c>
      <c r="AK291">
        <f t="shared" si="386"/>
        <v>0</v>
      </c>
      <c r="AL291">
        <f t="shared" si="387"/>
        <v>0</v>
      </c>
      <c r="AM291">
        <f t="shared" si="388"/>
        <v>0</v>
      </c>
    </row>
    <row r="292" spans="1:39" x14ac:dyDescent="0.25">
      <c r="A292" s="2" t="s">
        <v>98</v>
      </c>
      <c r="B292" s="1" t="s">
        <v>91</v>
      </c>
      <c r="C292" s="66">
        <v>0</v>
      </c>
      <c r="D292" s="66">
        <v>100</v>
      </c>
      <c r="E292" s="66">
        <v>0</v>
      </c>
      <c r="F292" s="66">
        <v>96</v>
      </c>
      <c r="G292" s="66">
        <v>1.05</v>
      </c>
      <c r="H292" s="66">
        <v>95.8</v>
      </c>
      <c r="I292" s="66">
        <v>67</v>
      </c>
      <c r="J292" s="85">
        <v>27.500000000000004</v>
      </c>
      <c r="K292" s="66">
        <v>0</v>
      </c>
      <c r="L292" s="66">
        <v>0</v>
      </c>
      <c r="M292" s="66">
        <v>0</v>
      </c>
      <c r="N292" s="75">
        <v>99</v>
      </c>
      <c r="O292" s="67">
        <f t="shared" si="389"/>
        <v>0</v>
      </c>
      <c r="P292" s="67">
        <f t="shared" si="390"/>
        <v>99</v>
      </c>
      <c r="Q292" s="67">
        <f t="shared" si="391"/>
        <v>0</v>
      </c>
      <c r="R292" s="67">
        <f t="shared" si="392"/>
        <v>95.04</v>
      </c>
      <c r="S292" s="67">
        <f t="shared" si="393"/>
        <v>0.99792000000000014</v>
      </c>
      <c r="T292" s="67">
        <f t="shared" si="394"/>
        <v>91.048320000000004</v>
      </c>
      <c r="U292" s="67">
        <f t="shared" si="395"/>
        <v>61.002374400000001</v>
      </c>
      <c r="V292" s="67">
        <f t="shared" si="396"/>
        <v>25.038288000000001</v>
      </c>
      <c r="W292" s="76">
        <f t="shared" si="397"/>
        <v>0</v>
      </c>
      <c r="X292" s="67">
        <f t="shared" si="399"/>
        <v>0</v>
      </c>
      <c r="Y292" s="67">
        <f t="shared" si="399"/>
        <v>0</v>
      </c>
      <c r="Z292" s="68" t="s">
        <v>151</v>
      </c>
      <c r="AA292" s="68">
        <f t="shared" si="377"/>
        <v>6.6293566200796095</v>
      </c>
      <c r="AB292" s="84" t="s">
        <v>196</v>
      </c>
      <c r="AC292">
        <f t="shared" si="378"/>
        <v>0</v>
      </c>
      <c r="AD292">
        <f t="shared" si="379"/>
        <v>100</v>
      </c>
      <c r="AE292">
        <f t="shared" si="380"/>
        <v>0</v>
      </c>
      <c r="AF292">
        <f t="shared" si="381"/>
        <v>96.000000000000014</v>
      </c>
      <c r="AG292">
        <f t="shared" si="382"/>
        <v>1.0080000000000002</v>
      </c>
      <c r="AH292">
        <f t="shared" si="383"/>
        <v>91.968000000000004</v>
      </c>
      <c r="AI292">
        <f t="shared" si="384"/>
        <v>61.618560000000002</v>
      </c>
      <c r="AJ292">
        <f t="shared" si="385"/>
        <v>25.291200000000003</v>
      </c>
      <c r="AK292">
        <f t="shared" si="386"/>
        <v>0</v>
      </c>
      <c r="AL292">
        <f t="shared" si="387"/>
        <v>0</v>
      </c>
      <c r="AM292">
        <f t="shared" si="388"/>
        <v>0</v>
      </c>
    </row>
    <row r="293" spans="1:39" x14ac:dyDescent="0.25">
      <c r="A293" s="2" t="s">
        <v>98</v>
      </c>
      <c r="B293" s="1" t="s">
        <v>36</v>
      </c>
      <c r="C293" s="66">
        <v>0</v>
      </c>
      <c r="D293" s="66">
        <v>100</v>
      </c>
      <c r="E293" s="66">
        <v>0</v>
      </c>
      <c r="F293" s="66">
        <v>99</v>
      </c>
      <c r="G293" s="66">
        <v>0.26</v>
      </c>
      <c r="H293" s="66">
        <v>75.7</v>
      </c>
      <c r="I293" s="66">
        <v>99.7</v>
      </c>
      <c r="J293" s="85">
        <v>0</v>
      </c>
      <c r="K293" s="66">
        <v>0</v>
      </c>
      <c r="L293" s="66">
        <v>0</v>
      </c>
      <c r="M293" s="66">
        <v>0</v>
      </c>
      <c r="N293" s="75">
        <v>395</v>
      </c>
      <c r="O293" s="67">
        <f t="shared" si="389"/>
        <v>0</v>
      </c>
      <c r="P293" s="67">
        <f t="shared" si="390"/>
        <v>395</v>
      </c>
      <c r="Q293" s="67">
        <f t="shared" si="391"/>
        <v>0</v>
      </c>
      <c r="R293" s="67">
        <f t="shared" si="392"/>
        <v>391.05</v>
      </c>
      <c r="S293" s="67">
        <f t="shared" si="393"/>
        <v>1.0167299999999999</v>
      </c>
      <c r="T293" s="67">
        <f t="shared" si="394"/>
        <v>296.02485000000001</v>
      </c>
      <c r="U293" s="67">
        <f t="shared" si="395"/>
        <v>295.13677545000002</v>
      </c>
      <c r="V293" s="67">
        <f t="shared" si="396"/>
        <v>0</v>
      </c>
      <c r="W293" s="76">
        <f t="shared" si="397"/>
        <v>0</v>
      </c>
      <c r="X293" s="67">
        <f t="shared" si="399"/>
        <v>0</v>
      </c>
      <c r="Y293" s="67">
        <f t="shared" si="399"/>
        <v>0</v>
      </c>
      <c r="Z293" s="68" t="s">
        <v>150</v>
      </c>
      <c r="AA293" s="68">
        <f t="shared" si="377"/>
        <v>8.6257088430644657</v>
      </c>
      <c r="AB293" s="84" t="s">
        <v>196</v>
      </c>
      <c r="AC293">
        <f t="shared" si="378"/>
        <v>0</v>
      </c>
      <c r="AD293">
        <f t="shared" si="379"/>
        <v>100</v>
      </c>
      <c r="AE293">
        <f t="shared" si="380"/>
        <v>0</v>
      </c>
      <c r="AF293">
        <f t="shared" si="381"/>
        <v>99</v>
      </c>
      <c r="AG293">
        <f t="shared" si="382"/>
        <v>0.25739999999999996</v>
      </c>
      <c r="AH293">
        <f t="shared" si="383"/>
        <v>74.942999999999998</v>
      </c>
      <c r="AI293">
        <f t="shared" si="384"/>
        <v>74.718170999999998</v>
      </c>
      <c r="AJ293">
        <f t="shared" si="385"/>
        <v>0</v>
      </c>
      <c r="AK293">
        <f t="shared" si="386"/>
        <v>0</v>
      </c>
      <c r="AL293">
        <f t="shared" si="387"/>
        <v>0</v>
      </c>
      <c r="AM293">
        <f t="shared" si="388"/>
        <v>0</v>
      </c>
    </row>
    <row r="294" spans="1:39" x14ac:dyDescent="0.25">
      <c r="A294" s="2" t="s">
        <v>98</v>
      </c>
      <c r="B294" s="1" t="s">
        <v>63</v>
      </c>
      <c r="C294" s="66">
        <v>0</v>
      </c>
      <c r="D294" s="66">
        <v>100</v>
      </c>
      <c r="E294" s="66">
        <v>0</v>
      </c>
      <c r="F294" s="66">
        <v>99.3</v>
      </c>
      <c r="G294" s="66">
        <v>1.59</v>
      </c>
      <c r="H294" s="66">
        <v>82.5</v>
      </c>
      <c r="I294" s="66">
        <v>65.100000000000009</v>
      </c>
      <c r="J294" s="85">
        <v>30.599999999999998</v>
      </c>
      <c r="K294" s="66">
        <v>0</v>
      </c>
      <c r="L294" s="66">
        <v>0</v>
      </c>
      <c r="M294" s="66">
        <v>0</v>
      </c>
      <c r="N294" s="75">
        <v>570</v>
      </c>
      <c r="O294" s="67">
        <f t="shared" si="389"/>
        <v>0</v>
      </c>
      <c r="P294" s="67">
        <f t="shared" si="390"/>
        <v>570</v>
      </c>
      <c r="Q294" s="67">
        <f t="shared" si="391"/>
        <v>0</v>
      </c>
      <c r="R294" s="67">
        <f t="shared" si="392"/>
        <v>566.01</v>
      </c>
      <c r="S294" s="67">
        <f t="shared" si="393"/>
        <v>8.9995589999999996</v>
      </c>
      <c r="T294" s="67">
        <f t="shared" si="394"/>
        <v>466.95824999999996</v>
      </c>
      <c r="U294" s="67">
        <f t="shared" si="395"/>
        <v>303.98982074999998</v>
      </c>
      <c r="V294" s="67">
        <f t="shared" si="396"/>
        <v>142.88922449999998</v>
      </c>
      <c r="W294" s="76">
        <f t="shared" si="397"/>
        <v>0</v>
      </c>
      <c r="X294" s="67">
        <f t="shared" si="399"/>
        <v>0</v>
      </c>
      <c r="Y294" s="67">
        <f t="shared" si="399"/>
        <v>0</v>
      </c>
      <c r="Z294" s="68" t="s">
        <v>150</v>
      </c>
      <c r="AA294" s="68">
        <f t="shared" si="377"/>
        <v>9.1548181090521048</v>
      </c>
      <c r="AB294" s="84" t="s">
        <v>196</v>
      </c>
      <c r="AC294">
        <f t="shared" si="378"/>
        <v>0</v>
      </c>
      <c r="AD294">
        <f t="shared" si="379"/>
        <v>100</v>
      </c>
      <c r="AE294">
        <f t="shared" si="380"/>
        <v>0</v>
      </c>
      <c r="AF294">
        <f t="shared" si="381"/>
        <v>99.3</v>
      </c>
      <c r="AG294">
        <f t="shared" si="382"/>
        <v>1.57887</v>
      </c>
      <c r="AH294">
        <f t="shared" si="383"/>
        <v>81.922499999999999</v>
      </c>
      <c r="AI294">
        <f t="shared" si="384"/>
        <v>53.331547499999999</v>
      </c>
      <c r="AJ294">
        <f t="shared" si="385"/>
        <v>25.068284999999996</v>
      </c>
      <c r="AK294">
        <f t="shared" si="386"/>
        <v>0</v>
      </c>
      <c r="AL294">
        <f t="shared" si="387"/>
        <v>0</v>
      </c>
      <c r="AM294">
        <f t="shared" si="388"/>
        <v>0</v>
      </c>
    </row>
    <row r="295" spans="1:39" x14ac:dyDescent="0.25">
      <c r="A295" s="2" t="s">
        <v>98</v>
      </c>
      <c r="B295" s="1" t="s">
        <v>78</v>
      </c>
      <c r="C295" s="66">
        <v>0</v>
      </c>
      <c r="D295" s="66">
        <v>100</v>
      </c>
      <c r="E295" s="66">
        <v>0</v>
      </c>
      <c r="F295" s="66">
        <v>99.3</v>
      </c>
      <c r="G295" s="66">
        <v>0</v>
      </c>
      <c r="H295" s="66">
        <v>80.900000000000006</v>
      </c>
      <c r="I295" s="66">
        <v>100</v>
      </c>
      <c r="J295" s="85">
        <v>0</v>
      </c>
      <c r="K295" s="66">
        <v>0</v>
      </c>
      <c r="L295" s="66">
        <v>0</v>
      </c>
      <c r="M295" s="66">
        <v>0</v>
      </c>
      <c r="N295" s="75">
        <v>585</v>
      </c>
      <c r="O295" s="67">
        <f t="shared" si="389"/>
        <v>0</v>
      </c>
      <c r="P295" s="67">
        <f t="shared" si="390"/>
        <v>585</v>
      </c>
      <c r="Q295" s="67">
        <f t="shared" si="391"/>
        <v>0</v>
      </c>
      <c r="R295" s="67">
        <f t="shared" si="392"/>
        <v>580.90499999999997</v>
      </c>
      <c r="S295" s="67">
        <f t="shared" si="393"/>
        <v>0</v>
      </c>
      <c r="T295" s="67">
        <f t="shared" si="394"/>
        <v>469.95214500000003</v>
      </c>
      <c r="U295" s="67">
        <f t="shared" si="395"/>
        <v>469.95214500000003</v>
      </c>
      <c r="V295" s="67">
        <f t="shared" si="396"/>
        <v>0</v>
      </c>
      <c r="W295" s="76">
        <f t="shared" si="397"/>
        <v>0</v>
      </c>
      <c r="X295" s="67">
        <f t="shared" si="399"/>
        <v>0</v>
      </c>
      <c r="Y295" s="67">
        <f t="shared" si="399"/>
        <v>0</v>
      </c>
      <c r="Z295" s="68" t="s">
        <v>150</v>
      </c>
      <c r="AA295" s="68">
        <f t="shared" si="377"/>
        <v>9.1922928144707683</v>
      </c>
      <c r="AB295" s="84" t="s">
        <v>196</v>
      </c>
      <c r="AC295">
        <f t="shared" si="378"/>
        <v>0</v>
      </c>
      <c r="AD295">
        <f t="shared" si="379"/>
        <v>100</v>
      </c>
      <c r="AE295">
        <f t="shared" si="380"/>
        <v>0</v>
      </c>
      <c r="AF295">
        <f t="shared" si="381"/>
        <v>99.3</v>
      </c>
      <c r="AG295">
        <f t="shared" si="382"/>
        <v>0</v>
      </c>
      <c r="AH295">
        <f t="shared" si="383"/>
        <v>80.333700000000007</v>
      </c>
      <c r="AI295">
        <f t="shared" si="384"/>
        <v>80.333700000000007</v>
      </c>
      <c r="AJ295">
        <f t="shared" si="385"/>
        <v>0</v>
      </c>
      <c r="AK295">
        <f t="shared" si="386"/>
        <v>0</v>
      </c>
      <c r="AL295">
        <f t="shared" si="387"/>
        <v>0</v>
      </c>
      <c r="AM295">
        <f t="shared" si="388"/>
        <v>0</v>
      </c>
    </row>
    <row r="296" spans="1:39" x14ac:dyDescent="0.25">
      <c r="A296" s="2" t="s">
        <v>98</v>
      </c>
      <c r="B296" s="1" t="s">
        <v>64</v>
      </c>
      <c r="C296" s="66">
        <v>0.27999999999999997</v>
      </c>
      <c r="D296" s="66">
        <v>99.4</v>
      </c>
      <c r="E296" s="66">
        <v>0</v>
      </c>
      <c r="F296" s="66">
        <v>97.2</v>
      </c>
      <c r="G296" s="66">
        <v>62.4</v>
      </c>
      <c r="H296" s="66">
        <v>27.900000000000002</v>
      </c>
      <c r="I296" s="66">
        <v>0</v>
      </c>
      <c r="J296" s="85">
        <v>25.5</v>
      </c>
      <c r="K296" s="66">
        <v>0</v>
      </c>
      <c r="L296" s="66">
        <v>0</v>
      </c>
      <c r="M296" s="66">
        <v>0</v>
      </c>
      <c r="N296" s="75">
        <v>363</v>
      </c>
      <c r="O296" s="67">
        <f t="shared" si="389"/>
        <v>1.0164</v>
      </c>
      <c r="P296" s="67">
        <f t="shared" si="390"/>
        <v>360.82200000000006</v>
      </c>
      <c r="Q296" s="67">
        <f t="shared" si="391"/>
        <v>0</v>
      </c>
      <c r="R296" s="67">
        <f t="shared" si="392"/>
        <v>350.71898400000003</v>
      </c>
      <c r="S296" s="67">
        <f t="shared" si="393"/>
        <v>218.84864601600003</v>
      </c>
      <c r="T296" s="67">
        <f t="shared" si="394"/>
        <v>97.850596536000012</v>
      </c>
      <c r="U296" s="67">
        <f t="shared" si="395"/>
        <v>0</v>
      </c>
      <c r="V296" s="67">
        <f t="shared" si="396"/>
        <v>24.951902116680003</v>
      </c>
      <c r="W296" s="76">
        <f t="shared" si="397"/>
        <v>0</v>
      </c>
      <c r="X296" s="67">
        <f t="shared" si="399"/>
        <v>0</v>
      </c>
      <c r="Y296" s="67">
        <f t="shared" si="399"/>
        <v>0</v>
      </c>
      <c r="Z296" s="68" t="s">
        <v>145</v>
      </c>
      <c r="AA296" s="68">
        <f t="shared" si="377"/>
        <v>8.5038257379957507</v>
      </c>
      <c r="AB296" s="84" t="s">
        <v>196</v>
      </c>
      <c r="AC296">
        <f t="shared" si="378"/>
        <v>0.27999999999999997</v>
      </c>
      <c r="AD296">
        <f t="shared" si="379"/>
        <v>99.40000000000002</v>
      </c>
      <c r="AE296">
        <f t="shared" si="380"/>
        <v>0</v>
      </c>
      <c r="AF296">
        <f t="shared" si="381"/>
        <v>96.616800000000012</v>
      </c>
      <c r="AG296">
        <f t="shared" si="382"/>
        <v>60.288883200000008</v>
      </c>
      <c r="AH296">
        <f t="shared" si="383"/>
        <v>26.956087199999999</v>
      </c>
      <c r="AI296">
        <f t="shared" si="384"/>
        <v>0</v>
      </c>
      <c r="AJ296">
        <f t="shared" si="385"/>
        <v>6.8738022360000013</v>
      </c>
      <c r="AK296">
        <f t="shared" si="386"/>
        <v>0</v>
      </c>
      <c r="AL296">
        <f t="shared" si="387"/>
        <v>0</v>
      </c>
      <c r="AM296">
        <f t="shared" si="388"/>
        <v>0</v>
      </c>
    </row>
    <row r="297" spans="1:39" x14ac:dyDescent="0.25">
      <c r="A297" s="2" t="s">
        <v>98</v>
      </c>
      <c r="B297" s="1" t="s">
        <v>38</v>
      </c>
      <c r="C297" s="66">
        <v>0</v>
      </c>
      <c r="D297" s="66">
        <v>100</v>
      </c>
      <c r="E297" s="66">
        <v>0.03</v>
      </c>
      <c r="F297" s="66">
        <v>99.9</v>
      </c>
      <c r="G297" s="66">
        <v>1.49</v>
      </c>
      <c r="H297" s="66">
        <v>86.8</v>
      </c>
      <c r="I297" s="66">
        <v>99.4</v>
      </c>
      <c r="J297" s="85">
        <v>0.35000000000000003</v>
      </c>
      <c r="K297" s="66">
        <v>0</v>
      </c>
      <c r="L297" s="66">
        <v>0</v>
      </c>
      <c r="M297" s="66">
        <v>0</v>
      </c>
      <c r="N297" s="75">
        <v>3286</v>
      </c>
      <c r="O297" s="67">
        <f t="shared" si="389"/>
        <v>0</v>
      </c>
      <c r="P297" s="67">
        <f t="shared" si="390"/>
        <v>3286</v>
      </c>
      <c r="Q297" s="67">
        <f t="shared" si="391"/>
        <v>0.98580000000000001</v>
      </c>
      <c r="R297" s="67">
        <f t="shared" si="392"/>
        <v>3282.7140000000004</v>
      </c>
      <c r="S297" s="67">
        <f t="shared" si="393"/>
        <v>48.912438600000002</v>
      </c>
      <c r="T297" s="67">
        <f t="shared" si="394"/>
        <v>2849.3957520000004</v>
      </c>
      <c r="U297" s="67">
        <f t="shared" si="395"/>
        <v>2832.2993774880001</v>
      </c>
      <c r="V297" s="67">
        <f t="shared" si="396"/>
        <v>9.9728851320000018</v>
      </c>
      <c r="W297" s="76">
        <f t="shared" si="397"/>
        <v>0</v>
      </c>
      <c r="X297" s="67">
        <f t="shared" ref="X297:Y309" si="400">L297*W297/100</f>
        <v>0</v>
      </c>
      <c r="Y297" s="67">
        <f t="shared" si="400"/>
        <v>0</v>
      </c>
      <c r="Z297" s="68" t="s">
        <v>150</v>
      </c>
      <c r="AA297" s="68">
        <f t="shared" si="377"/>
        <v>11.682116764950074</v>
      </c>
      <c r="AB297" s="84" t="s">
        <v>196</v>
      </c>
      <c r="AC297">
        <f t="shared" si="378"/>
        <v>0</v>
      </c>
      <c r="AD297">
        <f t="shared" si="379"/>
        <v>100</v>
      </c>
      <c r="AE297">
        <f t="shared" si="380"/>
        <v>3.0000000000000002E-2</v>
      </c>
      <c r="AF297">
        <f t="shared" si="381"/>
        <v>99.9</v>
      </c>
      <c r="AG297">
        <f t="shared" si="382"/>
        <v>1.48851</v>
      </c>
      <c r="AH297">
        <f t="shared" si="383"/>
        <v>86.713200000000015</v>
      </c>
      <c r="AI297">
        <f t="shared" si="384"/>
        <v>86.19292080000001</v>
      </c>
      <c r="AJ297">
        <f t="shared" si="385"/>
        <v>0.30349620000000005</v>
      </c>
      <c r="AK297">
        <f t="shared" si="386"/>
        <v>0</v>
      </c>
      <c r="AL297">
        <f t="shared" si="387"/>
        <v>0</v>
      </c>
      <c r="AM297">
        <f t="shared" si="388"/>
        <v>0</v>
      </c>
    </row>
    <row r="298" spans="1:39" x14ac:dyDescent="0.25">
      <c r="A298" s="2" t="s">
        <v>98</v>
      </c>
      <c r="B298" s="1" t="s">
        <v>39</v>
      </c>
      <c r="C298" s="66">
        <v>0</v>
      </c>
      <c r="D298" s="66">
        <v>100</v>
      </c>
      <c r="E298" s="66">
        <v>1.27</v>
      </c>
      <c r="F298" s="66">
        <v>88.6</v>
      </c>
      <c r="G298" s="66">
        <v>2.86</v>
      </c>
      <c r="H298" s="66">
        <v>72.899999999999991</v>
      </c>
      <c r="I298" s="66">
        <v>100</v>
      </c>
      <c r="J298" s="85">
        <v>0</v>
      </c>
      <c r="K298" s="66">
        <v>0</v>
      </c>
      <c r="L298" s="66">
        <v>0</v>
      </c>
      <c r="M298" s="66">
        <v>0</v>
      </c>
      <c r="N298" s="75">
        <v>79</v>
      </c>
      <c r="O298" s="67">
        <f t="shared" si="389"/>
        <v>0</v>
      </c>
      <c r="P298" s="67">
        <f t="shared" si="390"/>
        <v>79</v>
      </c>
      <c r="Q298" s="67">
        <f t="shared" si="391"/>
        <v>1.0033000000000001</v>
      </c>
      <c r="R298" s="67">
        <f t="shared" si="392"/>
        <v>69.994</v>
      </c>
      <c r="S298" s="67">
        <f t="shared" si="393"/>
        <v>2.0018284</v>
      </c>
      <c r="T298" s="67">
        <f t="shared" si="394"/>
        <v>51.025625999999995</v>
      </c>
      <c r="U298" s="67">
        <f t="shared" si="395"/>
        <v>51.025625999999995</v>
      </c>
      <c r="V298" s="67">
        <f t="shared" si="396"/>
        <v>0</v>
      </c>
      <c r="W298" s="76">
        <f t="shared" si="397"/>
        <v>0</v>
      </c>
      <c r="X298" s="67">
        <f t="shared" si="400"/>
        <v>0</v>
      </c>
      <c r="Y298" s="67">
        <f t="shared" si="400"/>
        <v>0</v>
      </c>
      <c r="Z298" s="68" t="s">
        <v>151</v>
      </c>
      <c r="AA298" s="68">
        <f t="shared" si="377"/>
        <v>6.3037807481771031</v>
      </c>
      <c r="AB298" s="84" t="s">
        <v>196</v>
      </c>
      <c r="AC298">
        <f t="shared" si="378"/>
        <v>0</v>
      </c>
      <c r="AD298">
        <f t="shared" si="379"/>
        <v>100</v>
      </c>
      <c r="AE298">
        <f t="shared" si="380"/>
        <v>1.27</v>
      </c>
      <c r="AF298">
        <f t="shared" si="381"/>
        <v>88.6</v>
      </c>
      <c r="AG298">
        <f t="shared" si="382"/>
        <v>2.53396</v>
      </c>
      <c r="AH298">
        <f t="shared" si="383"/>
        <v>64.589399999999998</v>
      </c>
      <c r="AI298">
        <f t="shared" si="384"/>
        <v>64.589399999999998</v>
      </c>
      <c r="AJ298">
        <f t="shared" si="385"/>
        <v>0</v>
      </c>
      <c r="AK298">
        <f t="shared" si="386"/>
        <v>0</v>
      </c>
      <c r="AL298">
        <f t="shared" si="387"/>
        <v>0</v>
      </c>
      <c r="AM298">
        <f t="shared" si="388"/>
        <v>0</v>
      </c>
    </row>
    <row r="299" spans="1:39" x14ac:dyDescent="0.25">
      <c r="A299" s="2" t="s">
        <v>98</v>
      </c>
      <c r="B299" s="1" t="s">
        <v>87</v>
      </c>
      <c r="C299" s="66">
        <v>0</v>
      </c>
      <c r="D299" s="66">
        <v>100</v>
      </c>
      <c r="E299" s="66">
        <v>0</v>
      </c>
      <c r="F299" s="66">
        <v>97.399999999999991</v>
      </c>
      <c r="G299" s="66">
        <v>0.76</v>
      </c>
      <c r="H299" s="66">
        <v>96.2</v>
      </c>
      <c r="I299" s="66">
        <v>99.6</v>
      </c>
      <c r="J299" s="85">
        <v>0</v>
      </c>
      <c r="K299" s="66">
        <v>0</v>
      </c>
      <c r="L299" s="66">
        <v>0</v>
      </c>
      <c r="M299" s="66">
        <v>0</v>
      </c>
      <c r="N299" s="75">
        <v>269</v>
      </c>
      <c r="O299" s="67">
        <f t="shared" si="389"/>
        <v>0</v>
      </c>
      <c r="P299" s="67">
        <f t="shared" si="390"/>
        <v>269</v>
      </c>
      <c r="Q299" s="67">
        <f t="shared" si="391"/>
        <v>0</v>
      </c>
      <c r="R299" s="67">
        <f t="shared" si="392"/>
        <v>262.00599999999997</v>
      </c>
      <c r="S299" s="67">
        <f t="shared" si="393"/>
        <v>1.9912455999999998</v>
      </c>
      <c r="T299" s="67">
        <f t="shared" si="394"/>
        <v>252.04977199999996</v>
      </c>
      <c r="U299" s="67">
        <f t="shared" si="395"/>
        <v>251.04157291199994</v>
      </c>
      <c r="V299" s="67">
        <f t="shared" si="396"/>
        <v>0</v>
      </c>
      <c r="W299" s="76">
        <f t="shared" si="397"/>
        <v>0</v>
      </c>
      <c r="X299" s="67">
        <f t="shared" si="400"/>
        <v>0</v>
      </c>
      <c r="Y299" s="67">
        <f t="shared" si="400"/>
        <v>0</v>
      </c>
      <c r="Z299" s="68" t="s">
        <v>145</v>
      </c>
      <c r="AA299" s="68">
        <f t="shared" si="377"/>
        <v>8.0714623625566251</v>
      </c>
      <c r="AB299" s="84" t="s">
        <v>196</v>
      </c>
      <c r="AC299">
        <f t="shared" si="378"/>
        <v>0</v>
      </c>
      <c r="AD299">
        <f t="shared" si="379"/>
        <v>100</v>
      </c>
      <c r="AE299">
        <f t="shared" si="380"/>
        <v>0</v>
      </c>
      <c r="AF299">
        <f t="shared" si="381"/>
        <v>97.399999999999991</v>
      </c>
      <c r="AG299">
        <f t="shared" si="382"/>
        <v>0.7402399999999999</v>
      </c>
      <c r="AH299">
        <f t="shared" si="383"/>
        <v>93.698799999999977</v>
      </c>
      <c r="AI299">
        <f t="shared" si="384"/>
        <v>93.324004799999969</v>
      </c>
      <c r="AJ299">
        <f t="shared" si="385"/>
        <v>0</v>
      </c>
      <c r="AK299">
        <f t="shared" si="386"/>
        <v>0</v>
      </c>
      <c r="AL299">
        <f t="shared" si="387"/>
        <v>0</v>
      </c>
      <c r="AM299">
        <f t="shared" si="388"/>
        <v>0</v>
      </c>
    </row>
    <row r="300" spans="1:39" x14ac:dyDescent="0.25">
      <c r="A300" s="2" t="s">
        <v>98</v>
      </c>
      <c r="B300" s="1" t="s">
        <v>65</v>
      </c>
      <c r="C300" s="66">
        <v>0</v>
      </c>
      <c r="D300" s="66">
        <v>100</v>
      </c>
      <c r="E300" s="66">
        <v>0</v>
      </c>
      <c r="F300" s="66">
        <v>98.8</v>
      </c>
      <c r="G300" s="66">
        <v>0</v>
      </c>
      <c r="H300" s="66">
        <v>79.2</v>
      </c>
      <c r="I300" s="66">
        <v>99.3</v>
      </c>
      <c r="J300" s="85">
        <v>0.25</v>
      </c>
      <c r="K300" s="66">
        <v>0</v>
      </c>
      <c r="L300" s="66">
        <v>0</v>
      </c>
      <c r="M300" s="66">
        <v>0</v>
      </c>
      <c r="N300" s="75">
        <v>515</v>
      </c>
      <c r="O300" s="67">
        <f t="shared" si="389"/>
        <v>0</v>
      </c>
      <c r="P300" s="67">
        <f t="shared" si="390"/>
        <v>515</v>
      </c>
      <c r="Q300" s="67">
        <f t="shared" si="391"/>
        <v>0</v>
      </c>
      <c r="R300" s="67">
        <f t="shared" si="392"/>
        <v>508.82</v>
      </c>
      <c r="S300" s="67">
        <f t="shared" si="393"/>
        <v>0</v>
      </c>
      <c r="T300" s="67">
        <f t="shared" si="394"/>
        <v>402.98544000000004</v>
      </c>
      <c r="U300" s="67">
        <f t="shared" si="395"/>
        <v>400.16454192000003</v>
      </c>
      <c r="V300" s="67">
        <f t="shared" si="396"/>
        <v>1.0074636000000001</v>
      </c>
      <c r="W300" s="76">
        <f t="shared" si="397"/>
        <v>0</v>
      </c>
      <c r="X300" s="67">
        <f t="shared" si="400"/>
        <v>0</v>
      </c>
      <c r="Y300" s="67">
        <f t="shared" si="400"/>
        <v>0</v>
      </c>
      <c r="Z300" s="68" t="s">
        <v>145</v>
      </c>
      <c r="AA300" s="68">
        <f t="shared" si="377"/>
        <v>9.008428622070582</v>
      </c>
      <c r="AB300" s="84" t="s">
        <v>196</v>
      </c>
      <c r="AC300">
        <f t="shared" si="378"/>
        <v>0</v>
      </c>
      <c r="AD300">
        <f t="shared" si="379"/>
        <v>100</v>
      </c>
      <c r="AE300">
        <f t="shared" si="380"/>
        <v>0</v>
      </c>
      <c r="AF300">
        <f t="shared" si="381"/>
        <v>98.8</v>
      </c>
      <c r="AG300">
        <f t="shared" si="382"/>
        <v>0</v>
      </c>
      <c r="AH300">
        <f t="shared" si="383"/>
        <v>78.249600000000015</v>
      </c>
      <c r="AI300">
        <f t="shared" si="384"/>
        <v>77.701852799999998</v>
      </c>
      <c r="AJ300">
        <f t="shared" si="385"/>
        <v>0.19562400000000002</v>
      </c>
      <c r="AK300">
        <f t="shared" si="386"/>
        <v>0</v>
      </c>
      <c r="AL300">
        <f t="shared" si="387"/>
        <v>0</v>
      </c>
      <c r="AM300">
        <f t="shared" si="388"/>
        <v>0</v>
      </c>
    </row>
    <row r="301" spans="1:39" x14ac:dyDescent="0.25">
      <c r="A301" s="2" t="s">
        <v>98</v>
      </c>
      <c r="B301" s="1" t="s">
        <v>79</v>
      </c>
      <c r="C301" s="66">
        <v>0</v>
      </c>
      <c r="D301" s="66">
        <v>100</v>
      </c>
      <c r="E301" s="66">
        <v>0</v>
      </c>
      <c r="F301" s="66">
        <v>92.9</v>
      </c>
      <c r="G301" s="66">
        <v>0</v>
      </c>
      <c r="H301" s="66">
        <v>75</v>
      </c>
      <c r="I301" s="66">
        <v>97.399999999999991</v>
      </c>
      <c r="J301" s="85">
        <v>0</v>
      </c>
      <c r="K301" s="66">
        <v>0</v>
      </c>
      <c r="L301" s="66">
        <v>0</v>
      </c>
      <c r="M301" s="66">
        <v>0</v>
      </c>
      <c r="N301" s="75">
        <v>56</v>
      </c>
      <c r="O301" s="67">
        <f t="shared" si="389"/>
        <v>0</v>
      </c>
      <c r="P301" s="67">
        <f t="shared" si="390"/>
        <v>56</v>
      </c>
      <c r="Q301" s="67">
        <f t="shared" si="391"/>
        <v>0</v>
      </c>
      <c r="R301" s="67">
        <f t="shared" si="392"/>
        <v>52.024000000000008</v>
      </c>
      <c r="S301" s="67">
        <f t="shared" si="393"/>
        <v>0</v>
      </c>
      <c r="T301" s="67">
        <f t="shared" si="394"/>
        <v>39.018000000000008</v>
      </c>
      <c r="U301" s="67">
        <f t="shared" si="395"/>
        <v>38.003532000000007</v>
      </c>
      <c r="V301" s="67">
        <f t="shared" si="396"/>
        <v>0</v>
      </c>
      <c r="W301" s="76">
        <f t="shared" si="397"/>
        <v>0</v>
      </c>
      <c r="X301" s="67">
        <f t="shared" si="400"/>
        <v>0</v>
      </c>
      <c r="Y301" s="67">
        <f t="shared" si="400"/>
        <v>0</v>
      </c>
      <c r="Z301" s="68" t="s">
        <v>151</v>
      </c>
      <c r="AA301" s="68">
        <f t="shared" si="377"/>
        <v>5.8073549220576046</v>
      </c>
      <c r="AB301" s="84" t="s">
        <v>196</v>
      </c>
      <c r="AC301">
        <f t="shared" si="378"/>
        <v>0</v>
      </c>
      <c r="AD301">
        <f t="shared" si="379"/>
        <v>100</v>
      </c>
      <c r="AE301">
        <f t="shared" si="380"/>
        <v>0</v>
      </c>
      <c r="AF301">
        <f t="shared" si="381"/>
        <v>92.90000000000002</v>
      </c>
      <c r="AG301">
        <f t="shared" si="382"/>
        <v>0</v>
      </c>
      <c r="AH301">
        <f t="shared" si="383"/>
        <v>69.675000000000011</v>
      </c>
      <c r="AI301">
        <f t="shared" si="384"/>
        <v>67.863450000000014</v>
      </c>
      <c r="AJ301">
        <f t="shared" si="385"/>
        <v>0</v>
      </c>
      <c r="AK301">
        <f t="shared" si="386"/>
        <v>0</v>
      </c>
      <c r="AL301">
        <f t="shared" si="387"/>
        <v>0</v>
      </c>
      <c r="AM301">
        <f t="shared" si="388"/>
        <v>0</v>
      </c>
    </row>
    <row r="302" spans="1:39" x14ac:dyDescent="0.25">
      <c r="A302" s="2" t="s">
        <v>98</v>
      </c>
      <c r="B302" s="1" t="s">
        <v>66</v>
      </c>
      <c r="C302" s="66">
        <v>5.5E-2</v>
      </c>
      <c r="D302" s="66">
        <v>99.9</v>
      </c>
      <c r="E302" s="66">
        <v>1.8000000000000002E-2</v>
      </c>
      <c r="F302" s="66">
        <v>99.8</v>
      </c>
      <c r="G302" s="66">
        <v>44.4</v>
      </c>
      <c r="H302" s="66">
        <v>40</v>
      </c>
      <c r="I302" s="66">
        <v>54.1</v>
      </c>
      <c r="J302" s="85">
        <v>39.900000000000006</v>
      </c>
      <c r="K302" s="66">
        <v>0</v>
      </c>
      <c r="L302" s="66">
        <v>0</v>
      </c>
      <c r="M302" s="66">
        <v>0</v>
      </c>
      <c r="N302" s="75">
        <v>5453</v>
      </c>
      <c r="O302" s="67">
        <f t="shared" si="389"/>
        <v>2.9991500000000002</v>
      </c>
      <c r="P302" s="67">
        <f t="shared" si="390"/>
        <v>5447.5470000000005</v>
      </c>
      <c r="Q302" s="67">
        <f t="shared" si="391"/>
        <v>0.98055846000000013</v>
      </c>
      <c r="R302" s="67">
        <f t="shared" si="392"/>
        <v>5436.651906000001</v>
      </c>
      <c r="S302" s="67">
        <f t="shared" si="393"/>
        <v>2413.8734462640004</v>
      </c>
      <c r="T302" s="67">
        <f t="shared" si="394"/>
        <v>2174.6607624000003</v>
      </c>
      <c r="U302" s="67">
        <f t="shared" si="395"/>
        <v>1176.4914724584003</v>
      </c>
      <c r="V302" s="67">
        <f t="shared" si="396"/>
        <v>867.68964419760027</v>
      </c>
      <c r="W302" s="76">
        <f t="shared" si="397"/>
        <v>0</v>
      </c>
      <c r="X302" s="67">
        <f t="shared" si="400"/>
        <v>0</v>
      </c>
      <c r="Y302" s="67">
        <f t="shared" si="400"/>
        <v>0</v>
      </c>
      <c r="Z302" s="68" t="s">
        <v>150</v>
      </c>
      <c r="AA302" s="68">
        <f t="shared" si="377"/>
        <v>12.412834440119273</v>
      </c>
      <c r="AB302" s="84" t="s">
        <v>196</v>
      </c>
      <c r="AC302">
        <f t="shared" si="378"/>
        <v>5.5E-2</v>
      </c>
      <c r="AD302">
        <f t="shared" si="379"/>
        <v>99.9</v>
      </c>
      <c r="AE302">
        <f t="shared" si="380"/>
        <v>1.7982000000000001E-2</v>
      </c>
      <c r="AF302">
        <f t="shared" si="381"/>
        <v>99.700200000000024</v>
      </c>
      <c r="AG302">
        <f t="shared" si="382"/>
        <v>44.266888800000011</v>
      </c>
      <c r="AH302">
        <f t="shared" si="383"/>
        <v>39.880080000000007</v>
      </c>
      <c r="AI302">
        <f t="shared" si="384"/>
        <v>21.575123280000007</v>
      </c>
      <c r="AJ302">
        <f t="shared" si="385"/>
        <v>15.912151920000007</v>
      </c>
      <c r="AK302">
        <f t="shared" si="386"/>
        <v>0</v>
      </c>
      <c r="AL302">
        <f t="shared" si="387"/>
        <v>0</v>
      </c>
      <c r="AM302">
        <f t="shared" si="388"/>
        <v>0</v>
      </c>
    </row>
    <row r="303" spans="1:39" x14ac:dyDescent="0.25">
      <c r="A303" s="2" t="s">
        <v>98</v>
      </c>
      <c r="B303" s="1" t="s">
        <v>92</v>
      </c>
      <c r="C303" s="66">
        <v>0</v>
      </c>
      <c r="D303" s="66">
        <v>100</v>
      </c>
      <c r="E303" s="66">
        <v>0.2</v>
      </c>
      <c r="F303" s="66">
        <v>99.2</v>
      </c>
      <c r="G303" s="66">
        <v>0.82000000000000006</v>
      </c>
      <c r="H303" s="66">
        <v>87.7</v>
      </c>
      <c r="I303" s="66">
        <v>96</v>
      </c>
      <c r="J303" s="85">
        <v>2.8000000000000003</v>
      </c>
      <c r="K303" s="66">
        <v>0</v>
      </c>
      <c r="L303" s="66">
        <v>0</v>
      </c>
      <c r="M303" s="66">
        <v>0</v>
      </c>
      <c r="N303" s="75">
        <v>493</v>
      </c>
      <c r="O303" s="67">
        <f t="shared" si="389"/>
        <v>0</v>
      </c>
      <c r="P303" s="67">
        <f t="shared" si="390"/>
        <v>493</v>
      </c>
      <c r="Q303" s="67">
        <f t="shared" si="391"/>
        <v>0.9860000000000001</v>
      </c>
      <c r="R303" s="67">
        <f t="shared" si="392"/>
        <v>489.05599999999998</v>
      </c>
      <c r="S303" s="67">
        <f t="shared" si="393"/>
        <v>4.0102592000000001</v>
      </c>
      <c r="T303" s="67">
        <f t="shared" si="394"/>
        <v>428.90211199999999</v>
      </c>
      <c r="U303" s="67">
        <f t="shared" si="395"/>
        <v>411.74602751999998</v>
      </c>
      <c r="V303" s="67">
        <f t="shared" si="396"/>
        <v>12.009259136000001</v>
      </c>
      <c r="W303" s="76">
        <f t="shared" si="397"/>
        <v>0</v>
      </c>
      <c r="X303" s="67">
        <f t="shared" si="400"/>
        <v>0</v>
      </c>
      <c r="Y303" s="67">
        <f t="shared" si="400"/>
        <v>0</v>
      </c>
      <c r="Z303" s="68" t="s">
        <v>145</v>
      </c>
      <c r="AA303" s="68">
        <f t="shared" si="377"/>
        <v>8.9454438363779119</v>
      </c>
      <c r="AB303" s="84" t="s">
        <v>196</v>
      </c>
      <c r="AC303">
        <f t="shared" si="378"/>
        <v>0</v>
      </c>
      <c r="AD303">
        <f t="shared" si="379"/>
        <v>100</v>
      </c>
      <c r="AE303">
        <f t="shared" si="380"/>
        <v>0.2</v>
      </c>
      <c r="AF303">
        <f t="shared" si="381"/>
        <v>99.2</v>
      </c>
      <c r="AG303">
        <f t="shared" si="382"/>
        <v>0.81343999999999994</v>
      </c>
      <c r="AH303">
        <f t="shared" si="383"/>
        <v>86.998400000000004</v>
      </c>
      <c r="AI303">
        <f t="shared" si="384"/>
        <v>83.518463999999994</v>
      </c>
      <c r="AJ303">
        <f t="shared" si="385"/>
        <v>2.4359552000000004</v>
      </c>
      <c r="AK303">
        <f t="shared" si="386"/>
        <v>0</v>
      </c>
      <c r="AL303">
        <f t="shared" si="387"/>
        <v>0</v>
      </c>
      <c r="AM303">
        <f t="shared" si="388"/>
        <v>0</v>
      </c>
    </row>
    <row r="304" spans="1:39" x14ac:dyDescent="0.25">
      <c r="A304" s="2" t="s">
        <v>98</v>
      </c>
      <c r="B304" s="1" t="s">
        <v>68</v>
      </c>
      <c r="C304" s="66">
        <v>3.4999999999999996E-2</v>
      </c>
      <c r="D304" s="66">
        <v>99.9</v>
      </c>
      <c r="E304" s="66">
        <v>4.3400000000000001E-3</v>
      </c>
      <c r="F304" s="66">
        <v>100</v>
      </c>
      <c r="G304" s="66">
        <v>62.2</v>
      </c>
      <c r="H304" s="66">
        <v>35.4</v>
      </c>
      <c r="I304" s="66">
        <v>5.63</v>
      </c>
      <c r="J304" s="85">
        <v>92.600000000000009</v>
      </c>
      <c r="K304" s="66">
        <v>0</v>
      </c>
      <c r="L304" s="66">
        <v>0</v>
      </c>
      <c r="M304" s="66">
        <v>0</v>
      </c>
      <c r="N304" s="75">
        <v>23055</v>
      </c>
      <c r="O304" s="67">
        <f t="shared" si="389"/>
        <v>8.0692500000000003</v>
      </c>
      <c r="P304" s="67">
        <f t="shared" si="390"/>
        <v>23031.945</v>
      </c>
      <c r="Q304" s="67">
        <f t="shared" si="391"/>
        <v>0.99958641299999995</v>
      </c>
      <c r="R304" s="67">
        <f t="shared" si="392"/>
        <v>23031.945</v>
      </c>
      <c r="S304" s="67">
        <f t="shared" si="393"/>
        <v>14325.869790000001</v>
      </c>
      <c r="T304" s="67">
        <f t="shared" si="394"/>
        <v>8153.3085300000002</v>
      </c>
      <c r="U304" s="67">
        <f t="shared" si="395"/>
        <v>459.03127023899998</v>
      </c>
      <c r="V304" s="67">
        <f t="shared" si="396"/>
        <v>7549.9636987800013</v>
      </c>
      <c r="W304" s="76">
        <f t="shared" si="397"/>
        <v>0</v>
      </c>
      <c r="X304" s="67">
        <f t="shared" si="400"/>
        <v>0</v>
      </c>
      <c r="Y304" s="67">
        <f t="shared" si="400"/>
        <v>0</v>
      </c>
      <c r="Z304" s="68" t="s">
        <v>152</v>
      </c>
      <c r="AA304" s="68">
        <f t="shared" si="377"/>
        <v>14.492792045299289</v>
      </c>
      <c r="AB304" s="84" t="s">
        <v>196</v>
      </c>
      <c r="AC304">
        <f t="shared" si="378"/>
        <v>3.4999999999999996E-2</v>
      </c>
      <c r="AD304">
        <f t="shared" si="379"/>
        <v>99.9</v>
      </c>
      <c r="AE304">
        <f t="shared" si="380"/>
        <v>4.3356599999999999E-3</v>
      </c>
      <c r="AF304">
        <f t="shared" si="381"/>
        <v>99.9</v>
      </c>
      <c r="AG304">
        <f t="shared" si="382"/>
        <v>62.137799999999999</v>
      </c>
      <c r="AH304">
        <f t="shared" si="383"/>
        <v>35.364600000000003</v>
      </c>
      <c r="AI304">
        <f t="shared" si="384"/>
        <v>1.9910269799999998</v>
      </c>
      <c r="AJ304">
        <f t="shared" si="385"/>
        <v>32.747619600000007</v>
      </c>
      <c r="AK304">
        <f t="shared" si="386"/>
        <v>0</v>
      </c>
      <c r="AL304">
        <f t="shared" si="387"/>
        <v>0</v>
      </c>
      <c r="AM304">
        <f t="shared" si="388"/>
        <v>0</v>
      </c>
    </row>
    <row r="305" spans="1:39" x14ac:dyDescent="0.25">
      <c r="A305" s="2" t="s">
        <v>98</v>
      </c>
      <c r="B305" s="1" t="s">
        <v>40</v>
      </c>
      <c r="C305" s="66">
        <v>0</v>
      </c>
      <c r="D305" s="66">
        <v>100</v>
      </c>
      <c r="E305" s="66">
        <v>0</v>
      </c>
      <c r="F305" s="66">
        <v>99.6</v>
      </c>
      <c r="G305" s="66">
        <v>94.6</v>
      </c>
      <c r="H305" s="66">
        <v>1.34</v>
      </c>
      <c r="I305" s="66">
        <v>0</v>
      </c>
      <c r="J305" s="85">
        <v>41.4</v>
      </c>
      <c r="K305" s="66">
        <v>0</v>
      </c>
      <c r="L305" s="66">
        <v>0</v>
      </c>
      <c r="M305" s="66">
        <v>0</v>
      </c>
      <c r="N305" s="75">
        <v>2169</v>
      </c>
      <c r="O305" s="67">
        <f t="shared" si="389"/>
        <v>0</v>
      </c>
      <c r="P305" s="67">
        <f t="shared" si="390"/>
        <v>2169</v>
      </c>
      <c r="Q305" s="67">
        <f t="shared" si="391"/>
        <v>0</v>
      </c>
      <c r="R305" s="67">
        <f t="shared" si="392"/>
        <v>2160.3240000000001</v>
      </c>
      <c r="S305" s="67">
        <f t="shared" si="393"/>
        <v>2043.6665039999998</v>
      </c>
      <c r="T305" s="67">
        <f t="shared" si="394"/>
        <v>28.948341600000003</v>
      </c>
      <c r="U305" s="67">
        <f t="shared" si="395"/>
        <v>0</v>
      </c>
      <c r="V305" s="67">
        <f t="shared" si="396"/>
        <v>11.984613422400001</v>
      </c>
      <c r="W305" s="76">
        <f t="shared" si="397"/>
        <v>0</v>
      </c>
      <c r="X305" s="67">
        <f t="shared" si="400"/>
        <v>0</v>
      </c>
      <c r="Y305" s="67">
        <f t="shared" si="400"/>
        <v>0</v>
      </c>
      <c r="Z305" s="68" t="s">
        <v>150</v>
      </c>
      <c r="AA305" s="68">
        <f t="shared" si="377"/>
        <v>11.082814337672275</v>
      </c>
      <c r="AB305" s="84" t="s">
        <v>196</v>
      </c>
      <c r="AC305">
        <f t="shared" si="378"/>
        <v>0</v>
      </c>
      <c r="AD305">
        <f t="shared" si="379"/>
        <v>100</v>
      </c>
      <c r="AE305">
        <f t="shared" si="380"/>
        <v>0</v>
      </c>
      <c r="AF305">
        <f t="shared" si="381"/>
        <v>99.6</v>
      </c>
      <c r="AG305">
        <f t="shared" si="382"/>
        <v>94.221599999999995</v>
      </c>
      <c r="AH305">
        <f t="shared" si="383"/>
        <v>1.33464</v>
      </c>
      <c r="AI305">
        <f t="shared" si="384"/>
        <v>0</v>
      </c>
      <c r="AJ305">
        <f t="shared" si="385"/>
        <v>0.55254096000000008</v>
      </c>
      <c r="AK305">
        <f t="shared" si="386"/>
        <v>0</v>
      </c>
      <c r="AL305">
        <f t="shared" si="387"/>
        <v>0</v>
      </c>
      <c r="AM305">
        <f t="shared" si="388"/>
        <v>0</v>
      </c>
    </row>
    <row r="306" spans="1:39" x14ac:dyDescent="0.25">
      <c r="A306" s="2" t="s">
        <v>98</v>
      </c>
      <c r="B306" s="1" t="s">
        <v>69</v>
      </c>
      <c r="C306" s="66">
        <v>0</v>
      </c>
      <c r="D306" s="66">
        <v>100</v>
      </c>
      <c r="E306" s="66">
        <v>0</v>
      </c>
      <c r="F306" s="66">
        <v>99.5</v>
      </c>
      <c r="G306" s="66">
        <v>1.0900000000000001</v>
      </c>
      <c r="H306" s="66">
        <v>83.399999999999991</v>
      </c>
      <c r="I306" s="66">
        <v>94.5</v>
      </c>
      <c r="J306" s="85">
        <v>3.91</v>
      </c>
      <c r="K306" s="66">
        <v>0</v>
      </c>
      <c r="L306" s="66">
        <v>0</v>
      </c>
      <c r="M306" s="66">
        <v>0</v>
      </c>
      <c r="N306" s="75">
        <v>925</v>
      </c>
      <c r="O306" s="67">
        <f t="shared" si="389"/>
        <v>0</v>
      </c>
      <c r="P306" s="67">
        <f t="shared" si="390"/>
        <v>925</v>
      </c>
      <c r="Q306" s="67">
        <f t="shared" si="391"/>
        <v>0</v>
      </c>
      <c r="R306" s="67">
        <f t="shared" si="392"/>
        <v>920.375</v>
      </c>
      <c r="S306" s="67">
        <f t="shared" si="393"/>
        <v>10.032087500000001</v>
      </c>
      <c r="T306" s="67">
        <f t="shared" si="394"/>
        <v>767.59274999999991</v>
      </c>
      <c r="U306" s="67">
        <f t="shared" si="395"/>
        <v>725.37514874999988</v>
      </c>
      <c r="V306" s="67">
        <f t="shared" si="396"/>
        <v>30.012876524999996</v>
      </c>
      <c r="W306" s="76">
        <f t="shared" si="397"/>
        <v>0</v>
      </c>
      <c r="X306" s="67">
        <f t="shared" si="400"/>
        <v>0</v>
      </c>
      <c r="Y306" s="67">
        <f t="shared" si="400"/>
        <v>0</v>
      </c>
      <c r="Z306" s="68" t="s">
        <v>145</v>
      </c>
      <c r="AA306" s="68">
        <f t="shared" si="377"/>
        <v>9.8533095554036745</v>
      </c>
      <c r="AB306" s="84" t="s">
        <v>196</v>
      </c>
      <c r="AC306">
        <f t="shared" si="378"/>
        <v>0</v>
      </c>
      <c r="AD306">
        <f t="shared" si="379"/>
        <v>100</v>
      </c>
      <c r="AE306">
        <f t="shared" si="380"/>
        <v>0</v>
      </c>
      <c r="AF306">
        <f t="shared" si="381"/>
        <v>99.5</v>
      </c>
      <c r="AG306">
        <f t="shared" si="382"/>
        <v>1.0845500000000001</v>
      </c>
      <c r="AH306">
        <f t="shared" si="383"/>
        <v>82.98299999999999</v>
      </c>
      <c r="AI306">
        <f t="shared" si="384"/>
        <v>78.418934999999991</v>
      </c>
      <c r="AJ306">
        <f t="shared" si="385"/>
        <v>3.2446352999999997</v>
      </c>
      <c r="AK306">
        <f t="shared" si="386"/>
        <v>0</v>
      </c>
      <c r="AL306">
        <f t="shared" si="387"/>
        <v>0</v>
      </c>
      <c r="AM306">
        <f t="shared" si="388"/>
        <v>0</v>
      </c>
    </row>
    <row r="307" spans="1:39" x14ac:dyDescent="0.25">
      <c r="A307" s="2" t="s">
        <v>98</v>
      </c>
      <c r="B307" s="1" t="s">
        <v>41</v>
      </c>
      <c r="C307" s="66">
        <v>0</v>
      </c>
      <c r="D307" s="66">
        <v>100</v>
      </c>
      <c r="E307" s="66">
        <v>0</v>
      </c>
      <c r="F307" s="66">
        <v>98.6</v>
      </c>
      <c r="G307" s="66">
        <v>1.7999999999999998</v>
      </c>
      <c r="H307" s="66">
        <v>97.5</v>
      </c>
      <c r="I307" s="66">
        <v>47.599999999999994</v>
      </c>
      <c r="J307" s="85">
        <v>45</v>
      </c>
      <c r="K307" s="66">
        <v>0</v>
      </c>
      <c r="L307" s="66">
        <v>0</v>
      </c>
      <c r="M307" s="66">
        <v>0</v>
      </c>
      <c r="N307" s="75">
        <v>282</v>
      </c>
      <c r="O307" s="67">
        <f t="shared" si="389"/>
        <v>0</v>
      </c>
      <c r="P307" s="67">
        <f t="shared" si="390"/>
        <v>282</v>
      </c>
      <c r="Q307" s="67">
        <f t="shared" si="391"/>
        <v>0</v>
      </c>
      <c r="R307" s="67">
        <f t="shared" si="392"/>
        <v>278.05199999999996</v>
      </c>
      <c r="S307" s="67">
        <f t="shared" si="393"/>
        <v>5.0049359999999989</v>
      </c>
      <c r="T307" s="67">
        <f t="shared" si="394"/>
        <v>271.10069999999996</v>
      </c>
      <c r="U307" s="67">
        <f t="shared" si="395"/>
        <v>129.04393319999997</v>
      </c>
      <c r="V307" s="67">
        <f t="shared" si="396"/>
        <v>121.99531499999998</v>
      </c>
      <c r="W307" s="76">
        <f t="shared" si="397"/>
        <v>0</v>
      </c>
      <c r="X307" s="67">
        <f t="shared" si="400"/>
        <v>0</v>
      </c>
      <c r="Y307" s="67">
        <f t="shared" si="400"/>
        <v>0</v>
      </c>
      <c r="Z307" s="68" t="s">
        <v>145</v>
      </c>
      <c r="AA307" s="68">
        <f t="shared" si="377"/>
        <v>8.1395513523987937</v>
      </c>
      <c r="AB307" s="84" t="s">
        <v>196</v>
      </c>
      <c r="AC307">
        <f t="shared" si="378"/>
        <v>0</v>
      </c>
      <c r="AD307">
        <f t="shared" si="379"/>
        <v>100</v>
      </c>
      <c r="AE307">
        <f t="shared" si="380"/>
        <v>0</v>
      </c>
      <c r="AF307">
        <f t="shared" si="381"/>
        <v>98.6</v>
      </c>
      <c r="AG307">
        <f t="shared" si="382"/>
        <v>1.7747999999999997</v>
      </c>
      <c r="AH307">
        <f t="shared" si="383"/>
        <v>96.134999999999977</v>
      </c>
      <c r="AI307">
        <f t="shared" si="384"/>
        <v>45.760259999999988</v>
      </c>
      <c r="AJ307">
        <f t="shared" si="385"/>
        <v>43.260749999999994</v>
      </c>
      <c r="AK307">
        <f t="shared" si="386"/>
        <v>0</v>
      </c>
      <c r="AL307">
        <f t="shared" si="387"/>
        <v>0</v>
      </c>
      <c r="AM307">
        <f t="shared" si="388"/>
        <v>0</v>
      </c>
    </row>
    <row r="308" spans="1:39" x14ac:dyDescent="0.25">
      <c r="A308" s="2" t="s">
        <v>98</v>
      </c>
      <c r="B308" s="1" t="s">
        <v>43</v>
      </c>
      <c r="C308" s="66">
        <v>4.5999999999999999E-2</v>
      </c>
      <c r="D308" s="66">
        <v>99.9</v>
      </c>
      <c r="E308" s="66">
        <v>4.5999999999999999E-2</v>
      </c>
      <c r="F308" s="66">
        <v>99.7</v>
      </c>
      <c r="G308" s="66">
        <v>90.7</v>
      </c>
      <c r="H308" s="66">
        <v>1.3</v>
      </c>
      <c r="I308" s="66">
        <v>0</v>
      </c>
      <c r="J308" s="85">
        <v>14.299999999999999</v>
      </c>
      <c r="K308" s="66">
        <v>0</v>
      </c>
      <c r="L308" s="66">
        <v>0</v>
      </c>
      <c r="M308" s="66">
        <v>0</v>
      </c>
      <c r="N308" s="75">
        <v>2171</v>
      </c>
      <c r="O308" s="67">
        <f t="shared" si="389"/>
        <v>0.99865999999999999</v>
      </c>
      <c r="P308" s="67">
        <f t="shared" si="390"/>
        <v>2168.8290000000002</v>
      </c>
      <c r="Q308" s="67">
        <f t="shared" si="391"/>
        <v>0.99766134000000006</v>
      </c>
      <c r="R308" s="67">
        <f t="shared" si="392"/>
        <v>2162.3225130000005</v>
      </c>
      <c r="S308" s="67">
        <f t="shared" si="393"/>
        <v>1961.2265192910004</v>
      </c>
      <c r="T308" s="67">
        <f t="shared" si="394"/>
        <v>28.110192669000007</v>
      </c>
      <c r="U308" s="67">
        <f t="shared" si="395"/>
        <v>0</v>
      </c>
      <c r="V308" s="67">
        <f t="shared" si="396"/>
        <v>4.0197575516670012</v>
      </c>
      <c r="W308" s="76">
        <f t="shared" si="397"/>
        <v>0</v>
      </c>
      <c r="X308" s="67">
        <f t="shared" si="400"/>
        <v>0</v>
      </c>
      <c r="Y308" s="67">
        <f t="shared" si="400"/>
        <v>0</v>
      </c>
      <c r="Z308" s="68" t="s">
        <v>150</v>
      </c>
      <c r="AA308" s="68">
        <f t="shared" si="377"/>
        <v>11.084144010615145</v>
      </c>
      <c r="AB308" s="84" t="s">
        <v>196</v>
      </c>
      <c r="AC308">
        <f t="shared" si="378"/>
        <v>4.5999999999999999E-2</v>
      </c>
      <c r="AD308">
        <f t="shared" si="379"/>
        <v>99.9</v>
      </c>
      <c r="AE308">
        <f t="shared" si="380"/>
        <v>4.5954000000000002E-2</v>
      </c>
      <c r="AF308">
        <f t="shared" si="381"/>
        <v>99.600300000000018</v>
      </c>
      <c r="AG308">
        <f t="shared" si="382"/>
        <v>90.337472100000014</v>
      </c>
      <c r="AH308">
        <f t="shared" si="383"/>
        <v>1.2948039000000002</v>
      </c>
      <c r="AI308">
        <f t="shared" si="384"/>
        <v>0</v>
      </c>
      <c r="AJ308">
        <f t="shared" si="385"/>
        <v>0.18515695770000004</v>
      </c>
      <c r="AK308">
        <f t="shared" si="386"/>
        <v>0</v>
      </c>
      <c r="AL308">
        <f t="shared" si="387"/>
        <v>0</v>
      </c>
      <c r="AM308">
        <f t="shared" si="388"/>
        <v>0</v>
      </c>
    </row>
    <row r="309" spans="1:39" x14ac:dyDescent="0.25">
      <c r="A309" s="2" t="s">
        <v>98</v>
      </c>
      <c r="B309" s="1" t="s">
        <v>70</v>
      </c>
      <c r="C309" s="66">
        <v>0.37</v>
      </c>
      <c r="D309" s="66">
        <v>99.6</v>
      </c>
      <c r="E309" s="66">
        <v>3.7999999999999999E-2</v>
      </c>
      <c r="F309" s="66">
        <v>99.7</v>
      </c>
      <c r="G309" s="66">
        <v>57.8</v>
      </c>
      <c r="H309" s="66">
        <v>32.4</v>
      </c>
      <c r="I309" s="66">
        <v>47.4</v>
      </c>
      <c r="J309" s="85">
        <v>44.5</v>
      </c>
      <c r="K309" s="66">
        <v>0</v>
      </c>
      <c r="L309" s="66">
        <v>0</v>
      </c>
      <c r="M309" s="66">
        <v>0</v>
      </c>
      <c r="N309" s="75">
        <v>2669</v>
      </c>
      <c r="O309" s="67">
        <f t="shared" si="389"/>
        <v>9.8752999999999993</v>
      </c>
      <c r="P309" s="67">
        <f t="shared" si="390"/>
        <v>2658.3239999999996</v>
      </c>
      <c r="Q309" s="67">
        <f t="shared" si="391"/>
        <v>1.0101631199999999</v>
      </c>
      <c r="R309" s="67">
        <f t="shared" si="392"/>
        <v>2650.3490279999996</v>
      </c>
      <c r="S309" s="67">
        <f t="shared" si="393"/>
        <v>1531.9017381839999</v>
      </c>
      <c r="T309" s="67">
        <f t="shared" si="394"/>
        <v>858.71308507199979</v>
      </c>
      <c r="U309" s="67">
        <f t="shared" si="395"/>
        <v>407.03000232412785</v>
      </c>
      <c r="V309" s="67">
        <f t="shared" si="396"/>
        <v>382.12732285703993</v>
      </c>
      <c r="W309" s="76">
        <f t="shared" si="397"/>
        <v>0</v>
      </c>
      <c r="X309" s="67">
        <f t="shared" si="400"/>
        <v>0</v>
      </c>
      <c r="Y309" s="67">
        <f t="shared" si="400"/>
        <v>0</v>
      </c>
      <c r="Z309" s="68" t="s">
        <v>150</v>
      </c>
      <c r="AA309" s="68">
        <f t="shared" si="377"/>
        <v>11.382083590141967</v>
      </c>
      <c r="AB309" s="84" t="s">
        <v>196</v>
      </c>
      <c r="AC309">
        <f t="shared" si="378"/>
        <v>0.37</v>
      </c>
      <c r="AD309">
        <f t="shared" si="379"/>
        <v>99.6</v>
      </c>
      <c r="AE309">
        <f t="shared" si="380"/>
        <v>3.7847999999999993E-2</v>
      </c>
      <c r="AF309">
        <f t="shared" si="381"/>
        <v>99.301199999999994</v>
      </c>
      <c r="AG309">
        <f t="shared" si="382"/>
        <v>57.3960936</v>
      </c>
      <c r="AH309">
        <f t="shared" si="383"/>
        <v>32.17358879999999</v>
      </c>
      <c r="AI309">
        <f t="shared" si="384"/>
        <v>15.250281091199994</v>
      </c>
      <c r="AJ309">
        <f t="shared" si="385"/>
        <v>14.317247015999998</v>
      </c>
      <c r="AK309">
        <f t="shared" si="386"/>
        <v>0</v>
      </c>
      <c r="AL309">
        <f t="shared" si="387"/>
        <v>0</v>
      </c>
      <c r="AM309">
        <f t="shared" si="388"/>
        <v>0</v>
      </c>
    </row>
    <row r="310" spans="1:39" x14ac:dyDescent="0.25">
      <c r="A310" s="2" t="s">
        <v>98</v>
      </c>
      <c r="B310" s="1" t="s">
        <v>97</v>
      </c>
      <c r="C310" s="66">
        <v>0.2</v>
      </c>
      <c r="D310" s="66">
        <v>99.7</v>
      </c>
      <c r="E310" s="66">
        <v>2.9000000000000001E-2</v>
      </c>
      <c r="F310" s="66">
        <v>99.5</v>
      </c>
      <c r="G310" s="66">
        <v>49.9</v>
      </c>
      <c r="H310" s="66">
        <v>45.7</v>
      </c>
      <c r="I310" s="66">
        <v>61.5</v>
      </c>
      <c r="J310" s="85">
        <v>33.6</v>
      </c>
      <c r="K310" s="66">
        <v>0</v>
      </c>
      <c r="L310" s="66">
        <v>0</v>
      </c>
      <c r="M310" s="66">
        <v>0</v>
      </c>
      <c r="N310" s="75">
        <v>3415</v>
      </c>
      <c r="O310" s="67">
        <f t="shared" si="389"/>
        <v>6.83</v>
      </c>
      <c r="P310" s="67">
        <f t="shared" si="390"/>
        <v>3404.7550000000001</v>
      </c>
      <c r="Q310" s="67">
        <f t="shared" si="391"/>
        <v>0.98737895000000009</v>
      </c>
      <c r="R310" s="67">
        <f t="shared" si="392"/>
        <v>3387.731225</v>
      </c>
      <c r="S310" s="67">
        <f t="shared" si="393"/>
        <v>1690.4778812749998</v>
      </c>
      <c r="T310" s="67">
        <f t="shared" si="394"/>
        <v>1548.1931698250003</v>
      </c>
      <c r="U310" s="67">
        <f t="shared" si="395"/>
        <v>952.13879944237522</v>
      </c>
      <c r="V310" s="67">
        <f t="shared" si="396"/>
        <v>520.19290506120012</v>
      </c>
      <c r="W310" s="76">
        <f t="shared" si="397"/>
        <v>0</v>
      </c>
      <c r="X310" s="67">
        <f t="shared" ref="X310:Y311" si="401">L310*W310/100</f>
        <v>0</v>
      </c>
      <c r="Y310" s="67">
        <f t="shared" si="401"/>
        <v>0</v>
      </c>
      <c r="Z310" s="68" t="s">
        <v>150</v>
      </c>
      <c r="AA310" s="68">
        <f t="shared" si="377"/>
        <v>11.737669863177453</v>
      </c>
      <c r="AB310" s="84" t="s">
        <v>196</v>
      </c>
      <c r="AC310">
        <f t="shared" si="378"/>
        <v>0.2</v>
      </c>
      <c r="AD310">
        <f t="shared" si="379"/>
        <v>99.7</v>
      </c>
      <c r="AE310">
        <f t="shared" si="380"/>
        <v>2.8913000000000001E-2</v>
      </c>
      <c r="AF310">
        <f t="shared" si="381"/>
        <v>99.201499999999996</v>
      </c>
      <c r="AG310">
        <f t="shared" si="382"/>
        <v>49.501548499999998</v>
      </c>
      <c r="AH310">
        <f t="shared" si="383"/>
        <v>45.335085500000005</v>
      </c>
      <c r="AI310">
        <f t="shared" si="384"/>
        <v>27.881077582500009</v>
      </c>
      <c r="AJ310">
        <f t="shared" si="385"/>
        <v>15.232588728000005</v>
      </c>
      <c r="AK310">
        <f t="shared" si="386"/>
        <v>0</v>
      </c>
      <c r="AL310">
        <f t="shared" si="387"/>
        <v>0</v>
      </c>
      <c r="AM310">
        <f t="shared" si="388"/>
        <v>0</v>
      </c>
    </row>
    <row r="311" spans="1:39" x14ac:dyDescent="0.25">
      <c r="A311" s="2" t="s">
        <v>98</v>
      </c>
      <c r="B311" s="1" t="s">
        <v>45</v>
      </c>
      <c r="C311" s="66">
        <v>0.13999999999999999</v>
      </c>
      <c r="D311" s="66">
        <v>99.8</v>
      </c>
      <c r="E311" s="66">
        <v>0</v>
      </c>
      <c r="F311" s="66">
        <v>99.9</v>
      </c>
      <c r="G311" s="66">
        <v>23.599999999999998</v>
      </c>
      <c r="H311" s="66">
        <v>74.3</v>
      </c>
      <c r="I311" s="66">
        <v>55.300000000000004</v>
      </c>
      <c r="J311" s="85">
        <v>41.699999999999996</v>
      </c>
      <c r="K311" s="66">
        <v>0</v>
      </c>
      <c r="L311" s="66">
        <v>0</v>
      </c>
      <c r="M311" s="66">
        <v>0</v>
      </c>
      <c r="N311" s="75">
        <v>14881</v>
      </c>
      <c r="O311" s="67">
        <f t="shared" si="389"/>
        <v>20.833399999999997</v>
      </c>
      <c r="P311" s="67">
        <f t="shared" si="390"/>
        <v>14851.238000000001</v>
      </c>
      <c r="Q311" s="67">
        <f t="shared" si="391"/>
        <v>0</v>
      </c>
      <c r="R311" s="67">
        <f t="shared" si="392"/>
        <v>14836.386762000002</v>
      </c>
      <c r="S311" s="67">
        <f t="shared" si="393"/>
        <v>3501.3872758320003</v>
      </c>
      <c r="T311" s="67">
        <f t="shared" si="394"/>
        <v>11023.435364166</v>
      </c>
      <c r="U311" s="67">
        <f t="shared" si="395"/>
        <v>6095.9597563837979</v>
      </c>
      <c r="V311" s="67">
        <f t="shared" si="396"/>
        <v>4596.7725468572216</v>
      </c>
      <c r="W311" s="76">
        <f t="shared" si="397"/>
        <v>0</v>
      </c>
      <c r="X311" s="67">
        <f t="shared" si="401"/>
        <v>0</v>
      </c>
      <c r="Y311" s="67">
        <f t="shared" si="401"/>
        <v>0</v>
      </c>
      <c r="Z311" s="68" t="s">
        <v>152</v>
      </c>
      <c r="AA311" s="68">
        <f t="shared" si="377"/>
        <v>13.86118385804952</v>
      </c>
      <c r="AB311" s="84" t="s">
        <v>196</v>
      </c>
      <c r="AC311">
        <f t="shared" si="378"/>
        <v>0.13999999999999999</v>
      </c>
      <c r="AD311">
        <f t="shared" si="379"/>
        <v>99.800000000000011</v>
      </c>
      <c r="AE311">
        <f t="shared" si="380"/>
        <v>0</v>
      </c>
      <c r="AF311">
        <f t="shared" si="381"/>
        <v>99.700200000000024</v>
      </c>
      <c r="AG311">
        <f t="shared" si="382"/>
        <v>23.529247200000004</v>
      </c>
      <c r="AH311">
        <f t="shared" si="383"/>
        <v>74.077248600000004</v>
      </c>
      <c r="AI311">
        <f t="shared" si="384"/>
        <v>40.964718475799998</v>
      </c>
      <c r="AJ311">
        <f t="shared" si="385"/>
        <v>30.890212666199997</v>
      </c>
      <c r="AK311">
        <f t="shared" si="386"/>
        <v>0</v>
      </c>
      <c r="AL311">
        <f t="shared" si="387"/>
        <v>0</v>
      </c>
      <c r="AM311">
        <f t="shared" si="388"/>
        <v>0</v>
      </c>
    </row>
    <row r="319" spans="1:39" x14ac:dyDescent="0.25">
      <c r="C319" s="66"/>
      <c r="D319" s="66"/>
      <c r="E319" s="66"/>
      <c r="F319" s="66"/>
      <c r="G319" s="66"/>
      <c r="H319" s="66"/>
      <c r="I319" s="66"/>
      <c r="J319" s="85"/>
      <c r="K319" s="66"/>
      <c r="L319" s="66"/>
      <c r="M319" s="66"/>
    </row>
    <row r="320" spans="1:39" x14ac:dyDescent="0.25">
      <c r="C320" s="66"/>
      <c r="D320" s="66"/>
      <c r="E320" s="66"/>
      <c r="F320" s="66"/>
      <c r="G320" s="66"/>
      <c r="H320" s="66"/>
      <c r="I320" s="66"/>
      <c r="J320" s="85"/>
      <c r="K320" s="66"/>
      <c r="L320" s="66"/>
      <c r="M320" s="66"/>
    </row>
    <row r="321" spans="3:13" x14ac:dyDescent="0.25">
      <c r="C321" s="66"/>
      <c r="D321" s="66"/>
      <c r="E321" s="66"/>
      <c r="F321" s="66"/>
      <c r="G321" s="66"/>
      <c r="H321" s="66"/>
      <c r="I321" s="66"/>
      <c r="J321" s="85"/>
      <c r="K321" s="66"/>
      <c r="L321" s="66"/>
      <c r="M321" s="66"/>
    </row>
    <row r="322" spans="3:13" x14ac:dyDescent="0.25">
      <c r="C322" s="66"/>
      <c r="D322" s="66"/>
      <c r="E322" s="66"/>
      <c r="F322" s="66"/>
      <c r="G322" s="66"/>
      <c r="H322" s="66"/>
      <c r="I322" s="66"/>
      <c r="J322" s="85"/>
      <c r="K322" s="66"/>
      <c r="L322" s="66"/>
      <c r="M322" s="66"/>
    </row>
    <row r="323" spans="3:13" x14ac:dyDescent="0.25">
      <c r="C323" s="66"/>
      <c r="D323" s="66"/>
      <c r="E323" s="66"/>
      <c r="F323" s="66"/>
      <c r="G323" s="66"/>
      <c r="H323" s="66"/>
      <c r="I323" s="66"/>
      <c r="J323" s="85"/>
      <c r="K323" s="66"/>
      <c r="L323" s="66"/>
      <c r="M323" s="66"/>
    </row>
    <row r="324" spans="3:13" x14ac:dyDescent="0.25">
      <c r="C324" s="66"/>
      <c r="D324" s="66"/>
      <c r="E324" s="66"/>
      <c r="F324" s="66"/>
      <c r="G324" s="66"/>
      <c r="H324" s="66"/>
      <c r="I324" s="66"/>
      <c r="J324" s="85"/>
      <c r="K324" s="66"/>
      <c r="L324" s="66"/>
      <c r="M324" s="66"/>
    </row>
    <row r="325" spans="3:13" x14ac:dyDescent="0.25">
      <c r="C325" s="66"/>
      <c r="D325" s="66"/>
      <c r="E325" s="66"/>
      <c r="F325" s="66"/>
      <c r="G325" s="66"/>
      <c r="H325" s="66"/>
      <c r="I325" s="66"/>
      <c r="J325" s="85"/>
      <c r="K325" s="66"/>
      <c r="L325" s="66"/>
      <c r="M325" s="66"/>
    </row>
    <row r="326" spans="3:13" x14ac:dyDescent="0.25">
      <c r="C326" s="66"/>
      <c r="D326" s="66"/>
      <c r="E326" s="66"/>
      <c r="F326" s="66"/>
      <c r="G326" s="66"/>
      <c r="H326" s="66"/>
      <c r="I326" s="66"/>
      <c r="J326" s="85"/>
      <c r="K326" s="66"/>
      <c r="L326" s="66"/>
      <c r="M326" s="66"/>
    </row>
    <row r="327" spans="3:13" x14ac:dyDescent="0.25">
      <c r="C327" s="66"/>
      <c r="D327" s="66"/>
      <c r="E327" s="66"/>
      <c r="F327" s="66"/>
      <c r="G327" s="66"/>
      <c r="H327" s="66"/>
      <c r="I327" s="66"/>
      <c r="J327" s="85"/>
      <c r="K327" s="66"/>
      <c r="L327" s="66"/>
      <c r="M327" s="66"/>
    </row>
    <row r="328" spans="3:13" x14ac:dyDescent="0.25">
      <c r="C328" s="66"/>
      <c r="D328" s="66"/>
      <c r="E328" s="66"/>
      <c r="F328" s="66"/>
      <c r="G328" s="66"/>
      <c r="H328" s="66"/>
      <c r="I328" s="66"/>
      <c r="J328" s="85"/>
      <c r="K328" s="66"/>
      <c r="L328" s="66"/>
      <c r="M328" s="66"/>
    </row>
    <row r="329" spans="3:13" x14ac:dyDescent="0.25">
      <c r="C329" s="66"/>
      <c r="D329" s="66"/>
      <c r="E329" s="66"/>
      <c r="F329" s="66"/>
      <c r="G329" s="66"/>
      <c r="H329" s="66"/>
      <c r="I329" s="66"/>
      <c r="J329" s="85"/>
      <c r="K329" s="66"/>
      <c r="L329" s="66"/>
      <c r="M329" s="66"/>
    </row>
    <row r="330" spans="3:13" x14ac:dyDescent="0.25">
      <c r="C330" s="66"/>
      <c r="D330" s="66"/>
      <c r="E330" s="66"/>
      <c r="F330" s="66"/>
      <c r="G330" s="66"/>
      <c r="H330" s="66"/>
      <c r="I330" s="66"/>
      <c r="J330" s="85"/>
      <c r="K330" s="66"/>
      <c r="L330" s="66"/>
      <c r="M330" s="66"/>
    </row>
    <row r="331" spans="3:13" x14ac:dyDescent="0.25">
      <c r="C331" s="66"/>
      <c r="D331" s="66"/>
      <c r="E331" s="66"/>
      <c r="F331" s="66"/>
      <c r="G331" s="66"/>
      <c r="H331" s="66"/>
      <c r="I331" s="66"/>
      <c r="J331" s="85"/>
      <c r="K331" s="66"/>
      <c r="L331" s="66"/>
      <c r="M331" s="66"/>
    </row>
    <row r="332" spans="3:13" x14ac:dyDescent="0.25">
      <c r="C332" s="66"/>
      <c r="D332" s="66"/>
      <c r="E332" s="66"/>
      <c r="F332" s="66"/>
      <c r="G332" s="66"/>
      <c r="H332" s="66"/>
      <c r="I332" s="66"/>
      <c r="J332" s="85"/>
      <c r="K332" s="66"/>
      <c r="L332" s="66"/>
      <c r="M332" s="66"/>
    </row>
    <row r="333" spans="3:13" x14ac:dyDescent="0.25">
      <c r="C333" s="66"/>
      <c r="D333" s="66"/>
      <c r="E333" s="66"/>
      <c r="F333" s="66"/>
      <c r="G333" s="66"/>
      <c r="H333" s="66"/>
      <c r="I333" s="66"/>
      <c r="J333" s="85"/>
      <c r="K333" s="66"/>
      <c r="L333" s="66"/>
      <c r="M333" s="66"/>
    </row>
    <row r="334" spans="3:13" x14ac:dyDescent="0.25">
      <c r="C334" s="66"/>
      <c r="D334" s="66"/>
      <c r="E334" s="66"/>
      <c r="F334" s="66"/>
      <c r="G334" s="66"/>
      <c r="H334" s="66"/>
      <c r="I334" s="66"/>
      <c r="J334" s="85"/>
      <c r="K334" s="66"/>
      <c r="L334" s="66"/>
      <c r="M334" s="66"/>
    </row>
    <row r="335" spans="3:13" x14ac:dyDescent="0.25">
      <c r="C335" s="66"/>
      <c r="D335" s="66"/>
      <c r="E335" s="66"/>
      <c r="F335" s="66"/>
      <c r="G335" s="66"/>
      <c r="H335" s="66"/>
      <c r="I335" s="66"/>
      <c r="J335" s="85"/>
      <c r="K335" s="66"/>
      <c r="L335" s="66"/>
      <c r="M335" s="66"/>
    </row>
    <row r="336" spans="3:13" x14ac:dyDescent="0.25">
      <c r="C336" s="66"/>
      <c r="D336" s="66"/>
      <c r="E336" s="66"/>
      <c r="F336" s="66"/>
      <c r="G336" s="66"/>
      <c r="H336" s="66"/>
      <c r="I336" s="66"/>
      <c r="J336" s="85"/>
      <c r="K336" s="66"/>
      <c r="L336" s="66"/>
      <c r="M336" s="66"/>
    </row>
    <row r="337" spans="3:13" x14ac:dyDescent="0.25">
      <c r="C337" s="66"/>
      <c r="D337" s="66"/>
      <c r="E337" s="66"/>
      <c r="F337" s="66"/>
      <c r="G337" s="66"/>
      <c r="H337" s="66"/>
      <c r="I337" s="66"/>
      <c r="J337" s="85"/>
      <c r="K337" s="66"/>
      <c r="L337" s="66"/>
      <c r="M337" s="66"/>
    </row>
    <row r="338" spans="3:13" x14ac:dyDescent="0.25">
      <c r="C338" s="66"/>
      <c r="D338" s="66"/>
      <c r="E338" s="66"/>
      <c r="F338" s="66"/>
      <c r="G338" s="66"/>
      <c r="H338" s="66"/>
      <c r="I338" s="66"/>
      <c r="J338" s="85"/>
      <c r="K338" s="66"/>
      <c r="L338" s="66"/>
      <c r="M338" s="66"/>
    </row>
    <row r="339" spans="3:13" x14ac:dyDescent="0.25">
      <c r="C339" s="66"/>
      <c r="D339" s="66"/>
      <c r="E339" s="66"/>
      <c r="F339" s="66"/>
      <c r="G339" s="66"/>
      <c r="H339" s="66"/>
      <c r="I339" s="66"/>
      <c r="J339" s="85"/>
      <c r="K339" s="66"/>
      <c r="L339" s="66"/>
      <c r="M339" s="66"/>
    </row>
    <row r="340" spans="3:13" x14ac:dyDescent="0.25">
      <c r="C340" s="66"/>
      <c r="D340" s="66"/>
      <c r="E340" s="66"/>
      <c r="F340" s="66"/>
      <c r="G340" s="66"/>
      <c r="H340" s="66"/>
      <c r="I340" s="66"/>
      <c r="J340" s="85"/>
      <c r="K340" s="66"/>
      <c r="L340" s="66"/>
      <c r="M340" s="66"/>
    </row>
    <row r="341" spans="3:13" x14ac:dyDescent="0.25">
      <c r="C341" s="66"/>
      <c r="D341" s="66"/>
      <c r="E341" s="66"/>
      <c r="F341" s="66"/>
      <c r="G341" s="66"/>
      <c r="H341" s="66"/>
      <c r="I341" s="66"/>
      <c r="J341" s="85"/>
      <c r="K341" s="66"/>
      <c r="L341" s="66"/>
      <c r="M341" s="66"/>
    </row>
    <row r="342" spans="3:13" x14ac:dyDescent="0.25">
      <c r="C342" s="66"/>
      <c r="D342" s="66"/>
      <c r="E342" s="66"/>
      <c r="F342" s="66"/>
      <c r="G342" s="66"/>
      <c r="H342" s="66"/>
      <c r="I342" s="66"/>
      <c r="J342" s="85"/>
      <c r="K342" s="66"/>
      <c r="L342" s="66"/>
      <c r="M342" s="66"/>
    </row>
    <row r="343" spans="3:13" x14ac:dyDescent="0.25">
      <c r="C343" s="66"/>
      <c r="D343" s="66"/>
      <c r="E343" s="66"/>
      <c r="F343" s="66"/>
      <c r="G343" s="66"/>
      <c r="H343" s="66"/>
      <c r="I343" s="66"/>
      <c r="J343" s="85"/>
      <c r="K343" s="66"/>
      <c r="L343" s="66"/>
      <c r="M343" s="66"/>
    </row>
    <row r="344" spans="3:13" x14ac:dyDescent="0.25">
      <c r="C344" s="66"/>
      <c r="D344" s="66"/>
      <c r="E344" s="66"/>
      <c r="F344" s="66"/>
      <c r="G344" s="66"/>
      <c r="H344" s="66"/>
      <c r="I344" s="66"/>
      <c r="J344" s="85"/>
      <c r="K344" s="66"/>
      <c r="L344" s="66"/>
      <c r="M344" s="66"/>
    </row>
    <row r="345" spans="3:13" x14ac:dyDescent="0.25">
      <c r="C345" s="66"/>
      <c r="D345" s="66"/>
      <c r="E345" s="66"/>
      <c r="F345" s="66"/>
      <c r="G345" s="66"/>
      <c r="H345" s="66"/>
      <c r="I345" s="66"/>
      <c r="J345" s="85"/>
      <c r="K345" s="66"/>
      <c r="L345" s="66"/>
      <c r="M345" s="66"/>
    </row>
    <row r="346" spans="3:13" x14ac:dyDescent="0.25">
      <c r="C346" s="66"/>
      <c r="D346" s="66"/>
      <c r="E346" s="66"/>
      <c r="F346" s="66"/>
      <c r="G346" s="66"/>
      <c r="H346" s="66"/>
      <c r="I346" s="66"/>
      <c r="J346" s="85"/>
      <c r="K346" s="66"/>
      <c r="L346" s="66"/>
      <c r="M346" s="66"/>
    </row>
    <row r="347" spans="3:13" x14ac:dyDescent="0.25">
      <c r="C347" s="66"/>
      <c r="D347" s="66"/>
      <c r="E347" s="66"/>
      <c r="F347" s="66"/>
      <c r="G347" s="66"/>
      <c r="H347" s="66"/>
      <c r="I347" s="66"/>
      <c r="J347" s="85"/>
      <c r="K347" s="66"/>
      <c r="L347" s="66"/>
      <c r="M347" s="66"/>
    </row>
    <row r="348" spans="3:13" x14ac:dyDescent="0.25">
      <c r="C348" s="66"/>
      <c r="D348" s="66"/>
      <c r="E348" s="66"/>
      <c r="F348" s="66"/>
      <c r="G348" s="66"/>
      <c r="H348" s="66"/>
      <c r="I348" s="66"/>
      <c r="J348" s="85"/>
      <c r="K348" s="66"/>
      <c r="L348" s="66"/>
      <c r="M348" s="66"/>
    </row>
    <row r="349" spans="3:13" x14ac:dyDescent="0.25">
      <c r="C349" s="66"/>
      <c r="D349" s="66"/>
      <c r="E349" s="66"/>
      <c r="F349" s="66"/>
      <c r="G349" s="66"/>
      <c r="H349" s="66"/>
      <c r="I349" s="66"/>
      <c r="J349" s="85"/>
      <c r="K349" s="66"/>
      <c r="L349" s="66"/>
      <c r="M349" s="66"/>
    </row>
    <row r="350" spans="3:13" x14ac:dyDescent="0.25">
      <c r="C350" s="66"/>
      <c r="D350" s="66"/>
      <c r="E350" s="66"/>
      <c r="F350" s="66"/>
      <c r="G350" s="66"/>
      <c r="H350" s="66"/>
      <c r="I350" s="66"/>
      <c r="J350" s="85"/>
      <c r="K350" s="66"/>
      <c r="L350" s="66"/>
      <c r="M350" s="66"/>
    </row>
    <row r="351" spans="3:13" x14ac:dyDescent="0.25">
      <c r="C351" s="66"/>
      <c r="D351" s="66"/>
      <c r="E351" s="66"/>
      <c r="F351" s="66"/>
      <c r="G351" s="66"/>
      <c r="H351" s="66"/>
      <c r="I351" s="66"/>
      <c r="J351" s="85"/>
      <c r="K351" s="66"/>
      <c r="L351" s="66"/>
      <c r="M351" s="66"/>
    </row>
    <row r="352" spans="3:13" x14ac:dyDescent="0.25">
      <c r="C352" s="66"/>
      <c r="D352" s="66"/>
      <c r="E352" s="66"/>
      <c r="F352" s="66"/>
      <c r="G352" s="66"/>
      <c r="H352" s="66"/>
      <c r="I352" s="66"/>
      <c r="J352" s="85"/>
      <c r="K352" s="66"/>
      <c r="L352" s="66"/>
      <c r="M352" s="66"/>
    </row>
    <row r="353" spans="3:13" x14ac:dyDescent="0.25">
      <c r="C353" s="66"/>
      <c r="D353" s="66"/>
      <c r="E353" s="66"/>
      <c r="F353" s="66"/>
      <c r="G353" s="66"/>
      <c r="H353" s="66"/>
      <c r="I353" s="66"/>
      <c r="J353" s="85"/>
      <c r="K353" s="66"/>
      <c r="L353" s="66"/>
      <c r="M353" s="66"/>
    </row>
    <row r="354" spans="3:13" x14ac:dyDescent="0.25">
      <c r="C354" s="66"/>
      <c r="D354" s="66"/>
      <c r="E354" s="66"/>
      <c r="F354" s="66"/>
      <c r="G354" s="66"/>
      <c r="H354" s="66"/>
      <c r="I354" s="66"/>
      <c r="J354" s="85"/>
      <c r="K354" s="66"/>
      <c r="L354" s="66"/>
      <c r="M354" s="66"/>
    </row>
    <row r="355" spans="3:13" x14ac:dyDescent="0.25">
      <c r="C355" s="66"/>
      <c r="D355" s="66"/>
      <c r="E355" s="66"/>
      <c r="F355" s="66"/>
      <c r="G355" s="66"/>
      <c r="H355" s="66"/>
      <c r="I355" s="66"/>
      <c r="J355" s="85"/>
      <c r="K355" s="66"/>
      <c r="L355" s="66"/>
      <c r="M355" s="66"/>
    </row>
    <row r="356" spans="3:13" x14ac:dyDescent="0.25">
      <c r="C356" s="66"/>
      <c r="D356" s="66"/>
      <c r="E356" s="66"/>
      <c r="F356" s="66"/>
      <c r="G356" s="66"/>
      <c r="H356" s="66"/>
      <c r="I356" s="66"/>
      <c r="J356" s="85"/>
      <c r="K356" s="66"/>
      <c r="L356" s="66"/>
      <c r="M356" s="66"/>
    </row>
    <row r="357" spans="3:13" x14ac:dyDescent="0.25">
      <c r="C357" s="66"/>
      <c r="D357" s="66"/>
      <c r="E357" s="66"/>
      <c r="F357" s="66"/>
      <c r="G357" s="66"/>
      <c r="H357" s="66"/>
      <c r="I357" s="66"/>
      <c r="J357" s="85"/>
      <c r="K357" s="66"/>
      <c r="L357" s="66"/>
      <c r="M357" s="66"/>
    </row>
    <row r="358" spans="3:13" x14ac:dyDescent="0.25">
      <c r="C358" s="66"/>
      <c r="D358" s="66"/>
      <c r="E358" s="66"/>
      <c r="F358" s="66"/>
      <c r="G358" s="66"/>
      <c r="H358" s="66"/>
      <c r="I358" s="66"/>
      <c r="J358" s="85"/>
      <c r="K358" s="66"/>
      <c r="L358" s="66"/>
      <c r="M358" s="66"/>
    </row>
    <row r="359" spans="3:13" x14ac:dyDescent="0.25">
      <c r="C359" s="66"/>
      <c r="D359" s="66"/>
      <c r="E359" s="66"/>
      <c r="F359" s="66"/>
      <c r="G359" s="66"/>
      <c r="H359" s="66"/>
      <c r="I359" s="66"/>
      <c r="J359" s="85"/>
      <c r="K359" s="66"/>
      <c r="L359" s="66"/>
      <c r="M359" s="66"/>
    </row>
    <row r="360" spans="3:13" x14ac:dyDescent="0.25">
      <c r="C360" s="66"/>
      <c r="D360" s="66"/>
      <c r="E360" s="66"/>
      <c r="F360" s="66"/>
      <c r="G360" s="66"/>
      <c r="H360" s="66"/>
      <c r="I360" s="66"/>
      <c r="J360" s="85"/>
      <c r="K360" s="66"/>
      <c r="L360" s="66"/>
      <c r="M360" s="66"/>
    </row>
    <row r="361" spans="3:13" x14ac:dyDescent="0.25">
      <c r="C361" s="66"/>
      <c r="D361" s="66"/>
      <c r="E361" s="66"/>
      <c r="F361" s="66"/>
      <c r="G361" s="66"/>
      <c r="H361" s="66"/>
      <c r="I361" s="66"/>
      <c r="J361" s="85"/>
      <c r="K361" s="66"/>
      <c r="L361" s="66"/>
      <c r="M361" s="66"/>
    </row>
    <row r="362" spans="3:13" x14ac:dyDescent="0.25">
      <c r="C362" s="66"/>
      <c r="D362" s="66"/>
      <c r="E362" s="66"/>
      <c r="F362" s="66"/>
      <c r="G362" s="66"/>
      <c r="H362" s="66"/>
      <c r="I362" s="66"/>
      <c r="J362" s="85"/>
      <c r="K362" s="66"/>
      <c r="L362" s="66"/>
      <c r="M362" s="66"/>
    </row>
    <row r="363" spans="3:13" x14ac:dyDescent="0.25">
      <c r="C363" s="66"/>
      <c r="D363" s="66"/>
      <c r="E363" s="66"/>
      <c r="F363" s="66"/>
      <c r="G363" s="66"/>
      <c r="H363" s="66"/>
      <c r="I363" s="66"/>
      <c r="J363" s="85"/>
      <c r="K363" s="66"/>
      <c r="L363" s="66"/>
      <c r="M363" s="66"/>
    </row>
    <row r="364" spans="3:13" x14ac:dyDescent="0.25">
      <c r="C364" s="66"/>
      <c r="D364" s="66"/>
      <c r="E364" s="66"/>
      <c r="F364" s="66"/>
      <c r="G364" s="66"/>
      <c r="H364" s="66"/>
      <c r="I364" s="66"/>
      <c r="J364" s="85"/>
      <c r="K364" s="66"/>
      <c r="L364" s="66"/>
      <c r="M364" s="66"/>
    </row>
    <row r="365" spans="3:13" x14ac:dyDescent="0.25">
      <c r="C365" s="66"/>
      <c r="D365" s="66"/>
      <c r="E365" s="66"/>
      <c r="F365" s="66"/>
      <c r="G365" s="66"/>
      <c r="H365" s="66"/>
      <c r="I365" s="66"/>
      <c r="J365" s="85"/>
      <c r="K365" s="66"/>
      <c r="L365" s="66"/>
      <c r="M365" s="66"/>
    </row>
    <row r="366" spans="3:13" x14ac:dyDescent="0.25">
      <c r="C366" s="66"/>
      <c r="D366" s="66"/>
      <c r="E366" s="66"/>
      <c r="F366" s="66"/>
      <c r="G366" s="66"/>
      <c r="H366" s="66"/>
      <c r="I366" s="66"/>
      <c r="J366" s="85"/>
      <c r="K366" s="66"/>
      <c r="L366" s="66"/>
      <c r="M366" s="66"/>
    </row>
    <row r="367" spans="3:13" x14ac:dyDescent="0.25">
      <c r="C367" s="66"/>
      <c r="D367" s="66"/>
      <c r="E367" s="66"/>
      <c r="F367" s="66"/>
      <c r="G367" s="66"/>
      <c r="H367" s="66"/>
      <c r="I367" s="66"/>
      <c r="J367" s="85"/>
      <c r="K367" s="66"/>
      <c r="L367" s="66"/>
      <c r="M367" s="66"/>
    </row>
    <row r="368" spans="3:13" x14ac:dyDescent="0.25">
      <c r="C368" s="66"/>
      <c r="D368" s="66"/>
      <c r="E368" s="66"/>
      <c r="F368" s="66"/>
      <c r="G368" s="66"/>
      <c r="H368" s="66"/>
      <c r="I368" s="66"/>
      <c r="J368" s="85"/>
      <c r="K368" s="66"/>
      <c r="L368" s="66"/>
      <c r="M368" s="66"/>
    </row>
    <row r="369" spans="3:13" x14ac:dyDescent="0.25">
      <c r="C369" s="66"/>
      <c r="D369" s="66"/>
      <c r="E369" s="66"/>
      <c r="F369" s="66"/>
      <c r="G369" s="66"/>
      <c r="H369" s="66"/>
      <c r="I369" s="66"/>
      <c r="J369" s="85"/>
      <c r="K369" s="66"/>
      <c r="L369" s="66"/>
      <c r="M369" s="66"/>
    </row>
    <row r="370" spans="3:13" x14ac:dyDescent="0.25">
      <c r="C370" s="66"/>
      <c r="D370" s="66"/>
      <c r="E370" s="66"/>
      <c r="F370" s="66"/>
      <c r="G370" s="66"/>
      <c r="H370" s="66"/>
      <c r="I370" s="66"/>
      <c r="J370" s="85"/>
      <c r="K370" s="66"/>
      <c r="L370" s="66"/>
      <c r="M370" s="66"/>
    </row>
    <row r="371" spans="3:13" x14ac:dyDescent="0.25">
      <c r="C371" s="66"/>
      <c r="D371" s="66"/>
      <c r="E371" s="66"/>
      <c r="F371" s="66"/>
      <c r="G371" s="66"/>
      <c r="H371" s="66"/>
      <c r="I371" s="66"/>
      <c r="J371" s="85"/>
      <c r="K371" s="66"/>
      <c r="L371" s="66"/>
      <c r="M371" s="66"/>
    </row>
    <row r="372" spans="3:13" x14ac:dyDescent="0.25">
      <c r="C372" s="66"/>
      <c r="D372" s="66"/>
      <c r="E372" s="66"/>
      <c r="F372" s="66"/>
      <c r="G372" s="66"/>
      <c r="H372" s="66"/>
      <c r="I372" s="66"/>
      <c r="J372" s="85"/>
      <c r="K372" s="66"/>
      <c r="L372" s="66"/>
      <c r="M372" s="66"/>
    </row>
    <row r="373" spans="3:13" x14ac:dyDescent="0.25">
      <c r="C373" s="66"/>
      <c r="D373" s="66"/>
      <c r="E373" s="66"/>
      <c r="F373" s="66"/>
      <c r="G373" s="66"/>
      <c r="H373" s="66"/>
      <c r="I373" s="66"/>
      <c r="J373" s="85"/>
      <c r="K373" s="66"/>
      <c r="L373" s="66"/>
      <c r="M373" s="66"/>
    </row>
    <row r="374" spans="3:13" x14ac:dyDescent="0.25">
      <c r="C374" s="66"/>
      <c r="D374" s="66"/>
      <c r="E374" s="66"/>
      <c r="F374" s="66"/>
      <c r="G374" s="66"/>
      <c r="H374" s="66"/>
      <c r="I374" s="66"/>
      <c r="J374" s="85"/>
      <c r="K374" s="66"/>
      <c r="L374" s="66"/>
      <c r="M374" s="66"/>
    </row>
    <row r="375" spans="3:13" x14ac:dyDescent="0.25">
      <c r="C375" s="66"/>
      <c r="D375" s="66"/>
      <c r="E375" s="66"/>
      <c r="F375" s="66"/>
      <c r="G375" s="66"/>
      <c r="H375" s="66"/>
      <c r="I375" s="66"/>
      <c r="J375" s="85"/>
      <c r="K375" s="66"/>
      <c r="L375" s="66"/>
      <c r="M375" s="66"/>
    </row>
    <row r="376" spans="3:13" x14ac:dyDescent="0.25">
      <c r="C376" s="66"/>
      <c r="D376" s="66"/>
      <c r="E376" s="66"/>
      <c r="F376" s="66"/>
      <c r="G376" s="66"/>
      <c r="H376" s="66"/>
      <c r="I376" s="66"/>
      <c r="J376" s="85"/>
      <c r="K376" s="66"/>
      <c r="L376" s="66"/>
      <c r="M376" s="66"/>
    </row>
    <row r="377" spans="3:13" x14ac:dyDescent="0.25">
      <c r="C377" s="66"/>
      <c r="D377" s="66"/>
      <c r="E377" s="66"/>
      <c r="F377" s="66"/>
      <c r="G377" s="66"/>
      <c r="H377" s="66"/>
      <c r="I377" s="66"/>
      <c r="J377" s="85"/>
      <c r="K377" s="66"/>
      <c r="L377" s="66"/>
      <c r="M377" s="66"/>
    </row>
    <row r="378" spans="3:13" x14ac:dyDescent="0.25">
      <c r="C378" s="66"/>
      <c r="D378" s="66"/>
      <c r="E378" s="66"/>
      <c r="F378" s="66"/>
      <c r="G378" s="66"/>
      <c r="H378" s="66"/>
      <c r="I378" s="66"/>
      <c r="J378" s="85"/>
      <c r="K378" s="66"/>
      <c r="L378" s="66"/>
      <c r="M378" s="66"/>
    </row>
    <row r="379" spans="3:13" x14ac:dyDescent="0.25">
      <c r="C379" s="66"/>
      <c r="D379" s="66"/>
      <c r="E379" s="66"/>
      <c r="F379" s="66"/>
      <c r="G379" s="66"/>
      <c r="H379" s="66"/>
      <c r="I379" s="66"/>
      <c r="J379" s="85"/>
      <c r="K379" s="66"/>
      <c r="L379" s="66"/>
      <c r="M379" s="66"/>
    </row>
    <row r="380" spans="3:13" x14ac:dyDescent="0.25">
      <c r="C380" s="66"/>
      <c r="D380" s="66"/>
      <c r="E380" s="66"/>
      <c r="F380" s="66"/>
      <c r="G380" s="66"/>
      <c r="H380" s="66"/>
      <c r="I380" s="66"/>
      <c r="J380" s="85"/>
      <c r="K380" s="66"/>
      <c r="L380" s="66"/>
      <c r="M380" s="66"/>
    </row>
    <row r="381" spans="3:13" x14ac:dyDescent="0.25">
      <c r="C381" s="66"/>
      <c r="D381" s="66"/>
      <c r="E381" s="66"/>
      <c r="F381" s="66"/>
      <c r="G381" s="66"/>
      <c r="H381" s="66"/>
      <c r="I381" s="66"/>
      <c r="J381" s="85"/>
      <c r="K381" s="66"/>
      <c r="L381" s="66"/>
      <c r="M381" s="66"/>
    </row>
    <row r="382" spans="3:13" x14ac:dyDescent="0.25">
      <c r="C382" s="66"/>
      <c r="D382" s="66"/>
      <c r="E382" s="66"/>
      <c r="F382" s="66"/>
      <c r="G382" s="66"/>
      <c r="H382" s="66"/>
      <c r="I382" s="66"/>
      <c r="J382" s="85"/>
      <c r="K382" s="66"/>
      <c r="L382" s="66"/>
      <c r="M382" s="66"/>
    </row>
    <row r="383" spans="3:13" x14ac:dyDescent="0.25">
      <c r="C383" s="66"/>
      <c r="D383" s="66"/>
      <c r="E383" s="66"/>
      <c r="F383" s="66"/>
      <c r="G383" s="66"/>
      <c r="H383" s="66"/>
      <c r="I383" s="66"/>
      <c r="J383" s="85"/>
      <c r="K383" s="66"/>
      <c r="L383" s="66"/>
      <c r="M383" s="66"/>
    </row>
    <row r="384" spans="3:13" x14ac:dyDescent="0.25">
      <c r="C384" s="66"/>
      <c r="D384" s="66"/>
      <c r="E384" s="66"/>
      <c r="F384" s="66"/>
      <c r="G384" s="66"/>
      <c r="H384" s="66"/>
      <c r="I384" s="66"/>
      <c r="J384" s="85"/>
      <c r="K384" s="66"/>
      <c r="L384" s="66"/>
      <c r="M384" s="66"/>
    </row>
    <row r="385" spans="3:13" x14ac:dyDescent="0.25">
      <c r="C385" s="66"/>
      <c r="D385" s="66"/>
      <c r="E385" s="66"/>
      <c r="F385" s="66"/>
      <c r="G385" s="66"/>
      <c r="H385" s="66"/>
      <c r="I385" s="66"/>
      <c r="J385" s="85"/>
      <c r="K385" s="66"/>
      <c r="L385" s="66"/>
      <c r="M385" s="66"/>
    </row>
    <row r="386" spans="3:13" x14ac:dyDescent="0.25">
      <c r="C386" s="66"/>
      <c r="D386" s="66"/>
      <c r="E386" s="66"/>
      <c r="F386" s="66"/>
      <c r="G386" s="66"/>
      <c r="H386" s="66"/>
      <c r="I386" s="66"/>
      <c r="J386" s="85"/>
      <c r="K386" s="66"/>
      <c r="L386" s="66"/>
      <c r="M386" s="66"/>
    </row>
    <row r="387" spans="3:13" x14ac:dyDescent="0.25">
      <c r="C387" s="66"/>
      <c r="D387" s="66"/>
      <c r="E387" s="66"/>
      <c r="F387" s="66"/>
      <c r="G387" s="66"/>
      <c r="H387" s="66"/>
      <c r="I387" s="66"/>
      <c r="J387" s="85"/>
      <c r="K387" s="66"/>
      <c r="L387" s="66"/>
      <c r="M387" s="66"/>
    </row>
    <row r="388" spans="3:13" x14ac:dyDescent="0.25">
      <c r="C388" s="66"/>
      <c r="D388" s="66"/>
      <c r="E388" s="66"/>
      <c r="F388" s="66"/>
      <c r="G388" s="66"/>
      <c r="H388" s="66"/>
      <c r="I388" s="66"/>
      <c r="J388" s="85"/>
      <c r="K388" s="66"/>
      <c r="L388" s="66"/>
      <c r="M388" s="66"/>
    </row>
    <row r="389" spans="3:13" x14ac:dyDescent="0.25">
      <c r="C389" s="66"/>
      <c r="D389" s="66"/>
      <c r="E389" s="66"/>
      <c r="F389" s="66"/>
      <c r="G389" s="66"/>
      <c r="H389" s="66"/>
      <c r="I389" s="66"/>
      <c r="J389" s="85"/>
      <c r="K389" s="66"/>
      <c r="L389" s="66"/>
      <c r="M389" s="66"/>
    </row>
    <row r="390" spans="3:13" x14ac:dyDescent="0.25">
      <c r="C390" s="66"/>
      <c r="D390" s="66"/>
      <c r="E390" s="66"/>
      <c r="F390" s="66"/>
      <c r="G390" s="66"/>
      <c r="H390" s="66"/>
      <c r="I390" s="66"/>
      <c r="J390" s="85"/>
      <c r="K390" s="66"/>
      <c r="L390" s="66"/>
      <c r="M390" s="66"/>
    </row>
    <row r="391" spans="3:13" x14ac:dyDescent="0.25">
      <c r="C391" s="66"/>
      <c r="D391" s="66"/>
      <c r="E391" s="66"/>
      <c r="F391" s="66"/>
      <c r="G391" s="66"/>
      <c r="H391" s="66"/>
      <c r="I391" s="66"/>
      <c r="J391" s="85"/>
      <c r="K391" s="66"/>
      <c r="L391" s="66"/>
      <c r="M391" s="66"/>
    </row>
    <row r="392" spans="3:13" x14ac:dyDescent="0.25">
      <c r="C392" s="66"/>
      <c r="D392" s="66"/>
      <c r="E392" s="66"/>
      <c r="F392" s="66"/>
      <c r="G392" s="66"/>
      <c r="H392" s="66"/>
      <c r="I392" s="66"/>
      <c r="J392" s="85"/>
      <c r="K392" s="66"/>
      <c r="L392" s="66"/>
      <c r="M392" s="66"/>
    </row>
    <row r="393" spans="3:13" x14ac:dyDescent="0.25">
      <c r="C393" s="66"/>
      <c r="D393" s="66"/>
      <c r="E393" s="66"/>
      <c r="F393" s="66"/>
      <c r="G393" s="66"/>
      <c r="H393" s="66"/>
      <c r="I393" s="66"/>
      <c r="J393" s="85"/>
      <c r="K393" s="66"/>
      <c r="L393" s="66"/>
      <c r="M393" s="66"/>
    </row>
    <row r="394" spans="3:13" x14ac:dyDescent="0.25">
      <c r="C394" s="66"/>
      <c r="D394" s="66"/>
      <c r="E394" s="66"/>
      <c r="F394" s="66"/>
      <c r="G394" s="66"/>
      <c r="H394" s="66"/>
      <c r="I394" s="66"/>
      <c r="J394" s="85"/>
      <c r="K394" s="66"/>
      <c r="L394" s="66"/>
      <c r="M394" s="66"/>
    </row>
    <row r="395" spans="3:13" x14ac:dyDescent="0.25">
      <c r="C395" s="66"/>
      <c r="D395" s="66"/>
      <c r="E395" s="66"/>
      <c r="F395" s="66"/>
      <c r="G395" s="66"/>
      <c r="H395" s="66"/>
      <c r="I395" s="66"/>
      <c r="J395" s="85"/>
      <c r="K395" s="66"/>
      <c r="L395" s="66"/>
      <c r="M395" s="66"/>
    </row>
    <row r="396" spans="3:13" x14ac:dyDescent="0.25">
      <c r="C396" s="66"/>
      <c r="D396" s="66"/>
      <c r="E396" s="66"/>
      <c r="F396" s="66"/>
      <c r="G396" s="66"/>
      <c r="H396" s="66"/>
      <c r="I396" s="66"/>
      <c r="J396" s="85"/>
      <c r="K396" s="66"/>
      <c r="L396" s="66"/>
      <c r="M396" s="66"/>
    </row>
    <row r="397" spans="3:13" x14ac:dyDescent="0.25">
      <c r="C397" s="66"/>
      <c r="D397" s="66"/>
      <c r="E397" s="66"/>
      <c r="F397" s="66"/>
      <c r="G397" s="66"/>
      <c r="H397" s="66"/>
      <c r="I397" s="66"/>
      <c r="J397" s="85"/>
      <c r="K397" s="66"/>
      <c r="L397" s="66"/>
      <c r="M397" s="66"/>
    </row>
    <row r="398" spans="3:13" x14ac:dyDescent="0.25">
      <c r="C398" s="66"/>
      <c r="D398" s="66"/>
      <c r="E398" s="66"/>
      <c r="F398" s="66"/>
      <c r="G398" s="66"/>
      <c r="H398" s="66"/>
      <c r="I398" s="66"/>
      <c r="J398" s="85"/>
      <c r="K398" s="66"/>
      <c r="L398" s="66"/>
      <c r="M398" s="66"/>
    </row>
    <row r="399" spans="3:13" x14ac:dyDescent="0.25">
      <c r="C399" s="66"/>
      <c r="D399" s="66"/>
      <c r="E399" s="66"/>
      <c r="F399" s="66"/>
      <c r="G399" s="66"/>
      <c r="H399" s="66"/>
      <c r="I399" s="66"/>
      <c r="J399" s="85"/>
      <c r="K399" s="66"/>
      <c r="L399" s="66"/>
      <c r="M399" s="66"/>
    </row>
    <row r="400" spans="3:13" x14ac:dyDescent="0.25">
      <c r="C400" s="66"/>
      <c r="D400" s="66"/>
      <c r="E400" s="66"/>
      <c r="F400" s="66"/>
      <c r="G400" s="66"/>
      <c r="H400" s="66"/>
      <c r="I400" s="66"/>
      <c r="J400" s="85"/>
      <c r="K400" s="66"/>
      <c r="L400" s="66"/>
      <c r="M400" s="66"/>
    </row>
    <row r="401" spans="3:13" x14ac:dyDescent="0.25">
      <c r="C401" s="66"/>
      <c r="D401" s="66"/>
      <c r="E401" s="66"/>
      <c r="F401" s="66"/>
      <c r="G401" s="66"/>
      <c r="H401" s="66"/>
      <c r="I401" s="66"/>
      <c r="J401" s="85"/>
      <c r="K401" s="66"/>
      <c r="L401" s="66"/>
      <c r="M401" s="66"/>
    </row>
    <row r="402" spans="3:13" x14ac:dyDescent="0.25">
      <c r="C402" s="66"/>
      <c r="D402" s="66"/>
      <c r="E402" s="66"/>
      <c r="F402" s="66"/>
      <c r="G402" s="66"/>
      <c r="H402" s="66"/>
      <c r="I402" s="66"/>
      <c r="J402" s="85"/>
      <c r="K402" s="66"/>
      <c r="L402" s="66"/>
      <c r="M402" s="66"/>
    </row>
    <row r="403" spans="3:13" x14ac:dyDescent="0.25">
      <c r="C403" s="66"/>
      <c r="D403" s="66"/>
      <c r="E403" s="66"/>
      <c r="F403" s="66"/>
      <c r="G403" s="66"/>
      <c r="H403" s="66"/>
      <c r="I403" s="66"/>
      <c r="J403" s="85"/>
      <c r="K403" s="66"/>
      <c r="L403" s="66"/>
      <c r="M403" s="66"/>
    </row>
    <row r="404" spans="3:13" x14ac:dyDescent="0.25">
      <c r="C404" s="66"/>
      <c r="D404" s="66"/>
      <c r="E404" s="66"/>
      <c r="F404" s="66"/>
      <c r="G404" s="66"/>
      <c r="H404" s="66"/>
      <c r="I404" s="66"/>
      <c r="J404" s="85"/>
      <c r="K404" s="66"/>
      <c r="L404" s="66"/>
      <c r="M404" s="66"/>
    </row>
    <row r="405" spans="3:13" x14ac:dyDescent="0.25">
      <c r="C405" s="66"/>
      <c r="D405" s="66"/>
      <c r="E405" s="66"/>
      <c r="F405" s="66"/>
      <c r="G405" s="66"/>
      <c r="H405" s="66"/>
      <c r="I405" s="66"/>
      <c r="J405" s="85"/>
      <c r="K405" s="66"/>
      <c r="L405" s="66"/>
      <c r="M405" s="66"/>
    </row>
    <row r="406" spans="3:13" x14ac:dyDescent="0.25">
      <c r="C406" s="66"/>
      <c r="D406" s="66"/>
      <c r="E406" s="66"/>
      <c r="F406" s="66"/>
      <c r="G406" s="66"/>
      <c r="H406" s="66"/>
      <c r="I406" s="66"/>
      <c r="J406" s="85"/>
      <c r="K406" s="66"/>
      <c r="L406" s="66"/>
      <c r="M406" s="66"/>
    </row>
    <row r="407" spans="3:13" x14ac:dyDescent="0.25">
      <c r="C407" s="66"/>
      <c r="D407" s="66"/>
      <c r="E407" s="66"/>
      <c r="F407" s="66"/>
      <c r="G407" s="66"/>
      <c r="H407" s="66"/>
      <c r="I407" s="66"/>
      <c r="J407" s="85"/>
      <c r="K407" s="66"/>
      <c r="L407" s="66"/>
      <c r="M407" s="66"/>
    </row>
    <row r="408" spans="3:13" x14ac:dyDescent="0.25">
      <c r="C408" s="66"/>
      <c r="D408" s="66"/>
      <c r="E408" s="66"/>
      <c r="F408" s="66"/>
      <c r="G408" s="66"/>
      <c r="H408" s="66"/>
      <c r="I408" s="66"/>
      <c r="J408" s="85"/>
      <c r="K408" s="66"/>
      <c r="L408" s="66"/>
      <c r="M408" s="66"/>
    </row>
    <row r="409" spans="3:13" x14ac:dyDescent="0.25">
      <c r="C409" s="66"/>
      <c r="D409" s="66"/>
      <c r="E409" s="66"/>
      <c r="F409" s="66"/>
      <c r="G409" s="66"/>
      <c r="H409" s="66"/>
      <c r="I409" s="66"/>
      <c r="J409" s="85"/>
      <c r="K409" s="66"/>
      <c r="L409" s="66"/>
      <c r="M409" s="66"/>
    </row>
    <row r="410" spans="3:13" x14ac:dyDescent="0.25">
      <c r="C410" s="66"/>
      <c r="D410" s="66"/>
      <c r="E410" s="66"/>
      <c r="F410" s="66"/>
      <c r="G410" s="66"/>
      <c r="H410" s="66"/>
      <c r="I410" s="66"/>
      <c r="J410" s="85"/>
      <c r="K410" s="66"/>
      <c r="L410" s="66"/>
      <c r="M410" s="66"/>
    </row>
    <row r="411" spans="3:13" x14ac:dyDescent="0.25">
      <c r="C411" s="66"/>
      <c r="D411" s="66"/>
      <c r="E411" s="66"/>
      <c r="F411" s="66"/>
      <c r="G411" s="66"/>
      <c r="H411" s="66"/>
      <c r="I411" s="66"/>
      <c r="J411" s="85"/>
      <c r="K411" s="66"/>
      <c r="L411" s="66"/>
      <c r="M411" s="66"/>
    </row>
    <row r="412" spans="3:13" x14ac:dyDescent="0.25">
      <c r="C412" s="66"/>
      <c r="D412" s="66"/>
      <c r="E412" s="66"/>
      <c r="F412" s="66"/>
      <c r="G412" s="66"/>
      <c r="H412" s="66"/>
      <c r="I412" s="66"/>
      <c r="J412" s="85"/>
      <c r="K412" s="66"/>
      <c r="L412" s="66"/>
      <c r="M412" s="66"/>
    </row>
    <row r="413" spans="3:13" x14ac:dyDescent="0.25">
      <c r="C413" s="66"/>
      <c r="D413" s="66"/>
      <c r="E413" s="66"/>
      <c r="F413" s="66"/>
      <c r="G413" s="66"/>
      <c r="H413" s="66"/>
      <c r="I413" s="66"/>
      <c r="J413" s="85"/>
      <c r="K413" s="66"/>
      <c r="L413" s="66"/>
      <c r="M413" s="66"/>
    </row>
    <row r="414" spans="3:13" x14ac:dyDescent="0.25">
      <c r="C414" s="66"/>
      <c r="D414" s="66"/>
      <c r="E414" s="66"/>
      <c r="F414" s="66"/>
      <c r="G414" s="66"/>
      <c r="H414" s="66"/>
      <c r="I414" s="66"/>
      <c r="J414" s="85"/>
      <c r="K414" s="66"/>
      <c r="L414" s="66"/>
      <c r="M414" s="66"/>
    </row>
    <row r="415" spans="3:13" x14ac:dyDescent="0.25">
      <c r="C415" s="66"/>
      <c r="D415" s="66"/>
      <c r="E415" s="66"/>
      <c r="F415" s="66"/>
      <c r="G415" s="66"/>
      <c r="H415" s="66"/>
      <c r="I415" s="66"/>
      <c r="J415" s="85"/>
      <c r="K415" s="66"/>
      <c r="L415" s="66"/>
      <c r="M415" s="66"/>
    </row>
    <row r="416" spans="3:13" x14ac:dyDescent="0.25">
      <c r="C416" s="66"/>
      <c r="D416" s="66"/>
      <c r="E416" s="66"/>
      <c r="F416" s="66"/>
      <c r="G416" s="66"/>
      <c r="H416" s="66"/>
      <c r="I416" s="66"/>
      <c r="J416" s="85"/>
      <c r="K416" s="66"/>
      <c r="L416" s="66"/>
      <c r="M416" s="66"/>
    </row>
    <row r="417" spans="3:13" x14ac:dyDescent="0.25">
      <c r="C417" s="66"/>
      <c r="D417" s="66"/>
      <c r="E417" s="66"/>
      <c r="F417" s="66"/>
      <c r="G417" s="66"/>
      <c r="H417" s="66"/>
      <c r="I417" s="66"/>
      <c r="J417" s="85"/>
      <c r="K417" s="66"/>
      <c r="L417" s="66"/>
      <c r="M417" s="66"/>
    </row>
    <row r="418" spans="3:13" x14ac:dyDescent="0.25">
      <c r="C418" s="66"/>
      <c r="D418" s="66"/>
      <c r="E418" s="66"/>
      <c r="F418" s="66"/>
      <c r="G418" s="66"/>
      <c r="H418" s="66"/>
      <c r="I418" s="66"/>
      <c r="J418" s="85"/>
      <c r="K418" s="66"/>
      <c r="L418" s="66"/>
      <c r="M418" s="66"/>
    </row>
    <row r="419" spans="3:13" x14ac:dyDescent="0.25">
      <c r="C419" s="66"/>
      <c r="D419" s="66"/>
      <c r="E419" s="66"/>
      <c r="F419" s="66"/>
      <c r="G419" s="66"/>
      <c r="H419" s="66"/>
      <c r="I419" s="66"/>
      <c r="J419" s="85"/>
      <c r="K419" s="66"/>
      <c r="L419" s="66"/>
      <c r="M419" s="66"/>
    </row>
    <row r="420" spans="3:13" x14ac:dyDescent="0.25">
      <c r="C420" s="66"/>
      <c r="D420" s="66"/>
      <c r="E420" s="66"/>
      <c r="F420" s="66"/>
      <c r="G420" s="66"/>
      <c r="H420" s="66"/>
      <c r="I420" s="66"/>
      <c r="J420" s="85"/>
      <c r="K420" s="66"/>
      <c r="L420" s="66"/>
      <c r="M420" s="66"/>
    </row>
    <row r="421" spans="3:13" x14ac:dyDescent="0.25">
      <c r="C421" s="66"/>
      <c r="D421" s="66"/>
      <c r="E421" s="66"/>
      <c r="F421" s="66"/>
      <c r="G421" s="66"/>
      <c r="H421" s="66"/>
      <c r="I421" s="66"/>
      <c r="J421" s="85"/>
      <c r="K421" s="66"/>
      <c r="L421" s="66"/>
      <c r="M421" s="66"/>
    </row>
    <row r="422" spans="3:13" x14ac:dyDescent="0.25">
      <c r="C422" s="66"/>
      <c r="D422" s="66"/>
      <c r="E422" s="66"/>
      <c r="F422" s="66"/>
      <c r="G422" s="66"/>
      <c r="H422" s="66"/>
      <c r="I422" s="66"/>
      <c r="J422" s="85"/>
      <c r="K422" s="66"/>
      <c r="L422" s="66"/>
      <c r="M422" s="66"/>
    </row>
    <row r="423" spans="3:13" x14ac:dyDescent="0.25">
      <c r="C423" s="66"/>
      <c r="D423" s="66"/>
      <c r="E423" s="66"/>
      <c r="F423" s="66"/>
      <c r="G423" s="66"/>
      <c r="H423" s="66"/>
      <c r="I423" s="66"/>
      <c r="J423" s="85"/>
      <c r="K423" s="66"/>
      <c r="L423" s="66"/>
      <c r="M423" s="66"/>
    </row>
    <row r="424" spans="3:13" x14ac:dyDescent="0.25">
      <c r="C424" s="66"/>
      <c r="D424" s="66"/>
      <c r="E424" s="66"/>
      <c r="F424" s="66"/>
      <c r="G424" s="66"/>
      <c r="H424" s="66"/>
      <c r="I424" s="66"/>
      <c r="J424" s="85"/>
      <c r="K424" s="66"/>
      <c r="L424" s="66"/>
      <c r="M424" s="66"/>
    </row>
    <row r="425" spans="3:13" x14ac:dyDescent="0.25">
      <c r="C425" s="66"/>
      <c r="D425" s="66"/>
      <c r="E425" s="66"/>
      <c r="F425" s="66"/>
      <c r="G425" s="66"/>
      <c r="H425" s="66"/>
      <c r="I425" s="66"/>
      <c r="J425" s="85"/>
      <c r="K425" s="66"/>
      <c r="L425" s="66"/>
      <c r="M425" s="66"/>
    </row>
    <row r="426" spans="3:13" x14ac:dyDescent="0.25">
      <c r="C426" s="66"/>
      <c r="D426" s="66"/>
      <c r="E426" s="66"/>
      <c r="F426" s="66"/>
      <c r="G426" s="66"/>
      <c r="H426" s="66"/>
      <c r="I426" s="66"/>
      <c r="J426" s="85"/>
      <c r="K426" s="66"/>
      <c r="L426" s="66"/>
      <c r="M426" s="66"/>
    </row>
    <row r="427" spans="3:13" x14ac:dyDescent="0.25">
      <c r="C427" s="66"/>
      <c r="D427" s="66"/>
      <c r="E427" s="66"/>
      <c r="F427" s="66"/>
      <c r="G427" s="66"/>
      <c r="H427" s="66"/>
      <c r="I427" s="66"/>
      <c r="J427" s="85"/>
      <c r="K427" s="66"/>
      <c r="L427" s="66"/>
      <c r="M427" s="66"/>
    </row>
    <row r="428" spans="3:13" x14ac:dyDescent="0.25">
      <c r="C428" s="66"/>
      <c r="D428" s="66"/>
      <c r="E428" s="66"/>
      <c r="F428" s="66"/>
      <c r="G428" s="66"/>
      <c r="H428" s="66"/>
      <c r="I428" s="66"/>
      <c r="J428" s="85"/>
      <c r="K428" s="66"/>
      <c r="L428" s="66"/>
      <c r="M428" s="66"/>
    </row>
    <row r="429" spans="3:13" x14ac:dyDescent="0.25">
      <c r="C429" s="66"/>
      <c r="D429" s="66"/>
      <c r="E429" s="66"/>
      <c r="F429" s="66"/>
      <c r="G429" s="66"/>
      <c r="H429" s="66"/>
      <c r="I429" s="66"/>
      <c r="J429" s="85"/>
      <c r="K429" s="66"/>
      <c r="L429" s="66"/>
      <c r="M429" s="66"/>
    </row>
    <row r="430" spans="3:13" x14ac:dyDescent="0.25">
      <c r="C430" s="66"/>
      <c r="D430" s="66"/>
      <c r="E430" s="66"/>
      <c r="F430" s="66"/>
      <c r="G430" s="66"/>
      <c r="H430" s="66"/>
      <c r="I430" s="66"/>
      <c r="J430" s="85"/>
      <c r="K430" s="66"/>
      <c r="L430" s="66"/>
      <c r="M430" s="66"/>
    </row>
    <row r="431" spans="3:13" x14ac:dyDescent="0.25">
      <c r="C431" s="66"/>
      <c r="D431" s="66"/>
      <c r="E431" s="66"/>
      <c r="F431" s="66"/>
      <c r="G431" s="66"/>
      <c r="H431" s="66"/>
      <c r="I431" s="66"/>
      <c r="J431" s="85"/>
      <c r="K431" s="66"/>
      <c r="L431" s="66"/>
      <c r="M431" s="66"/>
    </row>
    <row r="432" spans="3:13" x14ac:dyDescent="0.25">
      <c r="C432" s="66"/>
      <c r="D432" s="66"/>
      <c r="E432" s="66"/>
      <c r="F432" s="66"/>
      <c r="G432" s="66"/>
      <c r="H432" s="66"/>
      <c r="I432" s="66"/>
      <c r="J432" s="85"/>
      <c r="K432" s="66"/>
      <c r="L432" s="66"/>
      <c r="M432" s="66"/>
    </row>
    <row r="433" spans="3:13" x14ac:dyDescent="0.25">
      <c r="C433" s="66"/>
      <c r="D433" s="66"/>
      <c r="E433" s="66"/>
      <c r="F433" s="66"/>
      <c r="G433" s="66"/>
      <c r="H433" s="66"/>
      <c r="I433" s="66"/>
      <c r="J433" s="85"/>
      <c r="K433" s="66"/>
      <c r="L433" s="66"/>
      <c r="M433" s="66"/>
    </row>
    <row r="434" spans="3:13" x14ac:dyDescent="0.25">
      <c r="C434" s="66"/>
      <c r="D434" s="66"/>
      <c r="E434" s="66"/>
      <c r="F434" s="66"/>
      <c r="G434" s="66"/>
      <c r="H434" s="66"/>
      <c r="I434" s="66"/>
      <c r="J434" s="85"/>
      <c r="K434" s="66"/>
      <c r="L434" s="66"/>
      <c r="M434" s="66"/>
    </row>
    <row r="435" spans="3:13" x14ac:dyDescent="0.25">
      <c r="C435" s="66"/>
      <c r="D435" s="66"/>
      <c r="E435" s="66"/>
      <c r="F435" s="66"/>
      <c r="G435" s="66"/>
      <c r="H435" s="66"/>
      <c r="I435" s="66"/>
      <c r="J435" s="85"/>
      <c r="K435" s="66"/>
      <c r="L435" s="66"/>
      <c r="M435" s="66"/>
    </row>
    <row r="436" spans="3:13" x14ac:dyDescent="0.25">
      <c r="C436" s="66"/>
      <c r="D436" s="66"/>
      <c r="E436" s="66"/>
      <c r="F436" s="66"/>
      <c r="G436" s="66"/>
      <c r="H436" s="66"/>
      <c r="I436" s="66"/>
      <c r="J436" s="85"/>
      <c r="K436" s="66"/>
      <c r="L436" s="66"/>
      <c r="M436" s="66"/>
    </row>
    <row r="437" spans="3:13" x14ac:dyDescent="0.25">
      <c r="C437" s="66"/>
      <c r="D437" s="66"/>
      <c r="E437" s="66"/>
      <c r="F437" s="66"/>
      <c r="G437" s="66"/>
      <c r="H437" s="66"/>
      <c r="I437" s="66"/>
      <c r="J437" s="85"/>
      <c r="K437" s="66"/>
      <c r="L437" s="66"/>
      <c r="M437" s="66"/>
    </row>
    <row r="438" spans="3:13" x14ac:dyDescent="0.25">
      <c r="C438" s="66"/>
      <c r="D438" s="66"/>
      <c r="E438" s="66"/>
      <c r="F438" s="66"/>
      <c r="G438" s="66"/>
      <c r="H438" s="66"/>
      <c r="I438" s="66"/>
      <c r="J438" s="85"/>
      <c r="K438" s="66"/>
      <c r="L438" s="66"/>
      <c r="M438" s="66"/>
    </row>
    <row r="439" spans="3:13" x14ac:dyDescent="0.25">
      <c r="C439" s="66"/>
      <c r="D439" s="66"/>
      <c r="E439" s="66"/>
      <c r="F439" s="66"/>
      <c r="G439" s="66"/>
      <c r="H439" s="66"/>
      <c r="I439" s="66"/>
      <c r="J439" s="85"/>
      <c r="K439" s="66"/>
      <c r="L439" s="66"/>
      <c r="M439" s="66"/>
    </row>
    <row r="440" spans="3:13" x14ac:dyDescent="0.25">
      <c r="C440" s="66"/>
      <c r="D440" s="66"/>
      <c r="E440" s="66"/>
      <c r="F440" s="66"/>
      <c r="G440" s="66"/>
      <c r="H440" s="66"/>
      <c r="I440" s="66"/>
      <c r="J440" s="85"/>
      <c r="K440" s="66"/>
      <c r="L440" s="66"/>
      <c r="M440" s="66"/>
    </row>
    <row r="441" spans="3:13" x14ac:dyDescent="0.25">
      <c r="C441" s="66"/>
      <c r="D441" s="66"/>
      <c r="E441" s="66"/>
      <c r="F441" s="66"/>
      <c r="G441" s="66"/>
      <c r="H441" s="66"/>
      <c r="I441" s="66"/>
      <c r="J441" s="85"/>
      <c r="K441" s="66"/>
      <c r="L441" s="66"/>
      <c r="M441" s="66"/>
    </row>
    <row r="442" spans="3:13" x14ac:dyDescent="0.25">
      <c r="C442" s="66"/>
      <c r="D442" s="66"/>
      <c r="E442" s="66"/>
      <c r="F442" s="66"/>
      <c r="G442" s="66"/>
      <c r="H442" s="66"/>
      <c r="I442" s="66"/>
      <c r="J442" s="85"/>
      <c r="K442" s="66"/>
      <c r="L442" s="66"/>
      <c r="M442" s="66"/>
    </row>
    <row r="443" spans="3:13" x14ac:dyDescent="0.25">
      <c r="C443" s="66"/>
      <c r="D443" s="66"/>
      <c r="E443" s="66"/>
      <c r="F443" s="66"/>
      <c r="G443" s="66"/>
      <c r="H443" s="66"/>
      <c r="I443" s="66"/>
      <c r="J443" s="85"/>
      <c r="K443" s="66"/>
      <c r="L443" s="66"/>
      <c r="M443" s="66"/>
    </row>
    <row r="444" spans="3:13" x14ac:dyDescent="0.25">
      <c r="C444" s="66"/>
      <c r="D444" s="66"/>
      <c r="E444" s="66"/>
      <c r="F444" s="66"/>
      <c r="G444" s="66"/>
      <c r="H444" s="66"/>
      <c r="I444" s="66"/>
      <c r="J444" s="85"/>
      <c r="K444" s="66"/>
      <c r="L444" s="66"/>
      <c r="M444" s="66"/>
    </row>
    <row r="445" spans="3:13" x14ac:dyDescent="0.25">
      <c r="C445" s="66"/>
      <c r="D445" s="66"/>
      <c r="E445" s="66"/>
      <c r="F445" s="66"/>
      <c r="G445" s="66"/>
      <c r="H445" s="66"/>
      <c r="I445" s="66"/>
      <c r="J445" s="85"/>
      <c r="K445" s="66"/>
      <c r="L445" s="66"/>
      <c r="M445" s="66"/>
    </row>
    <row r="446" spans="3:13" x14ac:dyDescent="0.25">
      <c r="C446" s="66"/>
      <c r="D446" s="66"/>
      <c r="E446" s="66"/>
      <c r="F446" s="66"/>
      <c r="G446" s="66"/>
      <c r="H446" s="66"/>
      <c r="I446" s="66"/>
      <c r="J446" s="85"/>
      <c r="K446" s="66"/>
      <c r="L446" s="66"/>
      <c r="M446" s="66"/>
    </row>
    <row r="447" spans="3:13" x14ac:dyDescent="0.25">
      <c r="C447" s="66"/>
      <c r="D447" s="66"/>
      <c r="E447" s="66"/>
      <c r="F447" s="66"/>
      <c r="G447" s="66"/>
      <c r="H447" s="66"/>
      <c r="I447" s="66"/>
      <c r="J447" s="85"/>
      <c r="K447" s="66"/>
      <c r="L447" s="66"/>
      <c r="M447" s="66"/>
    </row>
    <row r="448" spans="3:13" x14ac:dyDescent="0.25">
      <c r="C448" s="66"/>
      <c r="D448" s="66"/>
      <c r="E448" s="66"/>
      <c r="F448" s="66"/>
      <c r="G448" s="66"/>
      <c r="H448" s="66"/>
      <c r="I448" s="66"/>
      <c r="J448" s="85"/>
      <c r="K448" s="66"/>
      <c r="L448" s="66"/>
      <c r="M448" s="66"/>
    </row>
    <row r="449" spans="3:13" x14ac:dyDescent="0.25">
      <c r="C449" s="66"/>
      <c r="D449" s="66"/>
      <c r="E449" s="66"/>
      <c r="F449" s="66"/>
      <c r="G449" s="66"/>
      <c r="H449" s="66"/>
      <c r="I449" s="66"/>
      <c r="J449" s="85"/>
      <c r="K449" s="66"/>
      <c r="L449" s="66"/>
      <c r="M449" s="66"/>
    </row>
    <row r="450" spans="3:13" x14ac:dyDescent="0.25">
      <c r="C450" s="66"/>
      <c r="D450" s="66"/>
      <c r="E450" s="66"/>
      <c r="F450" s="66"/>
      <c r="G450" s="66"/>
      <c r="H450" s="66"/>
      <c r="I450" s="66"/>
      <c r="J450" s="85"/>
      <c r="K450" s="66"/>
      <c r="L450" s="66"/>
      <c r="M450" s="66"/>
    </row>
    <row r="451" spans="3:13" x14ac:dyDescent="0.25">
      <c r="C451" s="66"/>
      <c r="D451" s="66"/>
      <c r="E451" s="66"/>
      <c r="F451" s="66"/>
      <c r="G451" s="66"/>
      <c r="H451" s="66"/>
      <c r="I451" s="66"/>
      <c r="J451" s="85"/>
      <c r="K451" s="66"/>
      <c r="L451" s="66"/>
      <c r="M451" s="66"/>
    </row>
    <row r="452" spans="3:13" x14ac:dyDescent="0.25">
      <c r="C452" s="66"/>
      <c r="D452" s="66"/>
      <c r="E452" s="66"/>
      <c r="F452" s="66"/>
      <c r="G452" s="66"/>
      <c r="H452" s="66"/>
      <c r="I452" s="66"/>
      <c r="J452" s="85"/>
      <c r="K452" s="66"/>
      <c r="L452" s="66"/>
      <c r="M452" s="66"/>
    </row>
    <row r="453" spans="3:13" x14ac:dyDescent="0.25">
      <c r="C453" s="66"/>
      <c r="D453" s="66"/>
      <c r="E453" s="66"/>
      <c r="F453" s="66"/>
      <c r="G453" s="66"/>
      <c r="H453" s="66"/>
      <c r="I453" s="66"/>
      <c r="J453" s="85"/>
      <c r="K453" s="66"/>
      <c r="L453" s="66"/>
      <c r="M453" s="66"/>
    </row>
    <row r="454" spans="3:13" x14ac:dyDescent="0.25">
      <c r="C454" s="66"/>
      <c r="D454" s="66"/>
      <c r="E454" s="66"/>
      <c r="F454" s="66"/>
      <c r="G454" s="66"/>
      <c r="H454" s="66"/>
      <c r="I454" s="66"/>
      <c r="J454" s="85"/>
      <c r="K454" s="66"/>
      <c r="L454" s="66"/>
      <c r="M454" s="66"/>
    </row>
    <row r="455" spans="3:13" x14ac:dyDescent="0.25">
      <c r="C455" s="66"/>
      <c r="D455" s="66"/>
      <c r="E455" s="66"/>
      <c r="F455" s="66"/>
      <c r="G455" s="66"/>
      <c r="H455" s="66"/>
      <c r="I455" s="66"/>
      <c r="J455" s="85"/>
      <c r="K455" s="66"/>
      <c r="L455" s="66"/>
      <c r="M455" s="66"/>
    </row>
    <row r="456" spans="3:13" x14ac:dyDescent="0.25">
      <c r="C456" s="66"/>
      <c r="D456" s="66"/>
      <c r="E456" s="66"/>
      <c r="F456" s="66"/>
      <c r="G456" s="66"/>
      <c r="H456" s="66"/>
      <c r="I456" s="66"/>
      <c r="J456" s="85"/>
      <c r="K456" s="66"/>
      <c r="L456" s="66"/>
      <c r="M456" s="66"/>
    </row>
    <row r="457" spans="3:13" x14ac:dyDescent="0.25">
      <c r="C457" s="66"/>
      <c r="D457" s="66"/>
      <c r="E457" s="66"/>
      <c r="F457" s="66"/>
      <c r="G457" s="66"/>
      <c r="H457" s="66"/>
      <c r="I457" s="66"/>
      <c r="J457" s="85"/>
      <c r="K457" s="66"/>
      <c r="L457" s="66"/>
      <c r="M457" s="66"/>
    </row>
    <row r="458" spans="3:13" x14ac:dyDescent="0.25">
      <c r="C458" s="66"/>
      <c r="D458" s="66"/>
      <c r="E458" s="66"/>
      <c r="F458" s="66"/>
      <c r="G458" s="66"/>
      <c r="H458" s="66"/>
      <c r="I458" s="66"/>
      <c r="J458" s="85"/>
      <c r="K458" s="66"/>
      <c r="L458" s="66"/>
      <c r="M458" s="66"/>
    </row>
    <row r="459" spans="3:13" x14ac:dyDescent="0.25">
      <c r="C459" s="66"/>
      <c r="D459" s="66"/>
      <c r="E459" s="66"/>
      <c r="F459" s="66"/>
      <c r="G459" s="66"/>
      <c r="H459" s="66"/>
      <c r="I459" s="66"/>
      <c r="J459" s="85"/>
      <c r="K459" s="66"/>
      <c r="L459" s="66"/>
      <c r="M459" s="66"/>
    </row>
    <row r="460" spans="3:13" x14ac:dyDescent="0.25">
      <c r="C460" s="66"/>
      <c r="D460" s="66"/>
      <c r="E460" s="66"/>
      <c r="F460" s="66"/>
      <c r="G460" s="66"/>
      <c r="H460" s="66"/>
      <c r="I460" s="66"/>
      <c r="J460" s="85"/>
      <c r="K460" s="66"/>
      <c r="L460" s="66"/>
      <c r="M460" s="66"/>
    </row>
    <row r="461" spans="3:13" x14ac:dyDescent="0.25">
      <c r="C461" s="66"/>
      <c r="D461" s="66"/>
      <c r="E461" s="66"/>
      <c r="F461" s="66"/>
      <c r="G461" s="66"/>
      <c r="H461" s="66"/>
      <c r="I461" s="66"/>
      <c r="J461" s="85"/>
      <c r="K461" s="66"/>
      <c r="L461" s="66"/>
      <c r="M461" s="66"/>
    </row>
    <row r="462" spans="3:13" x14ac:dyDescent="0.25">
      <c r="C462" s="66"/>
      <c r="D462" s="66"/>
      <c r="E462" s="66"/>
      <c r="F462" s="66"/>
      <c r="G462" s="66"/>
      <c r="H462" s="66"/>
      <c r="I462" s="66"/>
      <c r="J462" s="85"/>
      <c r="K462" s="66"/>
      <c r="L462" s="66"/>
      <c r="M462" s="66"/>
    </row>
    <row r="463" spans="3:13" x14ac:dyDescent="0.25">
      <c r="C463" s="66"/>
      <c r="D463" s="66"/>
      <c r="E463" s="66"/>
      <c r="F463" s="66"/>
      <c r="G463" s="66"/>
      <c r="H463" s="66"/>
      <c r="I463" s="66"/>
      <c r="J463" s="85"/>
      <c r="K463" s="66"/>
      <c r="L463" s="66"/>
      <c r="M463" s="66"/>
    </row>
    <row r="464" spans="3:13" x14ac:dyDescent="0.25">
      <c r="C464" s="66"/>
      <c r="D464" s="66"/>
      <c r="E464" s="66"/>
      <c r="F464" s="66"/>
      <c r="G464" s="66"/>
      <c r="H464" s="66"/>
      <c r="I464" s="66"/>
      <c r="J464" s="85"/>
      <c r="K464" s="66"/>
      <c r="L464" s="66"/>
      <c r="M464" s="66"/>
    </row>
    <row r="465" spans="3:13" x14ac:dyDescent="0.25">
      <c r="C465" s="66"/>
      <c r="D465" s="66"/>
      <c r="E465" s="66"/>
      <c r="F465" s="66"/>
      <c r="G465" s="66"/>
      <c r="H465" s="66"/>
      <c r="I465" s="66"/>
      <c r="J465" s="85"/>
      <c r="K465" s="66"/>
      <c r="L465" s="66"/>
      <c r="M465" s="66"/>
    </row>
    <row r="466" spans="3:13" x14ac:dyDescent="0.25">
      <c r="C466" s="66"/>
      <c r="D466" s="66"/>
      <c r="E466" s="66"/>
      <c r="F466" s="66"/>
      <c r="G466" s="66"/>
      <c r="H466" s="66"/>
      <c r="I466" s="66"/>
      <c r="J466" s="85"/>
      <c r="K466" s="66"/>
      <c r="L466" s="66"/>
      <c r="M466" s="66"/>
    </row>
    <row r="467" spans="3:13" x14ac:dyDescent="0.25">
      <c r="C467" s="66"/>
      <c r="D467" s="66"/>
      <c r="E467" s="66"/>
      <c r="F467" s="66"/>
      <c r="G467" s="66"/>
      <c r="H467" s="66"/>
      <c r="I467" s="66"/>
      <c r="J467" s="85"/>
      <c r="K467" s="66"/>
      <c r="L467" s="66"/>
      <c r="M467" s="66"/>
    </row>
    <row r="468" spans="3:13" x14ac:dyDescent="0.25">
      <c r="C468" s="66"/>
      <c r="D468" s="66"/>
      <c r="E468" s="66"/>
      <c r="F468" s="66"/>
      <c r="G468" s="66"/>
      <c r="H468" s="66"/>
      <c r="I468" s="66"/>
      <c r="J468" s="85"/>
      <c r="K468" s="66"/>
      <c r="L468" s="66"/>
      <c r="M468" s="66"/>
    </row>
    <row r="469" spans="3:13" x14ac:dyDescent="0.25">
      <c r="C469" s="66"/>
      <c r="D469" s="66"/>
      <c r="E469" s="66"/>
      <c r="F469" s="66"/>
      <c r="G469" s="66"/>
      <c r="H469" s="66"/>
      <c r="I469" s="66"/>
      <c r="J469" s="85"/>
      <c r="K469" s="66"/>
      <c r="L469" s="66"/>
      <c r="M469" s="66"/>
    </row>
    <row r="470" spans="3:13" x14ac:dyDescent="0.25">
      <c r="C470" s="66"/>
      <c r="D470" s="66"/>
      <c r="E470" s="66"/>
      <c r="F470" s="66"/>
      <c r="G470" s="66"/>
      <c r="H470" s="66"/>
      <c r="I470" s="66"/>
      <c r="J470" s="85"/>
      <c r="K470" s="66"/>
      <c r="L470" s="66"/>
      <c r="M470" s="66"/>
    </row>
    <row r="471" spans="3:13" x14ac:dyDescent="0.25">
      <c r="C471" s="66"/>
      <c r="D471" s="66"/>
      <c r="E471" s="66"/>
      <c r="F471" s="66"/>
      <c r="G471" s="66"/>
      <c r="H471" s="66"/>
      <c r="I471" s="66"/>
      <c r="J471" s="85"/>
      <c r="K471" s="66"/>
      <c r="L471" s="66"/>
      <c r="M471" s="66"/>
    </row>
    <row r="472" spans="3:13" x14ac:dyDescent="0.25">
      <c r="C472" s="66"/>
      <c r="D472" s="66"/>
      <c r="E472" s="66"/>
      <c r="F472" s="66"/>
      <c r="G472" s="66"/>
      <c r="H472" s="66"/>
      <c r="I472" s="66"/>
      <c r="J472" s="85"/>
      <c r="K472" s="66"/>
      <c r="L472" s="66"/>
      <c r="M472" s="66"/>
    </row>
    <row r="473" spans="3:13" x14ac:dyDescent="0.25">
      <c r="C473" s="66"/>
      <c r="D473" s="66"/>
      <c r="E473" s="66"/>
      <c r="F473" s="66"/>
      <c r="G473" s="66"/>
      <c r="H473" s="66"/>
      <c r="I473" s="66"/>
      <c r="J473" s="85"/>
      <c r="K473" s="66"/>
      <c r="L473" s="66"/>
      <c r="M473" s="66"/>
    </row>
    <row r="474" spans="3:13" x14ac:dyDescent="0.25">
      <c r="C474" s="66"/>
      <c r="D474" s="66"/>
      <c r="E474" s="66"/>
      <c r="F474" s="66"/>
      <c r="G474" s="66"/>
      <c r="H474" s="66"/>
      <c r="I474" s="66"/>
      <c r="J474" s="85"/>
      <c r="K474" s="66"/>
      <c r="L474" s="66"/>
      <c r="M474" s="66"/>
    </row>
    <row r="475" spans="3:13" x14ac:dyDescent="0.25">
      <c r="C475" s="66"/>
      <c r="D475" s="66"/>
      <c r="E475" s="66"/>
      <c r="F475" s="66"/>
      <c r="G475" s="66"/>
      <c r="H475" s="66"/>
      <c r="I475" s="66"/>
      <c r="J475" s="85"/>
      <c r="K475" s="66"/>
      <c r="L475" s="66"/>
      <c r="M475" s="66"/>
    </row>
    <row r="476" spans="3:13" x14ac:dyDescent="0.25">
      <c r="C476" s="66"/>
      <c r="D476" s="66"/>
      <c r="E476" s="66"/>
      <c r="F476" s="66"/>
      <c r="G476" s="66"/>
      <c r="H476" s="66"/>
      <c r="I476" s="66"/>
      <c r="J476" s="85"/>
      <c r="K476" s="66"/>
      <c r="L476" s="66"/>
      <c r="M476" s="66"/>
    </row>
    <row r="477" spans="3:13" x14ac:dyDescent="0.25">
      <c r="C477" s="66"/>
      <c r="D477" s="66"/>
      <c r="E477" s="66"/>
      <c r="F477" s="66"/>
      <c r="G477" s="66"/>
      <c r="H477" s="66"/>
      <c r="I477" s="66"/>
      <c r="J477" s="85"/>
      <c r="K477" s="66"/>
      <c r="L477" s="66"/>
      <c r="M477" s="66"/>
    </row>
    <row r="478" spans="3:13" x14ac:dyDescent="0.25">
      <c r="C478" s="66"/>
      <c r="D478" s="66"/>
      <c r="E478" s="66"/>
      <c r="F478" s="66"/>
      <c r="G478" s="66"/>
      <c r="H478" s="66"/>
      <c r="I478" s="66"/>
      <c r="J478" s="85"/>
      <c r="K478" s="66"/>
      <c r="L478" s="66"/>
      <c r="M478" s="66"/>
    </row>
    <row r="479" spans="3:13" x14ac:dyDescent="0.25">
      <c r="C479" s="66"/>
      <c r="D479" s="66"/>
      <c r="E479" s="66"/>
      <c r="F479" s="66"/>
      <c r="G479" s="66"/>
      <c r="H479" s="66"/>
      <c r="I479" s="66"/>
      <c r="J479" s="85"/>
      <c r="K479" s="66"/>
      <c r="L479" s="66"/>
      <c r="M479" s="66"/>
    </row>
    <row r="480" spans="3:13" x14ac:dyDescent="0.25">
      <c r="C480" s="66"/>
      <c r="D480" s="66"/>
      <c r="E480" s="66"/>
      <c r="F480" s="66"/>
      <c r="G480" s="66"/>
      <c r="H480" s="66"/>
      <c r="I480" s="66"/>
      <c r="J480" s="85"/>
      <c r="K480" s="66"/>
      <c r="L480" s="66"/>
      <c r="M480" s="66"/>
    </row>
    <row r="481" spans="3:13" x14ac:dyDescent="0.25">
      <c r="C481" s="66"/>
      <c r="D481" s="66"/>
      <c r="E481" s="66"/>
      <c r="F481" s="66"/>
      <c r="G481" s="66"/>
      <c r="H481" s="66"/>
      <c r="I481" s="66"/>
      <c r="J481" s="85"/>
      <c r="K481" s="66"/>
      <c r="L481" s="66"/>
      <c r="M481" s="66"/>
    </row>
    <row r="482" spans="3:13" x14ac:dyDescent="0.25">
      <c r="C482" s="66"/>
      <c r="D482" s="66"/>
      <c r="E482" s="66"/>
      <c r="F482" s="66"/>
      <c r="G482" s="66"/>
      <c r="H482" s="66"/>
      <c r="I482" s="66"/>
      <c r="J482" s="85"/>
      <c r="K482" s="66"/>
      <c r="L482" s="66"/>
      <c r="M482" s="66"/>
    </row>
    <row r="483" spans="3:13" x14ac:dyDescent="0.25">
      <c r="C483" s="66"/>
      <c r="D483" s="66"/>
      <c r="E483" s="66"/>
      <c r="F483" s="66"/>
      <c r="G483" s="66"/>
      <c r="H483" s="66"/>
      <c r="I483" s="66"/>
      <c r="J483" s="85"/>
      <c r="K483" s="66"/>
      <c r="L483" s="66"/>
      <c r="M483" s="66"/>
    </row>
    <row r="484" spans="3:13" x14ac:dyDescent="0.25">
      <c r="C484" s="66"/>
      <c r="D484" s="66"/>
      <c r="E484" s="66"/>
      <c r="F484" s="66"/>
      <c r="G484" s="66"/>
      <c r="H484" s="66"/>
      <c r="I484" s="66"/>
      <c r="J484" s="85"/>
      <c r="K484" s="66"/>
      <c r="L484" s="66"/>
      <c r="M484" s="66"/>
    </row>
    <row r="485" spans="3:13" x14ac:dyDescent="0.25">
      <c r="C485" s="66"/>
      <c r="D485" s="66"/>
      <c r="E485" s="66"/>
      <c r="F485" s="66"/>
      <c r="G485" s="66"/>
      <c r="H485" s="66"/>
      <c r="I485" s="66"/>
      <c r="J485" s="85"/>
      <c r="K485" s="66"/>
      <c r="L485" s="66"/>
      <c r="M485" s="66"/>
    </row>
    <row r="486" spans="3:13" x14ac:dyDescent="0.25">
      <c r="C486" s="66"/>
      <c r="D486" s="66"/>
      <c r="E486" s="66"/>
      <c r="F486" s="66"/>
      <c r="G486" s="66"/>
      <c r="H486" s="66"/>
      <c r="I486" s="66"/>
      <c r="J486" s="85"/>
      <c r="K486" s="66"/>
      <c r="L486" s="66"/>
      <c r="M486" s="66"/>
    </row>
    <row r="487" spans="3:13" x14ac:dyDescent="0.25">
      <c r="C487" s="66"/>
      <c r="D487" s="66"/>
      <c r="E487" s="66"/>
      <c r="F487" s="66"/>
      <c r="G487" s="66"/>
      <c r="H487" s="66"/>
      <c r="I487" s="66"/>
      <c r="J487" s="85"/>
      <c r="K487" s="66"/>
      <c r="L487" s="66"/>
      <c r="M487" s="66"/>
    </row>
    <row r="488" spans="3:13" x14ac:dyDescent="0.25">
      <c r="C488" s="66"/>
      <c r="D488" s="66"/>
      <c r="E488" s="66"/>
      <c r="F488" s="66"/>
      <c r="G488" s="66"/>
      <c r="H488" s="66"/>
      <c r="I488" s="66"/>
      <c r="J488" s="85"/>
      <c r="K488" s="66"/>
      <c r="L488" s="66"/>
      <c r="M488" s="66"/>
    </row>
    <row r="489" spans="3:13" x14ac:dyDescent="0.25">
      <c r="C489" s="66"/>
      <c r="D489" s="66"/>
      <c r="E489" s="66"/>
      <c r="F489" s="66"/>
      <c r="G489" s="66"/>
      <c r="H489" s="66"/>
      <c r="I489" s="66"/>
      <c r="J489" s="85"/>
      <c r="K489" s="66"/>
      <c r="L489" s="66"/>
      <c r="M489" s="66"/>
    </row>
    <row r="490" spans="3:13" x14ac:dyDescent="0.25">
      <c r="C490" s="66"/>
      <c r="D490" s="66"/>
      <c r="E490" s="66"/>
      <c r="F490" s="66"/>
      <c r="G490" s="66"/>
      <c r="H490" s="66"/>
      <c r="I490" s="66"/>
      <c r="J490" s="85"/>
      <c r="K490" s="66"/>
      <c r="L490" s="66"/>
      <c r="M490" s="66"/>
    </row>
    <row r="491" spans="3:13" x14ac:dyDescent="0.25">
      <c r="C491" s="66"/>
      <c r="D491" s="66"/>
      <c r="E491" s="66"/>
      <c r="F491" s="66"/>
      <c r="G491" s="66"/>
      <c r="H491" s="66"/>
      <c r="I491" s="66"/>
      <c r="J491" s="85"/>
      <c r="K491" s="66"/>
      <c r="L491" s="66"/>
      <c r="M491" s="66"/>
    </row>
    <row r="492" spans="3:13" x14ac:dyDescent="0.25">
      <c r="C492" s="66"/>
      <c r="D492" s="66"/>
      <c r="E492" s="66"/>
      <c r="F492" s="66"/>
      <c r="G492" s="66"/>
      <c r="H492" s="66"/>
      <c r="I492" s="66"/>
      <c r="J492" s="85"/>
      <c r="K492" s="66"/>
      <c r="L492" s="66"/>
      <c r="M492" s="66"/>
    </row>
    <row r="493" spans="3:13" x14ac:dyDescent="0.25">
      <c r="C493" s="66"/>
      <c r="D493" s="66"/>
      <c r="E493" s="66"/>
      <c r="F493" s="66"/>
      <c r="G493" s="66"/>
      <c r="H493" s="66"/>
      <c r="I493" s="66"/>
      <c r="J493" s="85"/>
      <c r="K493" s="66"/>
      <c r="L493" s="66"/>
      <c r="M493" s="66"/>
    </row>
    <row r="494" spans="3:13" x14ac:dyDescent="0.25">
      <c r="C494" s="66"/>
      <c r="D494" s="66"/>
      <c r="E494" s="66"/>
      <c r="F494" s="66"/>
      <c r="G494" s="66"/>
      <c r="H494" s="66"/>
      <c r="I494" s="66"/>
      <c r="J494" s="85"/>
      <c r="K494" s="66"/>
      <c r="L494" s="66"/>
      <c r="M494" s="66"/>
    </row>
    <row r="495" spans="3:13" x14ac:dyDescent="0.25">
      <c r="C495" s="66"/>
      <c r="D495" s="66"/>
      <c r="E495" s="66"/>
      <c r="F495" s="66"/>
      <c r="G495" s="66"/>
      <c r="H495" s="66"/>
      <c r="I495" s="66"/>
      <c r="J495" s="85"/>
      <c r="K495" s="66"/>
      <c r="L495" s="66"/>
      <c r="M495" s="66"/>
    </row>
    <row r="496" spans="3:13" x14ac:dyDescent="0.25">
      <c r="C496" s="66"/>
      <c r="D496" s="66"/>
      <c r="E496" s="66"/>
      <c r="F496" s="66"/>
      <c r="G496" s="66"/>
      <c r="H496" s="66"/>
      <c r="I496" s="66"/>
      <c r="J496" s="85"/>
      <c r="K496" s="66"/>
      <c r="L496" s="66"/>
      <c r="M496" s="66"/>
    </row>
    <row r="497" spans="3:13" x14ac:dyDescent="0.25">
      <c r="C497" s="66"/>
      <c r="D497" s="66"/>
      <c r="E497" s="66"/>
      <c r="F497" s="66"/>
      <c r="G497" s="66"/>
      <c r="H497" s="66"/>
      <c r="I497" s="66"/>
      <c r="J497" s="85"/>
      <c r="K497" s="66"/>
      <c r="L497" s="66"/>
      <c r="M497" s="66"/>
    </row>
    <row r="498" spans="3:13" x14ac:dyDescent="0.25">
      <c r="C498" s="66"/>
      <c r="D498" s="66"/>
      <c r="E498" s="66"/>
      <c r="F498" s="66"/>
      <c r="G498" s="66"/>
      <c r="H498" s="66"/>
      <c r="I498" s="66"/>
      <c r="J498" s="85"/>
      <c r="K498" s="66"/>
      <c r="L498" s="66"/>
      <c r="M498" s="66"/>
    </row>
    <row r="499" spans="3:13" x14ac:dyDescent="0.25">
      <c r="C499" s="66"/>
      <c r="D499" s="66"/>
      <c r="E499" s="66"/>
      <c r="F499" s="66"/>
      <c r="G499" s="66"/>
      <c r="H499" s="66"/>
      <c r="I499" s="66"/>
      <c r="J499" s="85"/>
      <c r="K499" s="66"/>
      <c r="L499" s="66"/>
      <c r="M499" s="66"/>
    </row>
    <row r="500" spans="3:13" x14ac:dyDescent="0.25">
      <c r="C500" s="66"/>
      <c r="D500" s="66"/>
      <c r="E500" s="66"/>
      <c r="F500" s="66"/>
      <c r="G500" s="66"/>
      <c r="H500" s="66"/>
      <c r="I500" s="66"/>
      <c r="J500" s="85"/>
      <c r="K500" s="66"/>
      <c r="L500" s="66"/>
      <c r="M500" s="66"/>
    </row>
    <row r="501" spans="3:13" x14ac:dyDescent="0.25">
      <c r="C501" s="66"/>
      <c r="D501" s="66"/>
      <c r="E501" s="66"/>
      <c r="F501" s="66"/>
      <c r="G501" s="66"/>
      <c r="H501" s="66"/>
      <c r="I501" s="66"/>
      <c r="J501" s="85"/>
      <c r="K501" s="66"/>
      <c r="L501" s="66"/>
      <c r="M501" s="66"/>
    </row>
    <row r="502" spans="3:13" x14ac:dyDescent="0.25">
      <c r="C502" s="66"/>
      <c r="D502" s="66"/>
      <c r="E502" s="66"/>
      <c r="F502" s="66"/>
      <c r="G502" s="66"/>
      <c r="H502" s="66"/>
      <c r="I502" s="66"/>
      <c r="J502" s="85"/>
      <c r="K502" s="66"/>
      <c r="L502" s="66"/>
      <c r="M502" s="66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6657B689B28A4182EE6B6FA56766D4" ma:contentTypeVersion="10" ma:contentTypeDescription="Creare un nuovo documento." ma:contentTypeScope="" ma:versionID="0805c6bacef2a57c082cf97c2b4866ca">
  <xsd:schema xmlns:xsd="http://www.w3.org/2001/XMLSchema" xmlns:xs="http://www.w3.org/2001/XMLSchema" xmlns:p="http://schemas.microsoft.com/office/2006/metadata/properties" xmlns:ns2="2252c073-3d38-44e3-a549-ea14e334475a" xmlns:ns3="ce3a3791-ebb7-42a1-afe2-448376a66ad8" targetNamespace="http://schemas.microsoft.com/office/2006/metadata/properties" ma:root="true" ma:fieldsID="a52ebd4972cde1bd33364063f5200d1d" ns2:_="" ns3:_="">
    <xsd:import namespace="2252c073-3d38-44e3-a549-ea14e334475a"/>
    <xsd:import namespace="ce3a3791-ebb7-42a1-afe2-448376a66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2c073-3d38-44e3-a549-ea14e3344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f72d59c0-2df5-4876-ac93-1567968c7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a3791-ebb7-42a1-afe2-448376a66ad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8e9fad8-7d0a-4d68-8087-7a1e7a248c7a}" ma:internalName="TaxCatchAll" ma:showField="CatchAllData" ma:web="ce3a3791-ebb7-42a1-afe2-448376a66a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52c073-3d38-44e3-a549-ea14e334475a">
      <Terms xmlns="http://schemas.microsoft.com/office/infopath/2007/PartnerControls"/>
    </lcf76f155ced4ddcb4097134ff3c332f>
    <TaxCatchAll xmlns="ce3a3791-ebb7-42a1-afe2-448376a66ad8" xsi:nil="true"/>
  </documentManagement>
</p:properties>
</file>

<file path=customXml/itemProps1.xml><?xml version="1.0" encoding="utf-8"?>
<ds:datastoreItem xmlns:ds="http://schemas.openxmlformats.org/officeDocument/2006/customXml" ds:itemID="{CCA6F3E1-894A-44EA-B021-31AC0053172D}"/>
</file>

<file path=customXml/itemProps2.xml><?xml version="1.0" encoding="utf-8"?>
<ds:datastoreItem xmlns:ds="http://schemas.openxmlformats.org/officeDocument/2006/customXml" ds:itemID="{C46FBF8B-BE89-495D-9A72-A1EBAA2DB738}"/>
</file>

<file path=customXml/itemProps3.xml><?xml version="1.0" encoding="utf-8"?>
<ds:datastoreItem xmlns:ds="http://schemas.openxmlformats.org/officeDocument/2006/customXml" ds:itemID="{5C2C8851-CCFD-48A2-B8A8-7BECC41BA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Incucyte</vt:lpstr>
      <vt:lpstr>Incucyte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Alessandro Donada</cp:lastModifiedBy>
  <dcterms:created xsi:type="dcterms:W3CDTF">2021-05-04T15:25:08Z</dcterms:created>
  <dcterms:modified xsi:type="dcterms:W3CDTF">2024-11-05T08:58:42Z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0x0101009D6657B689B28A4182EE6B6FA56766D4</vt:lpwstr>
  </property>
</Properties>
</file>